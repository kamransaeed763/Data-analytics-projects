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8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ok\Downloads\"/>
    </mc:Choice>
  </mc:AlternateContent>
  <xr:revisionPtr revIDLastSave="0" documentId="13_ncr:1_{6A6099D5-DAC9-432C-BE8C-E333D37999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15" sheetId="17" r:id="rId2"/>
    <sheet name="Biomarker_Distributions" sheetId="2" r:id="rId3"/>
    <sheet name="Descritive_Statistics" sheetId="3" r:id="rId4"/>
    <sheet name="EDA" sheetId="8" r:id="rId5"/>
    <sheet name="Sheet5" sheetId="6" state="hidden" r:id="rId6"/>
  </sheets>
  <definedNames>
    <definedName name="_xlnm._FilterDatabase" localSheetId="0" hidden="1">Sheet1!$A$1:$L$2201</definedName>
    <definedName name="_xlchart.v1.0" hidden="1">Sheet5!$A$1</definedName>
    <definedName name="_xlchart.v1.1" hidden="1">Sheet5!$A$2:$A$782</definedName>
    <definedName name="_xlchart.v1.10" hidden="1">Sheet1!$E$1</definedName>
    <definedName name="_xlchart.v1.11" hidden="1">Sheet1!$E$2:$E$2201</definedName>
    <definedName name="_xlchart.v1.12" hidden="1">Sheet1!$F$1</definedName>
    <definedName name="_xlchart.v1.13" hidden="1">Sheet1!$F$2:$F$2201</definedName>
    <definedName name="_xlchart.v1.14" hidden="1">Sheet1!$E$1</definedName>
    <definedName name="_xlchart.v1.15" hidden="1">Sheet1!$E$2:$E$2201</definedName>
    <definedName name="_xlchart.v1.16" hidden="1">Sheet1!$F$1</definedName>
    <definedName name="_xlchart.v1.17" hidden="1">Sheet1!$F$2:$F$2201</definedName>
    <definedName name="_xlchart.v1.18" hidden="1">Sheet1!$G$1</definedName>
    <definedName name="_xlchart.v1.19" hidden="1">Sheet1!$G$2:$G$2201</definedName>
    <definedName name="_xlchart.v1.2" hidden="1">Sheet5!$B$1</definedName>
    <definedName name="_xlchart.v1.20" hidden="1">Sheet5!$A$1</definedName>
    <definedName name="_xlchart.v1.21" hidden="1">Sheet5!$A$2:$A$782</definedName>
    <definedName name="_xlchart.v1.22" hidden="1">Sheet5!$B$1</definedName>
    <definedName name="_xlchart.v1.23" hidden="1">Sheet5!$B$2:$B$782</definedName>
    <definedName name="_xlchart.v1.24" hidden="1">Sheet5!$C$1</definedName>
    <definedName name="_xlchart.v1.25" hidden="1">Sheet5!$C$2:$C$782</definedName>
    <definedName name="_xlchart.v1.26" hidden="1">Sheet5!$D$1</definedName>
    <definedName name="_xlchart.v1.27" hidden="1">Sheet5!$D$2:$D$782</definedName>
    <definedName name="_xlchart.v1.3" hidden="1">Sheet5!$B$2:$B$782</definedName>
    <definedName name="_xlchart.v1.4" hidden="1">Sheet5!$C$1</definedName>
    <definedName name="_xlchart.v1.5" hidden="1">Sheet5!$C$2:$C$782</definedName>
    <definedName name="_xlchart.v1.6" hidden="1">Sheet5!$D$1</definedName>
    <definedName name="_xlchart.v1.7" hidden="1">Sheet5!$D$2:$D$782</definedName>
    <definedName name="_xlchart.v1.8" hidden="1">Sheet1!$G$1</definedName>
    <definedName name="_xlchart.v1.9" hidden="1">Sheet1!$G$2:$G$2201</definedName>
  </definedNames>
  <calcPr calcId="191029"/>
  <pivotCaches>
    <pivotCache cacheId="1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" i="17" l="1"/>
  <c r="R20" i="17"/>
  <c r="Q20" i="17"/>
  <c r="S19" i="17"/>
  <c r="R19" i="17"/>
  <c r="Q19" i="17"/>
  <c r="S18" i="17"/>
  <c r="R18" i="17"/>
  <c r="Q18" i="17"/>
  <c r="D2" i="6" a="1"/>
  <c r="D2" i="6" s="1"/>
  <c r="C2" i="6" a="1"/>
  <c r="C2" i="6" s="1"/>
  <c r="B2" i="6" a="1"/>
  <c r="B2" i="6" s="1"/>
  <c r="A2" i="6" a="1"/>
  <c r="A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<sst xmlns="http://schemas.openxmlformats.org/spreadsheetml/2006/main" count="13277" uniqueCount="51">
  <si>
    <t>Patient_ID</t>
  </si>
  <si>
    <t>Age</t>
  </si>
  <si>
    <t>Sex</t>
  </si>
  <si>
    <t>Disease_Type</t>
  </si>
  <si>
    <t>Biomarker_IL6_pg_ml</t>
  </si>
  <si>
    <t>Biomarker_TNF_alpha_pg_ml</t>
  </si>
  <si>
    <t>CRP_mg_L</t>
  </si>
  <si>
    <t>Treatment_Type</t>
  </si>
  <si>
    <t>Treatment_Response</t>
  </si>
  <si>
    <t>Adverse_Event_Grade</t>
  </si>
  <si>
    <t>Followup_Months</t>
  </si>
  <si>
    <t>Relapse</t>
  </si>
  <si>
    <t>Male</t>
  </si>
  <si>
    <t>Female</t>
  </si>
  <si>
    <t>Healthy Control</t>
  </si>
  <si>
    <t>Autoimmune</t>
  </si>
  <si>
    <t>Cardiac Disease</t>
  </si>
  <si>
    <t>Viral Infection</t>
  </si>
  <si>
    <t>CAR-T</t>
  </si>
  <si>
    <t>Supportive Care</t>
  </si>
  <si>
    <t>Immunosuppressive Therapy</t>
  </si>
  <si>
    <t>Biologic Therapy</t>
  </si>
  <si>
    <t>Partial Response</t>
  </si>
  <si>
    <t>Complete Response</t>
  </si>
  <si>
    <t>No Response</t>
  </si>
  <si>
    <t>Mild</t>
  </si>
  <si>
    <t>None</t>
  </si>
  <si>
    <t>Moderate</t>
  </si>
  <si>
    <t>Severe</t>
  </si>
  <si>
    <t>No</t>
  </si>
  <si>
    <t>Yes</t>
  </si>
  <si>
    <t>Row Labels</t>
  </si>
  <si>
    <t>Grand Total</t>
  </si>
  <si>
    <t>StdDev of Biomarker_IL6_pg_ml</t>
  </si>
  <si>
    <t>StdDev of Biomarker_TNF_alpha_pg_ml</t>
  </si>
  <si>
    <t>StdDev of CRP_mg_L</t>
  </si>
  <si>
    <t>Average of Biomarker_IL6_pg_ml</t>
  </si>
  <si>
    <t>Average of Biomarker_TNF_alpha_pg_ml</t>
  </si>
  <si>
    <t>Average of CRP_mg_L</t>
  </si>
  <si>
    <t>Average of Age</t>
  </si>
  <si>
    <t>StdDev of Age</t>
  </si>
  <si>
    <t>Column Labels</t>
  </si>
  <si>
    <t>Count of Treatment_Type</t>
  </si>
  <si>
    <t>Count of Treatment_Response</t>
  </si>
  <si>
    <t>IL_6</t>
  </si>
  <si>
    <t>CRP</t>
  </si>
  <si>
    <t>TNF_alpha</t>
  </si>
  <si>
    <t>Count of Relapse</t>
  </si>
  <si>
    <t>Clinical Biomarker &amp; Treatment Response Dashboard</t>
  </si>
  <si>
    <t>Correlation Heatmap</t>
  </si>
  <si>
    <t xml:space="preserve"> of Inflammatory Biomarkers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</si>
</sst>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1" xfId="0" applyBorder="1"/>
    <xf numFmtId="0" fontId="2" fillId="0" borderId="0" xfId="0" applyFont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[biomedical_large_dataset_2200_rows.xlsx]Descritive_Statistics!PivotTable13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Treatments Against All Diseases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Descritive_Statistics!$B$9:$B$10</c:f>
              <c:strCache>
                <c:ptCount val="1"/>
                <c:pt idx="0">
                  <c:v>Biologic Therapy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Descritive_Statistics!$A$11:$A$15</c:f>
              <c:strCache>
                <c:ptCount val="4"/>
                <c:pt idx="0">
                  <c:v>Autoimmune</c:v>
                </c:pt>
                <c:pt idx="1">
                  <c:v>Cardiac Disease</c:v>
                </c:pt>
                <c:pt idx="2">
                  <c:v>Healthy Control</c:v>
                </c:pt>
                <c:pt idx="3">
                  <c:v>Viral Infection</c:v>
                </c:pt>
              </c:strCache>
            </c:strRef>
          </c:cat>
          <c:val>
            <c:numRef>
              <c:f>Descritive_Statistics!$B$11:$B$15</c:f>
              <c:numCache>
                <c:formatCode>General</c:formatCode>
                <c:ptCount val="4"/>
                <c:pt idx="0">
                  <c:v>187</c:v>
                </c:pt>
                <c:pt idx="1">
                  <c:v>106</c:v>
                </c:pt>
                <c:pt idx="2">
                  <c:v>117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B-4926-93E6-F002F1DFE695}"/>
            </c:ext>
          </c:extLst>
        </c:ser>
        <c:ser>
          <c:idx val="1"/>
          <c:order val="1"/>
          <c:tx>
            <c:strRef>
              <c:f>Descritive_Statistics!$C$9:$C$10</c:f>
              <c:strCache>
                <c:ptCount val="1"/>
                <c:pt idx="0">
                  <c:v>CAR-T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Descritive_Statistics!$A$11:$A$15</c:f>
              <c:strCache>
                <c:ptCount val="4"/>
                <c:pt idx="0">
                  <c:v>Autoimmune</c:v>
                </c:pt>
                <c:pt idx="1">
                  <c:v>Cardiac Disease</c:v>
                </c:pt>
                <c:pt idx="2">
                  <c:v>Healthy Control</c:v>
                </c:pt>
                <c:pt idx="3">
                  <c:v>Viral Infection</c:v>
                </c:pt>
              </c:strCache>
            </c:strRef>
          </c:cat>
          <c:val>
            <c:numRef>
              <c:f>Descritive_Statistics!$C$11:$C$15</c:f>
              <c:numCache>
                <c:formatCode>General</c:formatCode>
                <c:ptCount val="4"/>
                <c:pt idx="0">
                  <c:v>186</c:v>
                </c:pt>
                <c:pt idx="1">
                  <c:v>111</c:v>
                </c:pt>
                <c:pt idx="2">
                  <c:v>95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B-4926-93E6-F002F1DFE695}"/>
            </c:ext>
          </c:extLst>
        </c:ser>
        <c:ser>
          <c:idx val="2"/>
          <c:order val="2"/>
          <c:tx>
            <c:strRef>
              <c:f>Descritive_Statistics!$D$9:$D$10</c:f>
              <c:strCache>
                <c:ptCount val="1"/>
                <c:pt idx="0">
                  <c:v>Immunosuppressive Therapy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Descritive_Statistics!$A$11:$A$15</c:f>
              <c:strCache>
                <c:ptCount val="4"/>
                <c:pt idx="0">
                  <c:v>Autoimmune</c:v>
                </c:pt>
                <c:pt idx="1">
                  <c:v>Cardiac Disease</c:v>
                </c:pt>
                <c:pt idx="2">
                  <c:v>Healthy Control</c:v>
                </c:pt>
                <c:pt idx="3">
                  <c:v>Viral Infection</c:v>
                </c:pt>
              </c:strCache>
            </c:strRef>
          </c:cat>
          <c:val>
            <c:numRef>
              <c:f>Descritive_Statistics!$D$11:$D$15</c:f>
              <c:numCache>
                <c:formatCode>General</c:formatCode>
                <c:ptCount val="4"/>
                <c:pt idx="0">
                  <c:v>203</c:v>
                </c:pt>
                <c:pt idx="1">
                  <c:v>102</c:v>
                </c:pt>
                <c:pt idx="2">
                  <c:v>102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B-4926-93E6-F002F1DFE695}"/>
            </c:ext>
          </c:extLst>
        </c:ser>
        <c:ser>
          <c:idx val="3"/>
          <c:order val="3"/>
          <c:tx>
            <c:strRef>
              <c:f>Descritive_Statistics!$E$9:$E$10</c:f>
              <c:strCache>
                <c:ptCount val="1"/>
                <c:pt idx="0">
                  <c:v>Supportive Care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Descritive_Statistics!$A$11:$A$15</c:f>
              <c:strCache>
                <c:ptCount val="4"/>
                <c:pt idx="0">
                  <c:v>Autoimmune</c:v>
                </c:pt>
                <c:pt idx="1">
                  <c:v>Cardiac Disease</c:v>
                </c:pt>
                <c:pt idx="2">
                  <c:v>Healthy Control</c:v>
                </c:pt>
                <c:pt idx="3">
                  <c:v>Viral Infection</c:v>
                </c:pt>
              </c:strCache>
            </c:strRef>
          </c:cat>
          <c:val>
            <c:numRef>
              <c:f>Descritive_Statistics!$E$11:$E$15</c:f>
              <c:numCache>
                <c:formatCode>General</c:formatCode>
                <c:ptCount val="4"/>
                <c:pt idx="0">
                  <c:v>205</c:v>
                </c:pt>
                <c:pt idx="1">
                  <c:v>117</c:v>
                </c:pt>
                <c:pt idx="2">
                  <c:v>109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B-4926-93E6-F002F1DFE6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6019440"/>
        <c:axId val="1676005040"/>
      </c:barChart>
      <c:catAx>
        <c:axId val="167601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05040"/>
        <c:crosses val="autoZero"/>
        <c:auto val="1"/>
        <c:lblAlgn val="ctr"/>
        <c:lblOffset val="100"/>
        <c:noMultiLvlLbl val="0"/>
      </c:catAx>
      <c:valAx>
        <c:axId val="167600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Treatments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1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[biomedical_large_dataset_2200_rows.xlsx]Sheet5!PivotTable15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effectLst/>
              </a:rPr>
              <a:t>Relapse Rate by Treatment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Sheet5!$K$2:$K$5</c:f>
              <c:strCache>
                <c:ptCount val="4"/>
                <c:pt idx="0">
                  <c:v>Supportive Care</c:v>
                </c:pt>
                <c:pt idx="1">
                  <c:v>Biologic Therapy</c:v>
                </c:pt>
                <c:pt idx="2">
                  <c:v>Immunosuppressive Therapy</c:v>
                </c:pt>
                <c:pt idx="3">
                  <c:v>CAR-T</c:v>
                </c:pt>
              </c:strCache>
            </c:strRef>
          </c:cat>
          <c:val>
            <c:numRef>
              <c:f>Sheet5!$L$2:$L$5</c:f>
              <c:numCache>
                <c:formatCode>0.00%</c:formatCode>
                <c:ptCount val="4"/>
                <c:pt idx="0">
                  <c:v>0.25545454545454543</c:v>
                </c:pt>
                <c:pt idx="1">
                  <c:v>0.25454545454545452</c:v>
                </c:pt>
                <c:pt idx="2">
                  <c:v>0.24863636363636363</c:v>
                </c:pt>
                <c:pt idx="3">
                  <c:v>0.24136363636363636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1-4CC5-9502-1F79B93A5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4892160"/>
        <c:axId val="1744895520"/>
      </c:barChart>
      <c:catAx>
        <c:axId val="17448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95520"/>
        <c:crosses val="autoZero"/>
        <c:auto val="1"/>
        <c:lblAlgn val="ctr"/>
        <c:lblOffset val="100"/>
        <c:noMultiLvlLbl val="0"/>
      </c:catAx>
      <c:valAx>
        <c:axId val="17448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[biomedical_large_dataset_2200_rows.xlsx]Sheet5!PivotTable14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Treatment Responses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Sheet5!$F$2:$F$5</c:f>
              <c:strCache>
                <c:ptCount val="3"/>
                <c:pt idx="0">
                  <c:v>Complete Response</c:v>
                </c:pt>
                <c:pt idx="1">
                  <c:v>Partial Response</c:v>
                </c:pt>
                <c:pt idx="2">
                  <c:v>No Response</c:v>
                </c:pt>
              </c:strCache>
            </c:strRef>
          </c:cat>
          <c:val>
            <c:numRef>
              <c:f>Sheet5!$G$2:$G$5</c:f>
              <c:numCache>
                <c:formatCode>General</c:formatCode>
                <c:ptCount val="3"/>
                <c:pt idx="0">
                  <c:v>922</c:v>
                </c:pt>
                <c:pt idx="1">
                  <c:v>806</c:v>
                </c:pt>
                <c:pt idx="2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6-4CD7-BB79-4AB4F19D2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3253856"/>
        <c:axId val="1643256256"/>
      </c:barChart>
      <c:catAx>
        <c:axId val="1643253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Treatment</a:t>
                </a:r>
                <a:r>
                  <a:rPr lang="en-US" b="1" baseline="0"/>
                  <a:t> Response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56256"/>
        <c:crosses val="autoZero"/>
        <c:auto val="1"/>
        <c:lblAlgn val="ctr"/>
        <c:lblOffset val="100"/>
        <c:noMultiLvlLbl val="0"/>
      </c:catAx>
      <c:valAx>
        <c:axId val="16432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 of Treatment Response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5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[biomedical_large_dataset_2200_rows.xlsx]Sheet5!PivotTable15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effectLst/>
              </a:rPr>
              <a:t>Relapse Rate by Treatment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Sheet5!$K$2:$K$5</c:f>
              <c:strCache>
                <c:ptCount val="4"/>
                <c:pt idx="0">
                  <c:v>Supportive Care</c:v>
                </c:pt>
                <c:pt idx="1">
                  <c:v>Biologic Therapy</c:v>
                </c:pt>
                <c:pt idx="2">
                  <c:v>Immunosuppressive Therapy</c:v>
                </c:pt>
                <c:pt idx="3">
                  <c:v>CAR-T</c:v>
                </c:pt>
              </c:strCache>
            </c:strRef>
          </c:cat>
          <c:val>
            <c:numRef>
              <c:f>Sheet5!$L$2:$L$5</c:f>
              <c:numCache>
                <c:formatCode>0.00%</c:formatCode>
                <c:ptCount val="4"/>
                <c:pt idx="0">
                  <c:v>0.25545454545454543</c:v>
                </c:pt>
                <c:pt idx="1">
                  <c:v>0.25454545454545452</c:v>
                </c:pt>
                <c:pt idx="2">
                  <c:v>0.24863636363636363</c:v>
                </c:pt>
                <c:pt idx="3">
                  <c:v>0.24136363636363636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C-44A4-B7DC-8126729D4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4892160"/>
        <c:axId val="1744895520"/>
      </c:barChart>
      <c:catAx>
        <c:axId val="17448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95520"/>
        <c:crosses val="autoZero"/>
        <c:auto val="1"/>
        <c:lblAlgn val="ctr"/>
        <c:lblOffset val="100"/>
        <c:noMultiLvlLbl val="0"/>
      </c:catAx>
      <c:valAx>
        <c:axId val="17448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[biomedical_large_dataset_2200_rows.xlsx]Descritive_Statistics!PivotTable13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Descritive_Statistics!$B$9:$B$10</c:f>
              <c:strCache>
                <c:ptCount val="1"/>
                <c:pt idx="0">
                  <c:v>Biologic Therapy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Descritive_Statistics!$A$11:$A$15</c:f>
              <c:strCache>
                <c:ptCount val="4"/>
                <c:pt idx="0">
                  <c:v>Autoimmune</c:v>
                </c:pt>
                <c:pt idx="1">
                  <c:v>Cardiac Disease</c:v>
                </c:pt>
                <c:pt idx="2">
                  <c:v>Healthy Control</c:v>
                </c:pt>
                <c:pt idx="3">
                  <c:v>Viral Infection</c:v>
                </c:pt>
              </c:strCache>
            </c:strRef>
          </c:cat>
          <c:val>
            <c:numRef>
              <c:f>Descritive_Statistics!$B$11:$B$15</c:f>
              <c:numCache>
                <c:formatCode>General</c:formatCode>
                <c:ptCount val="4"/>
                <c:pt idx="0">
                  <c:v>187</c:v>
                </c:pt>
                <c:pt idx="1">
                  <c:v>106</c:v>
                </c:pt>
                <c:pt idx="2">
                  <c:v>117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C-4AA6-A345-52F7DCDEA170}"/>
            </c:ext>
          </c:extLst>
        </c:ser>
        <c:ser>
          <c:idx val="1"/>
          <c:order val="1"/>
          <c:tx>
            <c:strRef>
              <c:f>Descritive_Statistics!$C$9:$C$10</c:f>
              <c:strCache>
                <c:ptCount val="1"/>
                <c:pt idx="0">
                  <c:v>CAR-T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Descritive_Statistics!$A$11:$A$15</c:f>
              <c:strCache>
                <c:ptCount val="4"/>
                <c:pt idx="0">
                  <c:v>Autoimmune</c:v>
                </c:pt>
                <c:pt idx="1">
                  <c:v>Cardiac Disease</c:v>
                </c:pt>
                <c:pt idx="2">
                  <c:v>Healthy Control</c:v>
                </c:pt>
                <c:pt idx="3">
                  <c:v>Viral Infection</c:v>
                </c:pt>
              </c:strCache>
            </c:strRef>
          </c:cat>
          <c:val>
            <c:numRef>
              <c:f>Descritive_Statistics!$C$11:$C$15</c:f>
              <c:numCache>
                <c:formatCode>General</c:formatCode>
                <c:ptCount val="4"/>
                <c:pt idx="0">
                  <c:v>186</c:v>
                </c:pt>
                <c:pt idx="1">
                  <c:v>111</c:v>
                </c:pt>
                <c:pt idx="2">
                  <c:v>95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C-4AA6-A345-52F7DCDEA170}"/>
            </c:ext>
          </c:extLst>
        </c:ser>
        <c:ser>
          <c:idx val="2"/>
          <c:order val="2"/>
          <c:tx>
            <c:strRef>
              <c:f>Descritive_Statistics!$D$9:$D$10</c:f>
              <c:strCache>
                <c:ptCount val="1"/>
                <c:pt idx="0">
                  <c:v>Immunosuppressive Therapy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Descritive_Statistics!$A$11:$A$15</c:f>
              <c:strCache>
                <c:ptCount val="4"/>
                <c:pt idx="0">
                  <c:v>Autoimmune</c:v>
                </c:pt>
                <c:pt idx="1">
                  <c:v>Cardiac Disease</c:v>
                </c:pt>
                <c:pt idx="2">
                  <c:v>Healthy Control</c:v>
                </c:pt>
                <c:pt idx="3">
                  <c:v>Viral Infection</c:v>
                </c:pt>
              </c:strCache>
            </c:strRef>
          </c:cat>
          <c:val>
            <c:numRef>
              <c:f>Descritive_Statistics!$D$11:$D$15</c:f>
              <c:numCache>
                <c:formatCode>General</c:formatCode>
                <c:ptCount val="4"/>
                <c:pt idx="0">
                  <c:v>203</c:v>
                </c:pt>
                <c:pt idx="1">
                  <c:v>102</c:v>
                </c:pt>
                <c:pt idx="2">
                  <c:v>102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C-4AA6-A345-52F7DCDEA170}"/>
            </c:ext>
          </c:extLst>
        </c:ser>
        <c:ser>
          <c:idx val="3"/>
          <c:order val="3"/>
          <c:tx>
            <c:strRef>
              <c:f>Descritive_Statistics!$E$9:$E$10</c:f>
              <c:strCache>
                <c:ptCount val="1"/>
                <c:pt idx="0">
                  <c:v>Supportive Care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Descritive_Statistics!$A$11:$A$15</c:f>
              <c:strCache>
                <c:ptCount val="4"/>
                <c:pt idx="0">
                  <c:v>Autoimmune</c:v>
                </c:pt>
                <c:pt idx="1">
                  <c:v>Cardiac Disease</c:v>
                </c:pt>
                <c:pt idx="2">
                  <c:v>Healthy Control</c:v>
                </c:pt>
                <c:pt idx="3">
                  <c:v>Viral Infection</c:v>
                </c:pt>
              </c:strCache>
            </c:strRef>
          </c:cat>
          <c:val>
            <c:numRef>
              <c:f>Descritive_Statistics!$E$11:$E$15</c:f>
              <c:numCache>
                <c:formatCode>General</c:formatCode>
                <c:ptCount val="4"/>
                <c:pt idx="0">
                  <c:v>205</c:v>
                </c:pt>
                <c:pt idx="1">
                  <c:v>117</c:v>
                </c:pt>
                <c:pt idx="2">
                  <c:v>109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DC-4AA6-A345-52F7DCDEA1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6019440"/>
        <c:axId val="1676005040"/>
      </c:barChart>
      <c:catAx>
        <c:axId val="167601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05040"/>
        <c:crosses val="autoZero"/>
        <c:auto val="1"/>
        <c:lblAlgn val="ctr"/>
        <c:lblOffset val="100"/>
        <c:noMultiLvlLbl val="0"/>
      </c:catAx>
      <c:valAx>
        <c:axId val="167600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Treatments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1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[biomedical_large_dataset_2200_rows.xlsx]Sheet5!PivotTable14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Treatment Responses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Sheet5!$F$2:$F$5</c:f>
              <c:strCache>
                <c:ptCount val="3"/>
                <c:pt idx="0">
                  <c:v>Complete Response</c:v>
                </c:pt>
                <c:pt idx="1">
                  <c:v>Partial Response</c:v>
                </c:pt>
                <c:pt idx="2">
                  <c:v>No Response</c:v>
                </c:pt>
              </c:strCache>
            </c:strRef>
          </c:cat>
          <c:val>
            <c:numRef>
              <c:f>Sheet5!$G$2:$G$5</c:f>
              <c:numCache>
                <c:formatCode>General</c:formatCode>
                <c:ptCount val="3"/>
                <c:pt idx="0">
                  <c:v>922</c:v>
                </c:pt>
                <c:pt idx="1">
                  <c:v>806</c:v>
                </c:pt>
                <c:pt idx="2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E-4C5E-B36B-5E72529FD3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3253856"/>
        <c:axId val="1643256256"/>
      </c:barChart>
      <c:catAx>
        <c:axId val="1643253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Treatment</a:t>
                </a:r>
                <a:r>
                  <a:rPr lang="en-US" b="1" baseline="0"/>
                  <a:t> Response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56256"/>
        <c:crosses val="autoZero"/>
        <c:auto val="1"/>
        <c:lblAlgn val="ctr"/>
        <c:lblOffset val="100"/>
        <c:noMultiLvlLbl val="0"/>
      </c:catAx>
      <c:valAx>
        <c:axId val="16432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 of Treatment Response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5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[biomedical_large_dataset_2200_rows.xlsx]Sheet5!PivotTable15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effectLst/>
              </a:rPr>
              <a:t>Relapse Rate by Treatment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Sheet5!$K$2:$K$5</c:f>
              <c:strCache>
                <c:ptCount val="4"/>
                <c:pt idx="0">
                  <c:v>Supportive Care</c:v>
                </c:pt>
                <c:pt idx="1">
                  <c:v>Biologic Therapy</c:v>
                </c:pt>
                <c:pt idx="2">
                  <c:v>Immunosuppressive Therapy</c:v>
                </c:pt>
                <c:pt idx="3">
                  <c:v>CAR-T</c:v>
                </c:pt>
              </c:strCache>
            </c:strRef>
          </c:cat>
          <c:val>
            <c:numRef>
              <c:f>Sheet5!$L$2:$L$5</c:f>
              <c:numCache>
                <c:formatCode>0.00%</c:formatCode>
                <c:ptCount val="4"/>
                <c:pt idx="0">
                  <c:v>0.25545454545454543</c:v>
                </c:pt>
                <c:pt idx="1">
                  <c:v>0.25454545454545452</c:v>
                </c:pt>
                <c:pt idx="2">
                  <c:v>0.24863636363636363</c:v>
                </c:pt>
                <c:pt idx="3">
                  <c:v>0.24136363636363636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5-4B52-AF9B-B8121F39E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4892160"/>
        <c:axId val="1744895520"/>
      </c:barChart>
      <c:catAx>
        <c:axId val="17448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95520"/>
        <c:crosses val="autoZero"/>
        <c:auto val="1"/>
        <c:lblAlgn val="ctr"/>
        <c:lblOffset val="100"/>
        <c:noMultiLvlLbl val="0"/>
      </c:catAx>
      <c:valAx>
        <c:axId val="17448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Distribution of IL-6 Levels in the Study Population</a:t>
            </a: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 </a:t>
            </a:r>
          </a:p>
        </cx:rich>
      </cx:tx>
    </cx:title>
    <cx:plotArea>
      <cx:plotAreaRegion>
        <cx:series layoutId="boxWhisker" uniqueId="{9D5B447C-8E6E-4F72-8042-CE0BBEDEFA62}">
          <cx:tx>
            <cx:txData>
              <cx:f>_xlchart.v1.10</cx:f>
              <cx:v>Biomarker_IL6_pg_ml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Study Population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Study Population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IL-6 Concentration (pg/mL)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Distribution of TNF-</a:t>
            </a:r>
            <a:r>
              <a:rPr lang="el-GR" b="1"/>
              <a:t>α </a:t>
            </a:r>
            <a:r>
              <a:rPr lang="en-US" b="1"/>
              <a:t>Levels in the Study Population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E43D8FF2-E257-476A-9065-92F40934A769}">
          <cx:tx>
            <cx:txData>
              <cx:f>_xlchart.v1.12</cx:f>
              <cx:v>Biomarker_TNF_alpha_pg_ml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Study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/>
                    <a:ea typeface="Calibri" panose="020F0502020204030204" pitchFamily="34" charset="0"/>
                    <a:cs typeface="Calibri" panose="020F0502020204030204" pitchFamily="34" charset="0"/>
                  </a:rPr>
                  <a:t>Population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TNF-</a:t>
                </a:r>
                <a:r>
                  <a:rPr lang="el-GR"/>
                  <a:t>α </a:t>
                </a:r>
                <a:r>
                  <a:rPr lang="en-US"/>
                  <a:t>Concentration (pg/mL)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Distribution of CRP Levels in the Study Population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35BAE766-1F89-4CF5-8D83-1FB709884E42}">
          <cx:tx>
            <cx:txData>
              <cx:f>_xlchart.v1.8</cx:f>
              <cx:v>CRP_mg_L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Study Population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CRP Concentration (mg/L)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>
      <cx:tx>
        <cx:txData>
          <cx:v>Distribution of IL-6 Across Disease Types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IL-6 Across Disease Types</a:t>
          </a:r>
        </a:p>
      </cx:txPr>
    </cx:title>
    <cx:plotArea>
      <cx:plotAreaRegion>
        <cx:series layoutId="boxWhisker" uniqueId="{64B80B5A-A39E-4A0F-B965-788F7C116D5D}">
          <cx:tx>
            <cx:txData>
              <cx:f>_xlchart.v1.0</cx:f>
              <cx:v>Autoimmune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E2632F8-544B-450B-A1B6-EC94DF7C79E1}">
          <cx:tx>
            <cx:txData>
              <cx:f>_xlchart.v1.2</cx:f>
              <cx:v>Viral Infection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BD231BA-5E9D-4F5B-85E1-696099451767}">
          <cx:tx>
            <cx:txData>
              <cx:f>_xlchart.v1.4</cx:f>
              <cx:v>Cardiac Disease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8CFF1CD-4863-47EE-B6C1-F478A06E3300}">
          <cx:tx>
            <cx:txData>
              <cx:f>_xlchart.v1.6</cx:f>
              <cx:v>Healthy Control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Disease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Disease type</a:t>
              </a:r>
            </a:p>
          </cx:txPr>
        </cx:title>
        <cx:tickLabels/>
      </cx:axis>
      <cx:axis id="1">
        <cx:valScaling/>
        <cx:title>
          <cx:tx>
            <cx:txData>
              <cx:v>IL6_pg_ml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IL6_pg_ml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Distribution of IL-6 Levels in the Study Population</a:t>
            </a: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 </a:t>
            </a:r>
          </a:p>
        </cx:rich>
      </cx:tx>
    </cx:title>
    <cx:plotArea>
      <cx:plotAreaRegion>
        <cx:series layoutId="boxWhisker" uniqueId="{9D5B447C-8E6E-4F72-8042-CE0BBEDEFA62}">
          <cx:tx>
            <cx:txData>
              <cx:f>_xlchart.v1.14</cx:f>
              <cx:v>Biomarker_IL6_pg_ml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Study Population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Study Population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IL-6 Concentration (pg/mL)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Distribution of TNF-</a:t>
            </a:r>
            <a:r>
              <a:rPr lang="el-GR" b="1"/>
              <a:t>α </a:t>
            </a:r>
            <a:r>
              <a:rPr lang="en-US" b="1"/>
              <a:t>Levels in the Study Population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E43D8FF2-E257-476A-9065-92F40934A769}">
          <cx:tx>
            <cx:txData>
              <cx:f>_xlchart.v1.16</cx:f>
              <cx:v>Biomarker_TNF_alpha_pg_ml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Study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/>
                    <a:ea typeface="Calibri" panose="020F0502020204030204" pitchFamily="34" charset="0"/>
                    <a:cs typeface="Calibri" panose="020F0502020204030204" pitchFamily="34" charset="0"/>
                  </a:rPr>
                  <a:t>Population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TNF-</a:t>
                </a:r>
                <a:r>
                  <a:rPr lang="el-GR"/>
                  <a:t>α </a:t>
                </a:r>
                <a:r>
                  <a:rPr lang="en-US"/>
                  <a:t>Concentration (pg/mL)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Distribution of CRP Levels in the Study Population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35BAE766-1F89-4CF5-8D83-1FB709884E42}">
          <cx:tx>
            <cx:txData>
              <cx:f>_xlchart.v1.18</cx:f>
              <cx:v>CRP_mg_L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Study Population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CRP Concentration (mg/L)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</cx:chartData>
  <cx:chart>
    <cx:title pos="t" align="ctr" overlay="0">
      <cx:tx>
        <cx:txData>
          <cx:v>Distribution of IL-6 Across Disease Types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IL-6 Across Disease Types</a:t>
          </a:r>
        </a:p>
      </cx:txPr>
    </cx:title>
    <cx:plotArea>
      <cx:plotAreaRegion>
        <cx:series layoutId="boxWhisker" uniqueId="{64B80B5A-A39E-4A0F-B965-788F7C116D5D}">
          <cx:tx>
            <cx:txData>
              <cx:f>_xlchart.v1.20</cx:f>
              <cx:v>Autoimmune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E2632F8-544B-450B-A1B6-EC94DF7C79E1}">
          <cx:tx>
            <cx:txData>
              <cx:f>_xlchart.v1.22</cx:f>
              <cx:v>Viral Infection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BD231BA-5E9D-4F5B-85E1-696099451767}">
          <cx:tx>
            <cx:txData>
              <cx:f>_xlchart.v1.24</cx:f>
              <cx:v>Cardiac Disease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8CFF1CD-4863-47EE-B6C1-F478A06E3300}">
          <cx:tx>
            <cx:txData>
              <cx:f>_xlchart.v1.26</cx:f>
              <cx:v>Healthy Control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Disease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Disease type</a:t>
              </a:r>
            </a:p>
          </cx:txPr>
        </cx:title>
        <cx:tickLabels/>
      </cx:axis>
      <cx:axis id="1">
        <cx:valScaling/>
        <cx:title>
          <cx:tx>
            <cx:txData>
              <cx:v>IL6_pg_ml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IL6_pg_ml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microsoft.com/office/2014/relationships/chartEx" Target="../charts/chartEx3.xml"/><Relationship Id="rId7" Type="http://schemas.openxmlformats.org/officeDocument/2006/relationships/chart" Target="../charts/chart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2.xml"/><Relationship Id="rId5" Type="http://schemas.microsoft.com/office/2014/relationships/chartEx" Target="../charts/chartEx4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8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</xdr:row>
      <xdr:rowOff>9525</xdr:rowOff>
    </xdr:from>
    <xdr:to>
      <xdr:col>5</xdr:col>
      <xdr:colOff>9526</xdr:colOff>
      <xdr:row>13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9F84D72-FEE9-4236-B318-4BA72DCC9A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6" y="390525"/>
              <a:ext cx="3048000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</xdr:colOff>
      <xdr:row>2</xdr:row>
      <xdr:rowOff>9526</xdr:rowOff>
    </xdr:from>
    <xdr:to>
      <xdr:col>10</xdr:col>
      <xdr:colOff>9525</xdr:colOff>
      <xdr:row>13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7EF565-24C9-4A7D-93D4-86027AA412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7525" y="390526"/>
              <a:ext cx="3048000" cy="2266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9525</xdr:colOff>
      <xdr:row>2</xdr:row>
      <xdr:rowOff>9526</xdr:rowOff>
    </xdr:from>
    <xdr:to>
      <xdr:col>15</xdr:col>
      <xdr:colOff>6477</xdr:colOff>
      <xdr:row>13</xdr:row>
      <xdr:rowOff>180976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0F270B4-A230-4CB9-8CAF-5B71F285C5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5525" y="466726"/>
              <a:ext cx="3044952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</xdr:colOff>
      <xdr:row>2</xdr:row>
      <xdr:rowOff>10583</xdr:rowOff>
    </xdr:from>
    <xdr:to>
      <xdr:col>21</xdr:col>
      <xdr:colOff>180976</xdr:colOff>
      <xdr:row>13</xdr:row>
      <xdr:rowOff>182795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29CD32-2F43-4D15-854F-780F5AD48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13</xdr:row>
      <xdr:rowOff>180975</xdr:rowOff>
    </xdr:from>
    <xdr:to>
      <xdr:col>5</xdr:col>
      <xdr:colOff>9525</xdr:colOff>
      <xdr:row>25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D664E39-7B5D-410F-9577-BDF1D9A34D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733675"/>
              <a:ext cx="3048000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190499</xdr:colOff>
      <xdr:row>17</xdr:row>
      <xdr:rowOff>0</xdr:rowOff>
    </xdr:from>
    <xdr:to>
      <xdr:col>37</xdr:col>
      <xdr:colOff>495299</xdr:colOff>
      <xdr:row>31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A4C567-6F1C-4D6A-95DD-BD0E4CEF8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9525</xdr:colOff>
      <xdr:row>13</xdr:row>
      <xdr:rowOff>180975</xdr:rowOff>
    </xdr:from>
    <xdr:to>
      <xdr:col>10</xdr:col>
      <xdr:colOff>6477</xdr:colOff>
      <xdr:row>25</xdr:row>
      <xdr:rowOff>162687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344B20-07D5-45F9-8EAB-5B2D65450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9525</xdr:colOff>
      <xdr:row>13</xdr:row>
      <xdr:rowOff>180974</xdr:rowOff>
    </xdr:from>
    <xdr:to>
      <xdr:col>14</xdr:col>
      <xdr:colOff>606933</xdr:colOff>
      <xdr:row>25</xdr:row>
      <xdr:rowOff>162686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609F8C0-86D0-4CE4-BC18-51587B06F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600074</xdr:colOff>
      <xdr:row>13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990DAA-5B0A-48F4-8278-15C65D5100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648074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600075</xdr:colOff>
      <xdr:row>0</xdr:row>
      <xdr:rowOff>0</xdr:rowOff>
    </xdr:from>
    <xdr:to>
      <xdr:col>12</xdr:col>
      <xdr:colOff>9525</xdr:colOff>
      <xdr:row>13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43DD583-12E3-4802-A8CF-091FEABA2C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8075" y="0"/>
              <a:ext cx="3676650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609599</xdr:colOff>
      <xdr:row>0</xdr:row>
      <xdr:rowOff>0</xdr:rowOff>
    </xdr:from>
    <xdr:to>
      <xdr:col>18</xdr:col>
      <xdr:colOff>9524</xdr:colOff>
      <xdr:row>13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9EFCEED-53A0-462F-91A6-154AF6A040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199" y="0"/>
              <a:ext cx="3667125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123825</xdr:rowOff>
    </xdr:from>
    <xdr:to>
      <xdr:col>6</xdr:col>
      <xdr:colOff>2362200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A8245-CB2D-4FDF-9876-07522CCE6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0</xdr:rowOff>
    </xdr:from>
    <xdr:to>
      <xdr:col>14</xdr:col>
      <xdr:colOff>209550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13F85-ED29-4DDC-975B-2D991D364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0</xdr:row>
      <xdr:rowOff>0</xdr:rowOff>
    </xdr:from>
    <xdr:to>
      <xdr:col>6</xdr:col>
      <xdr:colOff>523876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F0CE45B-A748-4F67-8276-1EA5CD5CD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47815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200025</xdr:colOff>
      <xdr:row>0</xdr:row>
      <xdr:rowOff>0</xdr:rowOff>
    </xdr:from>
    <xdr:to>
      <xdr:col>21</xdr:col>
      <xdr:colOff>504825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63A525-CC7D-4AA5-AA87-CED26D394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k" refreshedDate="46041.450351736108" createdVersion="8" refreshedVersion="8" minRefreshableVersion="3" recordCount="2200" xr:uid="{A4E48B5E-5548-45AE-86BF-64722236DF2B}">
  <cacheSource type="worksheet">
    <worksheetSource ref="A1:L2201" sheet="Sheet1"/>
  </cacheSource>
  <cacheFields count="12">
    <cacheField name="Patient_ID" numFmtId="0">
      <sharedItems containsSemiMixedTypes="0" containsString="0" containsNumber="1" containsInteger="1" minValue="1" maxValue="2200" count="2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</sharedItems>
    </cacheField>
    <cacheField name="Age" numFmtId="0">
      <sharedItems containsSemiMixedTypes="0" containsString="0" containsNumber="1" containsInteger="1" minValue="18" maxValue="79"/>
    </cacheField>
    <cacheField name="Sex" numFmtId="0">
      <sharedItems count="2">
        <s v="Male"/>
        <s v="Female"/>
      </sharedItems>
    </cacheField>
    <cacheField name="Disease_Type" numFmtId="0">
      <sharedItems count="4">
        <s v="Healthy Control"/>
        <s v="Autoimmune"/>
        <s v="Cardiac Disease"/>
        <s v="Viral Infection"/>
      </sharedItems>
    </cacheField>
    <cacheField name="Biomarker_IL6_pg_ml" numFmtId="0">
      <sharedItems containsSemiMixedTypes="0" containsString="0" containsNumber="1" minValue="0.56000000000000005" maxValue="100.95" count="1668">
        <n v="35.28"/>
        <n v="10.95"/>
        <n v="17.87"/>
        <n v="17.940000000000001"/>
        <n v="21.42"/>
        <n v="16.62"/>
        <n v="36.049999999999997"/>
        <n v="8.92"/>
        <n v="22.97"/>
        <n v="23.56"/>
        <n v="9.5500000000000007"/>
        <n v="22.83"/>
        <n v="23.95"/>
        <n v="1.43"/>
        <n v="8.27"/>
        <n v="44.47"/>
        <n v="11.35"/>
        <n v="6.86"/>
        <n v="3.47"/>
        <n v="7.67"/>
        <n v="16.14"/>
        <n v="6.45"/>
        <n v="26.62"/>
        <n v="9.42"/>
        <n v="21.53"/>
        <n v="40.65"/>
        <n v="39.119999999999997"/>
        <n v="21.29"/>
        <n v="7.26"/>
        <n v="16.91"/>
        <n v="21.75"/>
        <n v="66.92"/>
        <n v="3.44"/>
        <n v="16.96"/>
        <n v="26.02"/>
        <n v="18.82"/>
        <n v="20.22"/>
        <n v="9.86"/>
        <n v="31.25"/>
        <n v="17.95"/>
        <n v="20.170000000000002"/>
        <n v="33.31"/>
        <n v="14.06"/>
        <n v="37.83"/>
        <n v="6.27"/>
        <n v="20.94"/>
        <n v="9.4"/>
        <n v="7.57"/>
        <n v="51.21"/>
        <n v="6.55"/>
        <n v="18.190000000000001"/>
        <n v="6.13"/>
        <n v="36.409999999999997"/>
        <n v="13.07"/>
        <n v="33.200000000000003"/>
        <n v="25.46"/>
        <n v="61.07"/>
        <n v="5.0999999999999996"/>
        <n v="8.2100000000000009"/>
        <n v="32.1"/>
        <n v="21.6"/>
        <n v="14.79"/>
        <n v="54.41"/>
        <n v="17.34"/>
        <n v="9.68"/>
        <n v="33.450000000000003"/>
        <n v="17.739999999999998"/>
        <n v="18.68"/>
        <n v="26.84"/>
        <n v="27.5"/>
        <n v="8.1199999999999992"/>
        <n v="14.2"/>
        <n v="5.67"/>
        <n v="21.81"/>
        <n v="50.66"/>
        <n v="8.4"/>
        <n v="4.7699999999999996"/>
        <n v="10.9"/>
        <n v="14.7"/>
        <n v="27.66"/>
        <n v="13.64"/>
        <n v="22.07"/>
        <n v="12.12"/>
        <n v="15.27"/>
        <n v="9.43"/>
        <n v="7.25"/>
        <n v="28.28"/>
        <n v="12.74"/>
        <n v="23.12"/>
        <n v="9.32"/>
        <n v="17.420000000000002"/>
        <n v="2.54"/>
        <n v="13.43"/>
        <n v="10.1"/>
        <n v="35.51"/>
        <n v="6.34"/>
        <n v="15.71"/>
        <n v="21.64"/>
        <n v="32.5"/>
        <n v="29.77"/>
        <n v="16.579999999999998"/>
        <n v="18.21"/>
        <n v="35.49"/>
        <n v="16.37"/>
        <n v="19.52"/>
        <n v="36.21"/>
        <n v="66.16"/>
        <n v="20.64"/>
        <n v="24.4"/>
        <n v="29.22"/>
        <n v="36"/>
        <n v="33"/>
        <n v="11.43"/>
        <n v="21.55"/>
        <n v="33.15"/>
        <n v="40.68"/>
        <n v="15.73"/>
        <n v="21.21"/>
        <n v="22.82"/>
        <n v="17.8"/>
        <n v="20.86"/>
        <n v="90.44"/>
        <n v="15.28"/>
        <n v="16.11"/>
        <n v="4.3099999999999996"/>
        <n v="3.66"/>
        <n v="23.87"/>
        <n v="33.229999999999997"/>
        <n v="29.53"/>
        <n v="9.3000000000000007"/>
        <n v="28.45"/>
        <n v="15.94"/>
        <n v="13.33"/>
        <n v="5.81"/>
        <n v="10.210000000000001"/>
        <n v="24.22"/>
        <n v="21.4"/>
        <n v="19.39"/>
        <n v="2.2599999999999998"/>
        <n v="11.31"/>
        <n v="21.5"/>
        <n v="36.67"/>
        <n v="12.57"/>
        <n v="18.579999999999998"/>
        <n v="54.21"/>
        <n v="20.81"/>
        <n v="17.07"/>
        <n v="9.41"/>
        <n v="28.95"/>
        <n v="8.1999999999999993"/>
        <n v="37.659999999999997"/>
        <n v="26.4"/>
        <n v="11.6"/>
        <n v="9.66"/>
        <n v="9.84"/>
        <n v="3.72"/>
        <n v="23.5"/>
        <n v="2.58"/>
        <n v="16.34"/>
        <n v="15.62"/>
        <n v="13.76"/>
        <n v="23.4"/>
        <n v="11.62"/>
        <n v="19.55"/>
        <n v="25.19"/>
        <n v="12.92"/>
        <n v="17.43"/>
        <n v="13.77"/>
        <n v="15.47"/>
        <n v="19.95"/>
        <n v="5.58"/>
        <n v="4.49"/>
        <n v="8.8000000000000007"/>
        <n v="24.11"/>
        <n v="26.25"/>
        <n v="28.74"/>
        <n v="9.08"/>
        <n v="18.510000000000002"/>
        <n v="13.2"/>
        <n v="15.92"/>
        <n v="13.04"/>
        <n v="20.7"/>
        <n v="10.58"/>
        <n v="35.119999999999997"/>
        <n v="35.31"/>
        <n v="23.64"/>
        <n v="32.619999999999997"/>
        <n v="5.4"/>
        <n v="36.369999999999997"/>
        <n v="22.2"/>
        <n v="11.06"/>
        <n v="10.25"/>
        <n v="44.02"/>
        <n v="29.03"/>
        <n v="15.63"/>
        <n v="5.34"/>
        <n v="37.51"/>
        <n v="7.29"/>
        <n v="13.38"/>
        <n v="15.61"/>
        <n v="10.130000000000001"/>
        <n v="15.13"/>
        <n v="17.25"/>
        <n v="14.92"/>
        <n v="21.37"/>
        <n v="45.01"/>
        <n v="19.260000000000002"/>
        <n v="7.36"/>
        <n v="5.1100000000000003"/>
        <n v="31.1"/>
        <n v="20.36"/>
        <n v="4.82"/>
        <n v="15.12"/>
        <n v="8.82"/>
        <n v="15.49"/>
        <n v="25.14"/>
        <n v="13.1"/>
        <n v="32.01"/>
        <n v="39.46"/>
        <n v="27.12"/>
        <n v="11.57"/>
        <n v="15.85"/>
        <n v="44.15"/>
        <n v="13.81"/>
        <n v="10.02"/>
        <n v="32.15"/>
        <n v="9.17"/>
        <n v="16.32"/>
        <n v="24.63"/>
        <n v="49.65"/>
        <n v="20.11"/>
        <n v="14.42"/>
        <n v="13.67"/>
        <n v="31.28"/>
        <n v="23.37"/>
        <n v="26.5"/>
        <n v="42.27"/>
        <n v="18.05"/>
        <n v="22.32"/>
        <n v="13.54"/>
        <n v="9.73"/>
        <n v="11.21"/>
        <n v="1.67"/>
        <n v="24.47"/>
        <n v="22.88"/>
        <n v="24.14"/>
        <n v="9.25"/>
        <n v="11.36"/>
        <n v="11.08"/>
        <n v="34.090000000000003"/>
        <n v="19.62"/>
        <n v="17.920000000000002"/>
        <n v="28.05"/>
        <n v="11.11"/>
        <n v="21.97"/>
        <n v="53.54"/>
        <n v="37.409999999999997"/>
        <n v="21.76"/>
        <n v="18.37"/>
        <n v="24"/>
        <n v="40.57"/>
        <n v="38.840000000000003"/>
        <n v="44.72"/>
        <n v="20.350000000000001"/>
        <n v="2.56"/>
        <n v="51.28"/>
        <n v="9.7200000000000006"/>
        <n v="27.77"/>
        <n v="2.62"/>
        <n v="17.670000000000002"/>
        <n v="13.83"/>
        <n v="44.78"/>
        <n v="21.94"/>
        <n v="17.55"/>
        <n v="23.52"/>
        <n v="1.01"/>
        <n v="10.92"/>
        <n v="12.2"/>
        <n v="25.91"/>
        <n v="8.1300000000000008"/>
        <n v="19.78"/>
        <n v="16.420000000000002"/>
        <n v="11.37"/>
        <n v="11.92"/>
        <n v="3.39"/>
        <n v="28.29"/>
        <n v="9.67"/>
        <n v="14.45"/>
        <n v="43.79"/>
        <n v="28.6"/>
        <n v="7"/>
        <n v="0.79"/>
        <n v="24.16"/>
        <n v="14.85"/>
        <n v="19.86"/>
        <n v="28.01"/>
        <n v="30.8"/>
        <n v="12.89"/>
        <n v="16.13"/>
        <n v="22.39"/>
        <n v="23.34"/>
        <n v="19.73"/>
        <n v="40.880000000000003"/>
        <n v="23.17"/>
        <n v="27.75"/>
        <n v="20.83"/>
        <n v="8.08"/>
        <n v="6.76"/>
        <n v="32.94"/>
        <n v="4.8"/>
        <n v="15.68"/>
        <n v="13.4"/>
        <n v="13.15"/>
        <n v="13.98"/>
        <n v="45.57"/>
        <n v="3.16"/>
        <n v="37.81"/>
        <n v="14.82"/>
        <n v="29.55"/>
        <n v="18.29"/>
        <n v="7.35"/>
        <n v="40.020000000000003"/>
        <n v="36.32"/>
        <n v="7.8"/>
        <n v="25.33"/>
        <n v="11.27"/>
        <n v="4.99"/>
        <n v="38.61"/>
        <n v="30"/>
        <n v="14.09"/>
        <n v="38.72"/>
        <n v="34.630000000000003"/>
        <n v="9.6999999999999993"/>
        <n v="44.48"/>
        <n v="13.3"/>
        <n v="14.63"/>
        <n v="3.24"/>
        <n v="11.12"/>
        <n v="15.77"/>
        <n v="7.37"/>
        <n v="10.039999999999999"/>
        <n v="45.07"/>
        <n v="33.24"/>
        <n v="37.04"/>
        <n v="16.68"/>
        <n v="21.63"/>
        <n v="25.69"/>
        <n v="44.67"/>
        <n v="4.8899999999999997"/>
        <n v="11.95"/>
        <n v="9.94"/>
        <n v="24.3"/>
        <n v="12.3"/>
        <n v="17.48"/>
        <n v="23.62"/>
        <n v="12.72"/>
        <n v="28.46"/>
        <n v="31.74"/>
        <n v="10.23"/>
        <n v="12.23"/>
        <n v="8.26"/>
        <n v="17.22"/>
        <n v="13.6"/>
        <n v="20.82"/>
        <n v="12"/>
        <n v="12.28"/>
        <n v="21.92"/>
        <n v="12.88"/>
        <n v="16.600000000000001"/>
        <n v="22.42"/>
        <n v="20.63"/>
        <n v="12.13"/>
        <n v="33.729999999999997"/>
        <n v="4.66"/>
        <n v="0.56000000000000005"/>
        <n v="24.97"/>
        <n v="7.4"/>
        <n v="18.670000000000002"/>
        <n v="23.83"/>
        <n v="0.77"/>
        <n v="14.49"/>
        <n v="11.74"/>
        <n v="28.53"/>
        <n v="3.36"/>
        <n v="24.77"/>
        <n v="49.68"/>
        <n v="12.26"/>
        <n v="21.44"/>
        <n v="3.59"/>
        <n v="17.27"/>
        <n v="35.24"/>
        <n v="49.97"/>
        <n v="22.76"/>
        <n v="4.6399999999999997"/>
        <n v="38.700000000000003"/>
        <n v="4.67"/>
        <n v="6.82"/>
        <n v="40.700000000000003"/>
        <n v="16.43"/>
        <n v="26.93"/>
        <n v="19.34"/>
        <n v="33.33"/>
        <n v="19.93"/>
        <n v="20.239999999999998"/>
        <n v="32.61"/>
        <n v="16.28"/>
        <n v="8.84"/>
        <n v="27.9"/>
        <n v="14.12"/>
        <n v="20.99"/>
        <n v="2.85"/>
        <n v="15.82"/>
        <n v="11.87"/>
        <n v="2.76"/>
        <n v="16.170000000000002"/>
        <n v="16.54"/>
        <n v="21.98"/>
        <n v="34.880000000000003"/>
        <n v="31.5"/>
        <n v="12.48"/>
        <n v="19.61"/>
        <n v="24.04"/>
        <n v="5.07"/>
        <n v="14.99"/>
        <n v="35.78"/>
        <n v="4.8499999999999996"/>
        <n v="9.58"/>
        <n v="27.01"/>
        <n v="27.46"/>
        <n v="17.86"/>
        <n v="3.83"/>
        <n v="12.95"/>
        <n v="32.08"/>
        <n v="19.22"/>
        <n v="13.66"/>
        <n v="36.04"/>
        <n v="7.49"/>
        <n v="11.22"/>
        <n v="30.25"/>
        <n v="26.66"/>
        <n v="6.99"/>
        <n v="10.79"/>
        <n v="13.86"/>
        <n v="51.89"/>
        <n v="32.42"/>
        <n v="16.78"/>
        <n v="4.58"/>
        <n v="2.71"/>
        <n v="17.899999999999999"/>
        <n v="22.54"/>
        <n v="27.2"/>
        <n v="25.27"/>
        <n v="26.64"/>
        <n v="20.8"/>
        <n v="35.57"/>
        <n v="11.85"/>
        <n v="17.72"/>
        <n v="3.85"/>
        <n v="11.67"/>
        <n v="31.88"/>
        <n v="26.11"/>
        <n v="1.72"/>
        <n v="19.25"/>
        <n v="19.489999999999998"/>
        <n v="12.99"/>
        <n v="19.11"/>
        <n v="25.18"/>
        <n v="11.79"/>
        <n v="8.74"/>
        <n v="8.2799999999999994"/>
        <n v="33.42"/>
        <n v="30.97"/>
        <n v="23.73"/>
        <n v="33.270000000000003"/>
        <n v="15.9"/>
        <n v="29.34"/>
        <n v="24.51"/>
        <n v="29.83"/>
        <n v="7.62"/>
        <n v="1.42"/>
        <n v="20.61"/>
        <n v="13.52"/>
        <n v="2.14"/>
        <n v="36.72"/>
        <n v="31.03"/>
        <n v="21.8"/>
        <n v="3.68"/>
        <n v="2.1"/>
        <n v="26.89"/>
        <n v="13.62"/>
        <n v="23.92"/>
        <n v="24.68"/>
        <n v="3.07"/>
        <n v="9.82"/>
        <n v="23.63"/>
        <n v="41.61"/>
        <n v="34.700000000000003"/>
        <n v="21.07"/>
        <n v="36.96"/>
        <n v="20.96"/>
        <n v="4.7300000000000004"/>
        <n v="26.36"/>
        <n v="35.44"/>
        <n v="49.5"/>
        <n v="6.97"/>
        <n v="29.39"/>
        <n v="22.73"/>
        <n v="37.270000000000003"/>
        <n v="29.32"/>
        <n v="24.12"/>
        <n v="12.45"/>
        <n v="27.86"/>
        <n v="6.73"/>
        <n v="20.92"/>
        <n v="16.940000000000001"/>
        <n v="4.5199999999999996"/>
        <n v="22.77"/>
        <n v="11.38"/>
        <n v="8.33"/>
        <n v="29.51"/>
        <n v="45.54"/>
        <n v="8.32"/>
        <n v="5.79"/>
        <n v="14.93"/>
        <n v="26.8"/>
        <n v="20.65"/>
        <n v="26.29"/>
        <n v="16.53"/>
        <n v="11.28"/>
        <n v="8.49"/>
        <n v="15.32"/>
        <n v="8.65"/>
        <n v="21.77"/>
        <n v="8.76"/>
        <n v="35.270000000000003"/>
        <n v="34.6"/>
        <n v="16.72"/>
        <n v="23.93"/>
        <n v="8.91"/>
        <n v="27.63"/>
        <n v="10.86"/>
        <n v="14.88"/>
        <n v="3.52"/>
        <n v="11.2"/>
        <n v="25.16"/>
        <n v="22.63"/>
        <n v="14.75"/>
        <n v="29.78"/>
        <n v="7.98"/>
        <n v="21.93"/>
        <n v="7.54"/>
        <n v="46.48"/>
        <n v="11.44"/>
        <n v="29.43"/>
        <n v="6.51"/>
        <n v="40.67"/>
        <n v="17.5"/>
        <n v="14.04"/>
        <n v="9.92"/>
        <n v="6.84"/>
        <n v="11.48"/>
        <n v="29.09"/>
        <n v="19.920000000000002"/>
        <n v="15.21"/>
        <n v="35.520000000000003"/>
        <n v="12.46"/>
        <n v="7.47"/>
        <n v="24.59"/>
        <n v="2.2799999999999998"/>
        <n v="14.27"/>
        <n v="37.42"/>
        <n v="14.91"/>
        <n v="30.88"/>
        <n v="7.39"/>
        <n v="14.51"/>
        <n v="13.58"/>
        <n v="23.76"/>
        <n v="18.14"/>
        <n v="40.46"/>
        <n v="11.97"/>
        <n v="18"/>
        <n v="13.94"/>
        <n v="17.14"/>
        <n v="16.12"/>
        <n v="28.1"/>
        <n v="10.6"/>
        <n v="10.06"/>
        <n v="4.76"/>
        <n v="11.73"/>
        <n v="10.5"/>
        <n v="2.78"/>
        <n v="14.81"/>
        <n v="39.369999999999997"/>
        <n v="5.56"/>
        <n v="16.93"/>
        <n v="14.57"/>
        <n v="25.81"/>
        <n v="57.11"/>
        <n v="20.399999999999999"/>
        <n v="9.5"/>
        <n v="11.49"/>
        <n v="12.35"/>
        <n v="10.82"/>
        <n v="45.27"/>
        <n v="26.21"/>
        <n v="7.64"/>
        <n v="33.89"/>
        <n v="11.39"/>
        <n v="41.07"/>
        <n v="10.33"/>
        <n v="8.3800000000000008"/>
        <n v="16.38"/>
        <n v="31.12"/>
        <n v="24.31"/>
        <n v="24.06"/>
        <n v="37.049999999999997"/>
        <n v="8.07"/>
        <n v="5.28"/>
        <n v="25.06"/>
        <n v="15.86"/>
        <n v="31.19"/>
        <n v="16.88"/>
        <n v="25.29"/>
        <n v="18.309999999999999"/>
        <n v="16.89"/>
        <n v="63.41"/>
        <n v="35.35"/>
        <n v="27.31"/>
        <n v="17.64"/>
        <n v="14"/>
        <n v="12.19"/>
        <n v="16.75"/>
        <n v="31.24"/>
        <n v="9.59"/>
        <n v="24.19"/>
        <n v="23.85"/>
        <n v="43.92"/>
        <n v="14.19"/>
        <n v="8.99"/>
        <n v="12.97"/>
        <n v="11.77"/>
        <n v="21.04"/>
        <n v="10.62"/>
        <n v="27.3"/>
        <n v="26.51"/>
        <n v="22.26"/>
        <n v="8.06"/>
        <n v="20.440000000000001"/>
        <n v="28.51"/>
        <n v="26.1"/>
        <n v="17.559999999999999"/>
        <n v="17.05"/>
        <n v="35.700000000000003"/>
        <n v="21"/>
        <n v="74.23"/>
        <n v="2.5299999999999998"/>
        <n v="15.4"/>
        <n v="16.02"/>
        <n v="23.71"/>
        <n v="3.02"/>
        <n v="24.02"/>
        <n v="16.670000000000002"/>
        <n v="4.51"/>
        <n v="40.159999999999997"/>
        <n v="12.85"/>
        <n v="26.32"/>
        <n v="9.49"/>
        <n v="14.58"/>
        <n v="25.82"/>
        <n v="14.25"/>
        <n v="9.16"/>
        <n v="17.170000000000002"/>
        <n v="16.61"/>
        <n v="20.329999999999998"/>
        <n v="30.64"/>
        <n v="29.71"/>
        <n v="6.78"/>
        <n v="25.22"/>
        <n v="25.7"/>
        <n v="12.38"/>
        <n v="9.85"/>
        <n v="9.4700000000000006"/>
        <n v="18.239999999999998"/>
        <n v="26.72"/>
        <n v="15.72"/>
        <n v="11.82"/>
        <n v="11.52"/>
        <n v="23.61"/>
        <n v="24.37"/>
        <n v="19.149999999999999"/>
        <n v="29.74"/>
        <n v="31.08"/>
        <n v="12.31"/>
        <n v="9.31"/>
        <n v="16.46"/>
        <n v="19.12"/>
        <n v="11.88"/>
        <n v="84.67"/>
        <n v="38.79"/>
        <n v="7.92"/>
        <n v="10.48"/>
        <n v="31.41"/>
        <n v="31.87"/>
        <n v="39.07"/>
        <n v="9.11"/>
        <n v="9.74"/>
        <n v="44.03"/>
        <n v="9.34"/>
        <n v="6.57"/>
        <n v="7.58"/>
        <n v="26.49"/>
        <n v="7.83"/>
        <n v="38.090000000000003"/>
        <n v="6.26"/>
        <n v="19.940000000000001"/>
        <n v="37.450000000000003"/>
        <n v="45.23"/>
        <n v="21.18"/>
        <n v="23.15"/>
        <n v="12.08"/>
        <n v="6.14"/>
        <n v="15.7"/>
        <n v="33.72"/>
        <n v="2.2200000000000002"/>
        <n v="24.55"/>
        <n v="17.37"/>
        <n v="36.229999999999997"/>
        <n v="31.67"/>
        <n v="5.52"/>
        <n v="18.329999999999998"/>
        <n v="10.09"/>
        <n v="10"/>
        <n v="5.89"/>
        <n v="20.32"/>
        <n v="21.47"/>
        <n v="16.73"/>
        <n v="23.96"/>
        <n v="21.23"/>
        <n v="10.7"/>
        <n v="40.69"/>
        <n v="7.96"/>
        <n v="2.5499999999999998"/>
        <n v="39.159999999999997"/>
        <n v="18.73"/>
        <n v="6.71"/>
        <n v="30.02"/>
        <n v="24.87"/>
        <n v="44.61"/>
        <n v="19.7"/>
        <n v="63.52"/>
        <n v="24.9"/>
        <n v="27.13"/>
        <n v="85.9"/>
        <n v="12.81"/>
        <n v="12.52"/>
        <n v="27.47"/>
        <n v="6.24"/>
        <n v="10.050000000000001"/>
        <n v="27.49"/>
        <n v="18.25"/>
        <n v="11.98"/>
        <n v="54.22"/>
        <n v="16.66"/>
        <n v="60.35"/>
        <n v="6.48"/>
        <n v="37.36"/>
        <n v="27.44"/>
        <n v="24.48"/>
        <n v="63.58"/>
        <n v="57.9"/>
        <n v="10.44"/>
        <n v="23.9"/>
        <n v="4.07"/>
        <n v="33.25"/>
        <n v="17.079999999999998"/>
        <n v="27.41"/>
        <n v="6.59"/>
        <n v="7.2"/>
        <n v="15.75"/>
        <n v="13.68"/>
        <n v="5.85"/>
        <n v="17.71"/>
        <n v="43.99"/>
        <n v="6.83"/>
        <n v="14.87"/>
        <n v="25.55"/>
        <n v="4.71"/>
        <n v="17.82"/>
        <n v="32.64"/>
        <n v="18.98"/>
        <n v="31.21"/>
        <n v="61.65"/>
        <n v="18.350000000000001"/>
        <n v="10.220000000000001"/>
        <n v="10.28"/>
        <n v="5.57"/>
        <n v="46.14"/>
        <n v="30.05"/>
        <n v="9.7799999999999994"/>
        <n v="18.149999999999999"/>
        <n v="32.49"/>
        <n v="23.94"/>
        <n v="22.49"/>
        <n v="19.82"/>
        <n v="7.51"/>
        <n v="16.87"/>
        <n v="5.5"/>
        <n v="45.45"/>
        <n v="5.63"/>
        <n v="12.69"/>
        <n v="14.47"/>
        <n v="14.31"/>
        <n v="19.16"/>
        <n v="22.38"/>
        <n v="23.24"/>
        <n v="10.39"/>
        <n v="10.67"/>
        <n v="32.58"/>
        <n v="12.96"/>
        <n v="15.91"/>
        <n v="14.96"/>
        <n v="60.32"/>
        <n v="8.98"/>
        <n v="17.21"/>
        <n v="15.25"/>
        <n v="7.14"/>
        <n v="16.27"/>
        <n v="17.52"/>
        <n v="12.05"/>
        <n v="9.7899999999999991"/>
        <n v="7.15"/>
        <n v="6.08"/>
        <n v="20.04"/>
        <n v="12.59"/>
        <n v="32.700000000000003"/>
        <n v="13.34"/>
        <n v="19.97"/>
        <n v="10.88"/>
        <n v="16.850000000000001"/>
        <n v="3.41"/>
        <n v="12.76"/>
        <n v="9.15"/>
        <n v="30.68"/>
        <n v="28.09"/>
        <n v="34.89"/>
        <n v="12.03"/>
        <n v="18.63"/>
        <n v="7.48"/>
        <n v="23.98"/>
        <n v="12.02"/>
        <n v="47.99"/>
        <n v="17.489999999999998"/>
        <n v="7.52"/>
        <n v="25.41"/>
        <n v="7.63"/>
        <n v="14.48"/>
        <n v="5.53"/>
        <n v="16.16"/>
        <n v="9.19"/>
        <n v="31.48"/>
        <n v="17.18"/>
        <n v="28.88"/>
        <n v="9.3800000000000008"/>
        <n v="7.12"/>
        <n v="4.37"/>
        <n v="53.73"/>
        <n v="20.74"/>
        <n v="33.64"/>
        <n v="11.65"/>
        <n v="5.88"/>
        <n v="27.34"/>
        <n v="6.7"/>
        <n v="5.14"/>
        <n v="6.31"/>
        <n v="10.83"/>
        <n v="26.31"/>
        <n v="44.24"/>
        <n v="22.71"/>
        <n v="11.14"/>
        <n v="30.42"/>
        <n v="5.01"/>
        <n v="8.61"/>
        <n v="27.89"/>
        <n v="13.91"/>
        <n v="8.17"/>
        <n v="14.32"/>
        <n v="36.299999999999997"/>
        <n v="10.69"/>
        <n v="4.9400000000000004"/>
        <n v="14.86"/>
        <n v="20.100000000000001"/>
        <n v="33.49"/>
        <n v="20.03"/>
        <n v="20.53"/>
        <n v="12.11"/>
        <n v="13.56"/>
        <n v="7.65"/>
        <n v="22.87"/>
        <n v="13.74"/>
        <n v="45.48"/>
        <n v="14.29"/>
        <n v="2.19"/>
        <n v="25.61"/>
        <n v="22.14"/>
        <n v="19.38"/>
        <n v="34.94"/>
        <n v="4.34"/>
        <n v="8.7100000000000009"/>
        <n v="16.79"/>
        <n v="18.71"/>
        <n v="15.19"/>
        <n v="5"/>
        <n v="43.58"/>
        <n v="16.55"/>
        <n v="22.93"/>
        <n v="27.58"/>
        <n v="25.54"/>
        <n v="8.68"/>
        <n v="45.7"/>
        <n v="29.26"/>
        <n v="17.61"/>
        <n v="4.93"/>
        <n v="5.91"/>
        <n v="18.57"/>
        <n v="5.46"/>
        <n v="28.62"/>
        <n v="3.23"/>
        <n v="21.27"/>
        <n v="24.42"/>
        <n v="18.43"/>
        <n v="4.83"/>
        <n v="34.71"/>
        <n v="11.84"/>
        <n v="26.09"/>
        <n v="11.45"/>
        <n v="31.34"/>
        <n v="17.100000000000001"/>
        <n v="9.75"/>
        <n v="3.71"/>
        <n v="18.62"/>
        <n v="26.76"/>
        <n v="11.07"/>
        <n v="21.68"/>
        <n v="16.64"/>
        <n v="9.1199999999999992"/>
        <n v="11.71"/>
        <n v="5.8"/>
        <n v="47.6"/>
        <n v="21.38"/>
        <n v="5.48"/>
        <n v="46.15"/>
        <n v="10.93"/>
        <n v="2.96"/>
        <n v="18.84"/>
        <n v="12.09"/>
        <n v="15.41"/>
        <n v="44.63"/>
        <n v="12.25"/>
        <n v="33.76"/>
        <n v="17.77"/>
        <n v="18.96"/>
        <n v="12.93"/>
        <n v="32.36"/>
        <n v="22.92"/>
        <n v="6.23"/>
        <n v="2.21"/>
        <n v="43.81"/>
        <n v="19.350000000000001"/>
        <n v="5.62"/>
        <n v="12.24"/>
        <n v="25.98"/>
        <n v="20.56"/>
        <n v="9.9499999999999993"/>
        <n v="10.65"/>
        <n v="15.31"/>
        <n v="16.07"/>
        <n v="37.9"/>
        <n v="15.51"/>
        <n v="13.49"/>
        <n v="45.8"/>
        <n v="45.37"/>
        <n v="4.16"/>
        <n v="12.16"/>
        <n v="38.15"/>
        <n v="15.38"/>
        <n v="25.99"/>
        <n v="5.25"/>
        <n v="16.989999999999998"/>
        <n v="28.16"/>
        <n v="10.97"/>
        <n v="27.7"/>
        <n v="20.75"/>
        <n v="8.0399999999999991"/>
        <n v="13.59"/>
        <n v="13.29"/>
        <n v="19.71"/>
        <n v="50.72"/>
        <n v="32.39"/>
        <n v="35.04"/>
        <n v="35.39"/>
        <n v="42.53"/>
        <n v="9.89"/>
        <n v="22.24"/>
        <n v="22.62"/>
        <n v="14.28"/>
        <n v="18.7"/>
        <n v="23.32"/>
        <n v="31.45"/>
        <n v="13.25"/>
        <n v="47.57"/>
        <n v="32.67"/>
        <n v="18.45"/>
        <n v="15.43"/>
        <n v="3.69"/>
        <n v="46.41"/>
        <n v="16.21"/>
        <n v="22.02"/>
        <n v="9.99"/>
        <n v="29.64"/>
        <n v="9.65"/>
        <n v="27.06"/>
        <n v="13.63"/>
        <n v="20.21"/>
        <n v="28.34"/>
        <n v="11.54"/>
        <n v="27.92"/>
        <n v="3.84"/>
        <n v="40.58"/>
        <n v="30.9"/>
        <n v="15.84"/>
        <n v="34.299999999999997"/>
        <n v="32.159999999999997"/>
        <n v="16.82"/>
        <n v="16.7"/>
        <n v="8.58"/>
        <n v="26.86"/>
        <n v="27.22"/>
        <n v="3.9"/>
        <n v="38.26"/>
        <n v="76.400000000000006"/>
        <n v="19.54"/>
        <n v="38.49"/>
        <n v="8.3699999999999992"/>
        <n v="13.61"/>
        <n v="11.5"/>
        <n v="5.0199999999999996"/>
        <n v="6.28"/>
        <n v="21.54"/>
        <n v="7.7"/>
        <n v="9.9600000000000009"/>
        <n v="25.6"/>
        <n v="18.03"/>
        <n v="11.15"/>
        <n v="31.51"/>
        <n v="21.1"/>
        <n v="18.38"/>
        <n v="7.77"/>
        <n v="22.46"/>
        <n v="23.2"/>
        <n v="14.43"/>
        <n v="12.71"/>
        <n v="46.55"/>
        <n v="12.58"/>
        <n v="6.6"/>
        <n v="32.380000000000003"/>
        <n v="25.09"/>
        <n v="39.840000000000003"/>
        <n v="13.19"/>
        <n v="19.829999999999998"/>
        <n v="16.809999999999999"/>
        <n v="6.49"/>
        <n v="7.73"/>
        <n v="11.91"/>
        <n v="29.45"/>
        <n v="17.68"/>
        <n v="13.84"/>
        <n v="4.38"/>
        <n v="26.91"/>
        <n v="9.23"/>
        <n v="23.22"/>
        <n v="13.47"/>
        <n v="10.46"/>
        <n v="23.3"/>
        <n v="55.64"/>
        <n v="16.100000000000001"/>
        <n v="51.74"/>
        <n v="10.76"/>
        <n v="21.05"/>
        <n v="14.68"/>
        <n v="35.22"/>
        <n v="18.989999999999998"/>
        <n v="72.62"/>
        <n v="14.76"/>
        <n v="33.840000000000003"/>
        <n v="1.56"/>
        <n v="26.7"/>
        <n v="14.39"/>
        <n v="7.24"/>
        <n v="35.590000000000003"/>
        <n v="4.1500000000000004"/>
        <n v="19.29"/>
        <n v="38.83"/>
        <n v="7.32"/>
        <n v="28.9"/>
        <n v="3.19"/>
        <n v="40.51"/>
        <n v="21.9"/>
        <n v="6.72"/>
        <n v="27.29"/>
        <n v="8.59"/>
        <n v="25.59"/>
        <n v="2.12"/>
        <n v="36.49"/>
        <n v="36.19"/>
        <n v="11.19"/>
        <n v="10.35"/>
        <n v="10.87"/>
        <n v="19.899999999999999"/>
        <n v="37.020000000000003"/>
        <n v="8.16"/>
        <n v="26.52"/>
        <n v="45.42"/>
        <n v="4.63"/>
        <n v="33.44"/>
        <n v="17.78"/>
        <n v="33.630000000000003"/>
        <n v="15.6"/>
        <n v="33.049999999999997"/>
        <n v="15.34"/>
        <n v="16.329999999999998"/>
        <n v="14.71"/>
        <n v="26.08"/>
        <n v="18.32"/>
        <n v="19.37"/>
        <n v="35.29"/>
        <n v="22.53"/>
        <n v="1.87"/>
        <n v="36.17"/>
        <n v="4.59"/>
        <n v="5.97"/>
        <n v="17.350000000000001"/>
        <n v="11.17"/>
        <n v="35.01"/>
        <n v="17.63"/>
        <n v="10.19"/>
        <n v="28.72"/>
        <n v="25.44"/>
        <n v="55.82"/>
        <n v="38.950000000000003"/>
        <n v="18.86"/>
        <n v="11.25"/>
        <n v="26.73"/>
        <n v="2.33"/>
        <n v="45"/>
        <n v="25.75"/>
        <n v="8.0299999999999994"/>
        <n v="44.34"/>
        <n v="52.95"/>
        <n v="9.5399999999999991"/>
        <n v="21.2"/>
        <n v="34.76"/>
        <n v="10.91"/>
        <n v="29.18"/>
        <n v="34.520000000000003"/>
        <n v="19.79"/>
        <n v="33.67"/>
        <n v="57.73"/>
        <n v="19.72"/>
        <n v="22.47"/>
        <n v="13.85"/>
        <n v="18.739999999999998"/>
        <n v="11.3"/>
        <n v="29.6"/>
        <n v="4.05"/>
        <n v="28.85"/>
        <n v="58.34"/>
        <n v="17.36"/>
        <n v="42.37"/>
        <n v="39.130000000000003"/>
        <n v="32.33"/>
        <n v="21.67"/>
        <n v="41.68"/>
        <n v="70.77"/>
        <n v="25.37"/>
        <n v="29.68"/>
        <n v="25.05"/>
        <n v="4.95"/>
        <n v="46.21"/>
        <n v="38.32"/>
        <n v="42.71"/>
        <n v="16.239999999999998"/>
        <n v="13.7"/>
        <n v="16.86"/>
        <n v="8.9700000000000006"/>
        <n v="7.05"/>
        <n v="10.18"/>
        <n v="11.29"/>
        <n v="20.190000000000001"/>
        <n v="8.7799999999999994"/>
        <n v="33.1"/>
        <n v="10.11"/>
        <n v="8.9499999999999993"/>
        <n v="28.93"/>
        <n v="19.13"/>
        <n v="42.32"/>
        <n v="9.69"/>
        <n v="9.39"/>
        <n v="5.22"/>
        <n v="49.96"/>
        <n v="17.75"/>
        <n v="33.6"/>
        <n v="16.8"/>
        <n v="26.69"/>
        <n v="18.09"/>
        <n v="13.31"/>
        <n v="50.53"/>
        <n v="8.8699999999999992"/>
        <n v="15.53"/>
        <n v="19.079999999999998"/>
        <n v="29.75"/>
        <n v="43.38"/>
        <n v="15.5"/>
        <n v="23.03"/>
        <n v="13.22"/>
        <n v="15.55"/>
        <n v="6.63"/>
        <n v="31.35"/>
        <n v="9.93"/>
        <n v="17.059999999999999"/>
        <n v="37.17"/>
        <n v="33.47"/>
        <n v="7.5"/>
        <n v="0.99"/>
        <n v="14.05"/>
        <n v="13.45"/>
        <n v="11.61"/>
        <n v="60.75"/>
        <n v="49.93"/>
        <n v="18.899999999999999"/>
        <n v="31.69"/>
        <n v="6.06"/>
        <n v="35.64"/>
        <n v="13.75"/>
        <n v="29.05"/>
        <n v="13.39"/>
        <n v="31.44"/>
        <n v="9.8699999999999992"/>
        <n v="38.24"/>
        <n v="30.73"/>
        <n v="23.88"/>
        <n v="4.0599999999999996"/>
        <n v="32.090000000000003"/>
        <n v="70.650000000000006"/>
        <n v="21.14"/>
        <n v="39.39"/>
        <n v="5.83"/>
        <n v="8"/>
        <n v="13.72"/>
        <n v="15.54"/>
        <n v="21.22"/>
        <n v="11.18"/>
        <n v="19.03"/>
        <n v="31.4"/>
        <n v="13.41"/>
        <n v="27.62"/>
        <n v="13"/>
        <n v="30.41"/>
        <n v="15.26"/>
        <n v="6.64"/>
        <n v="18.010000000000002"/>
        <n v="30.58"/>
        <n v="32.31"/>
        <n v="7.74"/>
        <n v="14.64"/>
        <n v="40.98"/>
        <n v="6.75"/>
        <n v="34.29"/>
        <n v="3.03"/>
        <n v="31.6"/>
        <n v="25.52"/>
        <n v="36.29"/>
        <n v="17.239999999999998"/>
        <n v="12.17"/>
        <n v="5.45"/>
        <n v="39.44"/>
        <n v="12.62"/>
        <n v="14.15"/>
        <n v="26.81"/>
        <n v="12.61"/>
        <n v="8.56"/>
        <n v="16.03"/>
        <n v="15.46"/>
        <n v="75"/>
        <n v="7.76"/>
        <n v="2.9"/>
        <n v="14.59"/>
        <n v="1.9"/>
        <n v="14.46"/>
        <n v="15.39"/>
        <n v="33.75"/>
        <n v="30.35"/>
        <n v="18.2"/>
        <n v="54.61"/>
        <n v="15.89"/>
        <n v="17.29"/>
        <n v="4.54"/>
        <n v="10.63"/>
        <n v="18.75"/>
        <n v="6.17"/>
        <n v="21.52"/>
        <n v="13.37"/>
        <n v="23.04"/>
        <n v="16.2"/>
        <n v="21.99"/>
        <n v="10.49"/>
        <n v="23.79"/>
        <n v="14.77"/>
        <n v="37.64"/>
        <n v="19.010000000000002"/>
        <n v="24.05"/>
        <n v="38.64"/>
        <n v="12.4"/>
        <n v="1.17"/>
        <n v="18.97"/>
        <n v="23.99"/>
        <n v="24.32"/>
        <n v="5.61"/>
        <n v="30.27"/>
        <n v="11.02"/>
        <n v="6.81"/>
        <n v="31.91"/>
        <n v="13.23"/>
        <n v="6.65"/>
        <n v="28.71"/>
        <n v="9.1300000000000008"/>
        <n v="13.89"/>
        <n v="3.48"/>
        <n v="25.65"/>
        <n v="14.62"/>
        <n v="2.74"/>
        <n v="27"/>
        <n v="66.540000000000006"/>
        <n v="22.51"/>
        <n v="38.01"/>
        <n v="26.38"/>
        <n v="31.93"/>
        <n v="36.97"/>
        <n v="40.1"/>
        <n v="13.97"/>
        <n v="45.87"/>
        <n v="19.09"/>
        <n v="13.55"/>
        <n v="16.47"/>
        <n v="28.68"/>
        <n v="25.08"/>
        <n v="23.33"/>
        <n v="10.45"/>
        <n v="11.93"/>
        <n v="7.86"/>
        <n v="3.81"/>
        <n v="15.33"/>
        <n v="34.840000000000003"/>
        <n v="14.24"/>
        <n v="5.51"/>
        <n v="16.09"/>
        <n v="34"/>
        <n v="14.01"/>
        <n v="38.51"/>
        <n v="27.07"/>
        <n v="37.369999999999997"/>
        <n v="56.8"/>
        <n v="12.37"/>
        <n v="19.27"/>
        <n v="34.82"/>
        <n v="20.5"/>
        <n v="3.63"/>
        <n v="14.16"/>
        <n v="20.38"/>
        <n v="43.7"/>
        <n v="8.9"/>
        <n v="41.04"/>
        <n v="10.99"/>
        <n v="6.15"/>
        <n v="4.0199999999999996"/>
        <n v="9.44"/>
        <n v="19.64"/>
        <n v="31.32"/>
        <n v="28.03"/>
        <n v="17.309999999999999"/>
        <n v="5.31"/>
        <n v="1.7"/>
        <n v="10.71"/>
        <n v="2.67"/>
        <n v="22.11"/>
        <n v="40.74"/>
        <n v="4.6500000000000004"/>
        <n v="23.29"/>
        <n v="9.83"/>
        <n v="13.06"/>
        <n v="9.1"/>
        <n v="24.69"/>
        <n v="8.48"/>
        <n v="20.54"/>
        <n v="48.74"/>
        <n v="42.45"/>
        <n v="29.11"/>
        <n v="29.63"/>
        <n v="1"/>
        <n v="10.16"/>
        <n v="8.57"/>
        <n v="22.28"/>
        <n v="26.99"/>
        <n v="22.05"/>
        <n v="30.86"/>
        <n v="28.19"/>
        <n v="10.73"/>
        <n v="11.63"/>
        <n v="27.19"/>
        <n v="16.739999999999998"/>
        <n v="3.79"/>
        <n v="10.37"/>
        <n v="10.3"/>
        <n v="23.43"/>
        <n v="31.92"/>
        <n v="35.479999999999997"/>
        <n v="15.66"/>
        <n v="14.56"/>
        <n v="6.93"/>
        <n v="14.13"/>
        <n v="40.299999999999997"/>
        <n v="20.91"/>
        <n v="32.840000000000003"/>
        <n v="16.399999999999999"/>
        <n v="24.92"/>
        <n v="33.53"/>
        <n v="35.6"/>
        <n v="7.71"/>
        <n v="47.97"/>
        <n v="28.76"/>
        <n v="3.99"/>
        <n v="8.01"/>
        <n v="8.35"/>
        <n v="24.18"/>
        <n v="30.14"/>
        <n v="3.05"/>
        <n v="1.69"/>
        <n v="54.77"/>
        <n v="28.89"/>
        <n v="2.42"/>
        <n v="22.67"/>
        <n v="44.94"/>
        <n v="6.9"/>
        <n v="35.69"/>
        <n v="17.440000000000001"/>
        <n v="26.71"/>
        <n v="12.83"/>
        <n v="26.75"/>
        <n v="30.07"/>
        <n v="42.51"/>
        <n v="43.23"/>
        <n v="8.39"/>
        <n v="8.6999999999999993"/>
        <n v="9.02"/>
        <n v="13.28"/>
        <n v="9.2200000000000006"/>
        <n v="2.48"/>
        <n v="2.97"/>
        <n v="5.09"/>
        <n v="52.96"/>
        <n v="49.14"/>
        <n v="27.74"/>
        <n v="17.190000000000001"/>
        <n v="23.08"/>
        <n v="9.91"/>
        <n v="22.29"/>
        <n v="50.02"/>
        <n v="23.01"/>
        <n v="9.8800000000000008"/>
        <n v="17.600000000000001"/>
        <n v="45.9"/>
        <n v="11.03"/>
        <n v="30.21"/>
        <n v="51.52"/>
        <n v="33.69"/>
        <n v="22.61"/>
        <n v="26.43"/>
        <n v="5.82"/>
        <n v="14.03"/>
        <n v="15.2"/>
        <n v="48.47"/>
        <n v="32.17"/>
        <n v="100.95"/>
        <n v="6.42"/>
        <n v="23.19"/>
        <n v="7.17"/>
        <n v="31.04"/>
        <n v="17.989999999999998"/>
        <n v="13.36"/>
        <n v="9.0500000000000007"/>
        <n v="34.96"/>
        <n v="33.21"/>
        <n v="47.21"/>
        <n v="22.94"/>
        <n v="17.579999999999998"/>
        <n v="7.13"/>
        <n v="29.88"/>
        <n v="12.75"/>
        <n v="37.590000000000003"/>
        <n v="3.45"/>
        <n v="13.35"/>
        <n v="5.17"/>
        <n v="10.59"/>
        <n v="18.47"/>
        <n v="48.49"/>
        <n v="18.5"/>
        <n v="24.46"/>
        <n v="16.649999999999999"/>
        <n v="29"/>
        <n v="51"/>
        <n v="34.97"/>
        <n v="21.39"/>
        <n v="32.020000000000003"/>
        <n v="42.96"/>
        <n v="3.01"/>
        <n v="10.57"/>
        <n v="55.46"/>
        <n v="31.31"/>
        <n v="28.32"/>
        <n v="14.72"/>
        <n v="44"/>
        <n v="38.659999999999997"/>
        <n v="22.55"/>
        <n v="37.4"/>
        <n v="21.25"/>
        <n v="7.16"/>
        <n v="5.72"/>
        <n v="43.94"/>
        <n v="36.11"/>
        <n v="8.51"/>
        <n v="12.9"/>
        <n v="23.35"/>
        <n v="4.88"/>
        <n v="16.260000000000002"/>
        <n v="19.07"/>
        <n v="3.92"/>
        <n v="52"/>
        <n v="15.02"/>
        <n v="35.76"/>
        <n v="36.700000000000003"/>
        <n v="24.78"/>
        <n v="15.56"/>
        <n v="17.97"/>
        <n v="29.65"/>
        <n v="5.2"/>
        <n v="72.86"/>
        <n v="16.59"/>
        <n v="15.88"/>
        <n v="19.329999999999998"/>
        <n v="37.869999999999997"/>
        <n v="47.26"/>
        <n v="9.1999999999999993"/>
        <n v="12.29"/>
        <n v="25.78"/>
        <n v="13.13"/>
        <n v="24.15"/>
        <n v="11.83"/>
        <n v="38.65"/>
        <n v="4.12"/>
        <n v="21.24"/>
        <n v="38.92"/>
        <n v="26.33"/>
        <n v="9.7100000000000009"/>
        <n v="9.98"/>
        <n v="16"/>
        <n v="33.51"/>
        <n v="17.79"/>
        <n v="15.42"/>
        <n v="35.409999999999997"/>
        <n v="21.31"/>
        <n v="13.44"/>
        <n v="17.850000000000001"/>
        <n v="26.74"/>
        <n v="14.21"/>
        <n v="16.39"/>
        <n v="31.82"/>
        <n v="18.11"/>
        <n v="34.799999999999997"/>
        <n v="11.26"/>
        <n v="42.85"/>
        <n v="33.9"/>
        <n v="1.98"/>
        <n v="27.38"/>
        <n v="26.77"/>
        <n v="10.81"/>
        <n v="15.98"/>
        <n v="17.510000000000002"/>
        <n v="27.26"/>
        <n v="48.81"/>
        <n v="11.32"/>
        <n v="65.22"/>
        <n v="52.76"/>
        <n v="17.47"/>
        <n v="29.8"/>
        <n v="18.27"/>
        <n v="19.579999999999998"/>
        <n v="30.32"/>
        <n v="52.34"/>
        <n v="32.82"/>
        <n v="0.63"/>
        <n v="18.809999999999999"/>
        <n v="10.199999999999999"/>
        <n v="34.18"/>
        <n v="12.49"/>
        <n v="40.35"/>
        <n v="8.2200000000000006"/>
        <n v="8.5399999999999991"/>
        <n v="25.94"/>
        <n v="23.54"/>
        <n v="5.66"/>
        <n v="12.33"/>
        <n v="39.51"/>
        <n v="20.34"/>
        <n v="21.13"/>
        <n v="3.87"/>
        <n v="22.65"/>
        <n v="12.54"/>
        <n v="7.9"/>
        <n v="8.75"/>
        <n v="40"/>
        <n v="12.06"/>
        <n v="35.25"/>
        <n v="21.19"/>
        <n v="32.659999999999997"/>
        <n v="27.98"/>
        <n v="12.04"/>
        <n v="3.17"/>
        <n v="24.99"/>
        <n v="22.44"/>
        <n v="13.87"/>
        <n v="21.3"/>
        <n v="37.25"/>
        <n v="3.46"/>
        <n v="22.22"/>
        <n v="38.9"/>
        <n v="26.94"/>
        <n v="3.3"/>
        <n v="14.8"/>
        <n v="22.48"/>
        <n v="28.27"/>
        <n v="8.66"/>
        <n v="7.11"/>
        <n v="6.88"/>
        <n v="17.809999999999999"/>
        <n v="12.55"/>
        <n v="21.03"/>
        <n v="4.92"/>
        <n v="25.87"/>
        <n v="28.37"/>
        <n v="28.17"/>
        <n v="23.55"/>
        <n v="7.68"/>
        <n v="11.04"/>
        <n v="13.8"/>
        <n v="31.07"/>
        <n v="16.23"/>
        <n v="46.74"/>
        <n v="2.06"/>
        <n v="19.739999999999998"/>
      </sharedItems>
    </cacheField>
    <cacheField name="Biomarker_TNF_alpha_pg_ml" numFmtId="0">
      <sharedItems containsSemiMixedTypes="0" containsString="0" containsNumber="1" minValue="0.14000000000000001" maxValue="55.71"/>
    </cacheField>
    <cacheField name="CRP_mg_L" numFmtId="0">
      <sharedItems containsSemiMixedTypes="0" containsString="0" containsNumber="1" minValue="0.21" maxValue="50.3"/>
    </cacheField>
    <cacheField name="Treatment_Type" numFmtId="0">
      <sharedItems count="4">
        <s v="CAR-T"/>
        <s v="Supportive Care"/>
        <s v="Immunosuppressive Therapy"/>
        <s v="Biologic Therapy"/>
      </sharedItems>
    </cacheField>
    <cacheField name="Treatment_Response" numFmtId="0">
      <sharedItems count="3">
        <s v="Partial Response"/>
        <s v="Complete Response"/>
        <s v="No Response"/>
      </sharedItems>
    </cacheField>
    <cacheField name="Adverse_Event_Grade" numFmtId="0">
      <sharedItems/>
    </cacheField>
    <cacheField name="Followup_Months" numFmtId="0">
      <sharedItems containsSemiMixedTypes="0" containsString="0" containsNumber="1" containsInteger="1" minValue="3" maxValue="35"/>
    </cacheField>
    <cacheField name="Relaps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3690993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x v="0"/>
    <n v="56"/>
    <x v="0"/>
    <x v="0"/>
    <x v="0"/>
    <n v="6.27"/>
    <n v="1.1200000000000001"/>
    <x v="0"/>
    <x v="0"/>
    <s v="Mild"/>
    <n v="3"/>
    <x v="0"/>
  </r>
  <r>
    <x v="1"/>
    <n v="69"/>
    <x v="1"/>
    <x v="1"/>
    <x v="1"/>
    <n v="7.77"/>
    <n v="10.77"/>
    <x v="1"/>
    <x v="1"/>
    <s v="None"/>
    <n v="7"/>
    <x v="0"/>
  </r>
  <r>
    <x v="2"/>
    <n v="46"/>
    <x v="1"/>
    <x v="1"/>
    <x v="2"/>
    <n v="22.86"/>
    <n v="5.64"/>
    <x v="1"/>
    <x v="1"/>
    <s v="None"/>
    <n v="32"/>
    <x v="0"/>
  </r>
  <r>
    <x v="3"/>
    <n v="32"/>
    <x v="0"/>
    <x v="1"/>
    <x v="3"/>
    <n v="14.01"/>
    <n v="13.81"/>
    <x v="2"/>
    <x v="2"/>
    <s v="Moderate"/>
    <n v="13"/>
    <x v="0"/>
  </r>
  <r>
    <x v="4"/>
    <n v="60"/>
    <x v="1"/>
    <x v="2"/>
    <x v="4"/>
    <n v="8.09"/>
    <n v="5.87"/>
    <x v="0"/>
    <x v="2"/>
    <s v="Mild"/>
    <n v="30"/>
    <x v="0"/>
  </r>
  <r>
    <x v="5"/>
    <n v="25"/>
    <x v="1"/>
    <x v="1"/>
    <x v="5"/>
    <n v="5.12"/>
    <n v="4.8"/>
    <x v="2"/>
    <x v="0"/>
    <s v="None"/>
    <n v="19"/>
    <x v="0"/>
  </r>
  <r>
    <x v="6"/>
    <n v="78"/>
    <x v="0"/>
    <x v="3"/>
    <x v="6"/>
    <n v="3.83"/>
    <n v="13.25"/>
    <x v="1"/>
    <x v="1"/>
    <s v="None"/>
    <n v="25"/>
    <x v="0"/>
  </r>
  <r>
    <x v="7"/>
    <n v="38"/>
    <x v="0"/>
    <x v="0"/>
    <x v="7"/>
    <n v="6.6"/>
    <n v="33.6"/>
    <x v="0"/>
    <x v="1"/>
    <s v="None"/>
    <n v="20"/>
    <x v="1"/>
  </r>
  <r>
    <x v="8"/>
    <n v="56"/>
    <x v="1"/>
    <x v="0"/>
    <x v="8"/>
    <n v="8.67"/>
    <n v="21.07"/>
    <x v="1"/>
    <x v="1"/>
    <s v="Moderate"/>
    <n v="29"/>
    <x v="1"/>
  </r>
  <r>
    <x v="9"/>
    <n v="75"/>
    <x v="0"/>
    <x v="3"/>
    <x v="9"/>
    <n v="30.21"/>
    <n v="13.4"/>
    <x v="2"/>
    <x v="0"/>
    <s v="None"/>
    <n v="27"/>
    <x v="1"/>
  </r>
  <r>
    <x v="10"/>
    <n v="36"/>
    <x v="1"/>
    <x v="1"/>
    <x v="10"/>
    <n v="10.97"/>
    <n v="19.71"/>
    <x v="2"/>
    <x v="1"/>
    <s v="Mild"/>
    <n v="7"/>
    <x v="0"/>
  </r>
  <r>
    <x v="11"/>
    <n v="40"/>
    <x v="1"/>
    <x v="0"/>
    <x v="11"/>
    <n v="5.67"/>
    <n v="12.45"/>
    <x v="2"/>
    <x v="2"/>
    <s v="Mild"/>
    <n v="21"/>
    <x v="1"/>
  </r>
  <r>
    <x v="12"/>
    <n v="28"/>
    <x v="1"/>
    <x v="3"/>
    <x v="12"/>
    <n v="0.75"/>
    <n v="0.97"/>
    <x v="2"/>
    <x v="2"/>
    <s v="Severe"/>
    <n v="29"/>
    <x v="1"/>
  </r>
  <r>
    <x v="13"/>
    <n v="28"/>
    <x v="1"/>
    <x v="1"/>
    <x v="13"/>
    <n v="4.99"/>
    <n v="15.11"/>
    <x v="2"/>
    <x v="1"/>
    <s v="Moderate"/>
    <n v="15"/>
    <x v="1"/>
  </r>
  <r>
    <x v="14"/>
    <n v="41"/>
    <x v="0"/>
    <x v="1"/>
    <x v="14"/>
    <n v="6.61"/>
    <n v="13.09"/>
    <x v="3"/>
    <x v="0"/>
    <s v="None"/>
    <n v="9"/>
    <x v="0"/>
  </r>
  <r>
    <x v="15"/>
    <n v="70"/>
    <x v="0"/>
    <x v="0"/>
    <x v="15"/>
    <n v="11.78"/>
    <n v="17.18"/>
    <x v="2"/>
    <x v="0"/>
    <s v="Mild"/>
    <n v="28"/>
    <x v="0"/>
  </r>
  <r>
    <x v="16"/>
    <n v="53"/>
    <x v="0"/>
    <x v="2"/>
    <x v="16"/>
    <n v="6.81"/>
    <n v="5.61"/>
    <x v="2"/>
    <x v="2"/>
    <s v="Mild"/>
    <n v="16"/>
    <x v="1"/>
  </r>
  <r>
    <x v="17"/>
    <n v="57"/>
    <x v="0"/>
    <x v="0"/>
    <x v="17"/>
    <n v="31.14"/>
    <n v="18.940000000000001"/>
    <x v="1"/>
    <x v="2"/>
    <s v="Mild"/>
    <n v="29"/>
    <x v="0"/>
  </r>
  <r>
    <x v="18"/>
    <n v="41"/>
    <x v="1"/>
    <x v="0"/>
    <x v="18"/>
    <n v="8.1999999999999993"/>
    <n v="3.45"/>
    <x v="2"/>
    <x v="1"/>
    <s v="Moderate"/>
    <n v="10"/>
    <x v="1"/>
  </r>
  <r>
    <x v="19"/>
    <n v="20"/>
    <x v="1"/>
    <x v="3"/>
    <x v="19"/>
    <n v="19.739999999999998"/>
    <n v="10.220000000000001"/>
    <x v="0"/>
    <x v="1"/>
    <s v="Moderate"/>
    <n v="33"/>
    <x v="0"/>
  </r>
  <r>
    <x v="20"/>
    <n v="39"/>
    <x v="0"/>
    <x v="3"/>
    <x v="20"/>
    <n v="2.06"/>
    <n v="9.11"/>
    <x v="2"/>
    <x v="0"/>
    <s v="None"/>
    <n v="29"/>
    <x v="0"/>
  </r>
  <r>
    <x v="21"/>
    <n v="70"/>
    <x v="1"/>
    <x v="3"/>
    <x v="21"/>
    <n v="9.44"/>
    <n v="0.59"/>
    <x v="3"/>
    <x v="0"/>
    <s v="None"/>
    <n v="6"/>
    <x v="0"/>
  </r>
  <r>
    <x v="22"/>
    <n v="19"/>
    <x v="1"/>
    <x v="1"/>
    <x v="22"/>
    <n v="5.04"/>
    <n v="6.13"/>
    <x v="2"/>
    <x v="1"/>
    <s v="Mild"/>
    <n v="6"/>
    <x v="0"/>
  </r>
  <r>
    <x v="23"/>
    <n v="41"/>
    <x v="1"/>
    <x v="3"/>
    <x v="23"/>
    <n v="20.11"/>
    <n v="12.97"/>
    <x v="1"/>
    <x v="0"/>
    <s v="None"/>
    <n v="20"/>
    <x v="0"/>
  </r>
  <r>
    <x v="24"/>
    <n v="61"/>
    <x v="0"/>
    <x v="2"/>
    <x v="24"/>
    <n v="7.19"/>
    <n v="6.26"/>
    <x v="0"/>
    <x v="0"/>
    <s v="None"/>
    <n v="25"/>
    <x v="0"/>
  </r>
  <r>
    <x v="25"/>
    <n v="47"/>
    <x v="0"/>
    <x v="2"/>
    <x v="25"/>
    <n v="23.29"/>
    <n v="22.87"/>
    <x v="0"/>
    <x v="1"/>
    <s v="None"/>
    <n v="34"/>
    <x v="0"/>
  </r>
  <r>
    <x v="26"/>
    <n v="55"/>
    <x v="0"/>
    <x v="0"/>
    <x v="26"/>
    <n v="15.58"/>
    <n v="10.8"/>
    <x v="2"/>
    <x v="2"/>
    <s v="Moderate"/>
    <n v="14"/>
    <x v="0"/>
  </r>
  <r>
    <x v="27"/>
    <n v="19"/>
    <x v="1"/>
    <x v="3"/>
    <x v="27"/>
    <n v="6.44"/>
    <n v="7.57"/>
    <x v="2"/>
    <x v="1"/>
    <s v="None"/>
    <n v="22"/>
    <x v="0"/>
  </r>
  <r>
    <x v="28"/>
    <n v="77"/>
    <x v="0"/>
    <x v="2"/>
    <x v="28"/>
    <n v="3.77"/>
    <n v="19.010000000000002"/>
    <x v="2"/>
    <x v="0"/>
    <s v="Mild"/>
    <n v="14"/>
    <x v="1"/>
  </r>
  <r>
    <x v="29"/>
    <n v="38"/>
    <x v="0"/>
    <x v="2"/>
    <x v="29"/>
    <n v="5.31"/>
    <n v="6.7"/>
    <x v="2"/>
    <x v="0"/>
    <s v="None"/>
    <n v="10"/>
    <x v="0"/>
  </r>
  <r>
    <x v="30"/>
    <n v="50"/>
    <x v="0"/>
    <x v="3"/>
    <x v="30"/>
    <n v="7.78"/>
    <n v="3.72"/>
    <x v="1"/>
    <x v="1"/>
    <s v="None"/>
    <n v="24"/>
    <x v="0"/>
  </r>
  <r>
    <x v="31"/>
    <n v="29"/>
    <x v="0"/>
    <x v="2"/>
    <x v="31"/>
    <n v="15.51"/>
    <n v="13.66"/>
    <x v="1"/>
    <x v="0"/>
    <s v="None"/>
    <n v="29"/>
    <x v="0"/>
  </r>
  <r>
    <x v="32"/>
    <n v="75"/>
    <x v="0"/>
    <x v="1"/>
    <x v="32"/>
    <n v="9.69"/>
    <n v="3.14"/>
    <x v="0"/>
    <x v="0"/>
    <s v="None"/>
    <n v="19"/>
    <x v="0"/>
  </r>
  <r>
    <x v="33"/>
    <n v="39"/>
    <x v="0"/>
    <x v="3"/>
    <x v="33"/>
    <n v="17.510000000000002"/>
    <n v="6.35"/>
    <x v="2"/>
    <x v="2"/>
    <s v="Moderate"/>
    <n v="34"/>
    <x v="0"/>
  </r>
  <r>
    <x v="34"/>
    <n v="78"/>
    <x v="1"/>
    <x v="1"/>
    <x v="34"/>
    <n v="24.51"/>
    <n v="9.5"/>
    <x v="1"/>
    <x v="1"/>
    <s v="Moderate"/>
    <n v="35"/>
    <x v="0"/>
  </r>
  <r>
    <x v="35"/>
    <n v="61"/>
    <x v="1"/>
    <x v="3"/>
    <x v="35"/>
    <n v="10.09"/>
    <n v="7.5"/>
    <x v="1"/>
    <x v="0"/>
    <s v="Mild"/>
    <n v="33"/>
    <x v="0"/>
  </r>
  <r>
    <x v="36"/>
    <n v="42"/>
    <x v="0"/>
    <x v="3"/>
    <x v="36"/>
    <n v="4.16"/>
    <n v="50.3"/>
    <x v="0"/>
    <x v="0"/>
    <s v="None"/>
    <n v="8"/>
    <x v="0"/>
  </r>
  <r>
    <x v="37"/>
    <n v="66"/>
    <x v="0"/>
    <x v="2"/>
    <x v="37"/>
    <n v="12.89"/>
    <n v="12.54"/>
    <x v="0"/>
    <x v="0"/>
    <s v="None"/>
    <n v="11"/>
    <x v="0"/>
  </r>
  <r>
    <x v="38"/>
    <n v="44"/>
    <x v="1"/>
    <x v="0"/>
    <x v="38"/>
    <n v="33.42"/>
    <n v="8.5"/>
    <x v="3"/>
    <x v="2"/>
    <s v="None"/>
    <n v="34"/>
    <x v="1"/>
  </r>
  <r>
    <x v="39"/>
    <n v="76"/>
    <x v="1"/>
    <x v="2"/>
    <x v="39"/>
    <n v="18.190000000000001"/>
    <n v="5.74"/>
    <x v="1"/>
    <x v="1"/>
    <s v="None"/>
    <n v="18"/>
    <x v="0"/>
  </r>
  <r>
    <x v="40"/>
    <n v="59"/>
    <x v="0"/>
    <x v="2"/>
    <x v="40"/>
    <n v="12.19"/>
    <n v="11.8"/>
    <x v="0"/>
    <x v="1"/>
    <s v="None"/>
    <n v="14"/>
    <x v="1"/>
  </r>
  <r>
    <x v="41"/>
    <n v="45"/>
    <x v="0"/>
    <x v="3"/>
    <x v="41"/>
    <n v="4.67"/>
    <n v="19.53"/>
    <x v="1"/>
    <x v="0"/>
    <s v="Mild"/>
    <n v="5"/>
    <x v="0"/>
  </r>
  <r>
    <x v="42"/>
    <n v="77"/>
    <x v="0"/>
    <x v="2"/>
    <x v="42"/>
    <n v="8.44"/>
    <n v="2.17"/>
    <x v="1"/>
    <x v="1"/>
    <s v="None"/>
    <n v="29"/>
    <x v="0"/>
  </r>
  <r>
    <x v="43"/>
    <n v="33"/>
    <x v="0"/>
    <x v="1"/>
    <x v="43"/>
    <n v="2.21"/>
    <n v="11.58"/>
    <x v="2"/>
    <x v="2"/>
    <s v="None"/>
    <n v="29"/>
    <x v="0"/>
  </r>
  <r>
    <x v="44"/>
    <n v="32"/>
    <x v="1"/>
    <x v="1"/>
    <x v="44"/>
    <n v="3.56"/>
    <n v="8.14"/>
    <x v="2"/>
    <x v="0"/>
    <s v="Moderate"/>
    <n v="11"/>
    <x v="0"/>
  </r>
  <r>
    <x v="45"/>
    <n v="79"/>
    <x v="0"/>
    <x v="3"/>
    <x v="45"/>
    <n v="13.08"/>
    <n v="15.63"/>
    <x v="2"/>
    <x v="0"/>
    <s v="None"/>
    <n v="19"/>
    <x v="0"/>
  </r>
  <r>
    <x v="46"/>
    <n v="79"/>
    <x v="0"/>
    <x v="3"/>
    <x v="46"/>
    <n v="1.72"/>
    <n v="9.58"/>
    <x v="2"/>
    <x v="2"/>
    <s v="Moderate"/>
    <n v="7"/>
    <x v="0"/>
  </r>
  <r>
    <x v="47"/>
    <n v="64"/>
    <x v="0"/>
    <x v="1"/>
    <x v="47"/>
    <n v="7.47"/>
    <n v="12.84"/>
    <x v="1"/>
    <x v="0"/>
    <s v="Severe"/>
    <n v="28"/>
    <x v="1"/>
  </r>
  <r>
    <x v="48"/>
    <n v="79"/>
    <x v="0"/>
    <x v="1"/>
    <x v="48"/>
    <n v="3.2"/>
    <n v="30.15"/>
    <x v="3"/>
    <x v="0"/>
    <s v="None"/>
    <n v="23"/>
    <x v="0"/>
  </r>
  <r>
    <x v="49"/>
    <n v="68"/>
    <x v="1"/>
    <x v="1"/>
    <x v="49"/>
    <n v="3.73"/>
    <n v="15.98"/>
    <x v="3"/>
    <x v="1"/>
    <s v="None"/>
    <n v="3"/>
    <x v="1"/>
  </r>
  <r>
    <x v="50"/>
    <n v="61"/>
    <x v="1"/>
    <x v="0"/>
    <x v="50"/>
    <n v="10.23"/>
    <n v="7.47"/>
    <x v="3"/>
    <x v="1"/>
    <s v="Mild"/>
    <n v="3"/>
    <x v="0"/>
  </r>
  <r>
    <x v="51"/>
    <n v="72"/>
    <x v="1"/>
    <x v="1"/>
    <x v="51"/>
    <n v="5.32"/>
    <n v="4.18"/>
    <x v="1"/>
    <x v="1"/>
    <s v="None"/>
    <n v="11"/>
    <x v="1"/>
  </r>
  <r>
    <x v="52"/>
    <n v="69"/>
    <x v="0"/>
    <x v="3"/>
    <x v="52"/>
    <n v="2.61"/>
    <n v="8.15"/>
    <x v="3"/>
    <x v="0"/>
    <s v="None"/>
    <n v="25"/>
    <x v="0"/>
  </r>
  <r>
    <x v="53"/>
    <n v="74"/>
    <x v="0"/>
    <x v="1"/>
    <x v="53"/>
    <n v="6.25"/>
    <n v="4.24"/>
    <x v="1"/>
    <x v="0"/>
    <s v="Mild"/>
    <n v="6"/>
    <x v="0"/>
  </r>
  <r>
    <x v="54"/>
    <n v="20"/>
    <x v="1"/>
    <x v="2"/>
    <x v="54"/>
    <n v="2.5099999999999998"/>
    <n v="10.199999999999999"/>
    <x v="0"/>
    <x v="1"/>
    <s v="None"/>
    <n v="21"/>
    <x v="0"/>
  </r>
  <r>
    <x v="55"/>
    <n v="54"/>
    <x v="0"/>
    <x v="1"/>
    <x v="55"/>
    <n v="22.33"/>
    <n v="10.220000000000001"/>
    <x v="3"/>
    <x v="0"/>
    <s v="None"/>
    <n v="7"/>
    <x v="0"/>
  </r>
  <r>
    <x v="56"/>
    <n v="68"/>
    <x v="0"/>
    <x v="1"/>
    <x v="56"/>
    <n v="16.11"/>
    <n v="2.63"/>
    <x v="1"/>
    <x v="1"/>
    <s v="Mild"/>
    <n v="30"/>
    <x v="0"/>
  </r>
  <r>
    <x v="57"/>
    <n v="24"/>
    <x v="1"/>
    <x v="3"/>
    <x v="57"/>
    <n v="16.059999999999999"/>
    <n v="10"/>
    <x v="0"/>
    <x v="2"/>
    <s v="Mild"/>
    <n v="25"/>
    <x v="0"/>
  </r>
  <r>
    <x v="58"/>
    <n v="38"/>
    <x v="1"/>
    <x v="1"/>
    <x v="58"/>
    <n v="4.88"/>
    <n v="24.5"/>
    <x v="2"/>
    <x v="1"/>
    <s v="None"/>
    <n v="25"/>
    <x v="1"/>
  </r>
  <r>
    <x v="59"/>
    <n v="26"/>
    <x v="1"/>
    <x v="1"/>
    <x v="59"/>
    <n v="13.4"/>
    <n v="9.74"/>
    <x v="0"/>
    <x v="2"/>
    <s v="None"/>
    <n v="20"/>
    <x v="0"/>
  </r>
  <r>
    <x v="60"/>
    <n v="56"/>
    <x v="1"/>
    <x v="1"/>
    <x v="60"/>
    <n v="11.37"/>
    <n v="6.87"/>
    <x v="0"/>
    <x v="0"/>
    <s v="None"/>
    <n v="31"/>
    <x v="0"/>
  </r>
  <r>
    <x v="61"/>
    <n v="35"/>
    <x v="0"/>
    <x v="1"/>
    <x v="61"/>
    <n v="5.22"/>
    <n v="15.15"/>
    <x v="3"/>
    <x v="0"/>
    <s v="None"/>
    <n v="30"/>
    <x v="0"/>
  </r>
  <r>
    <x v="62"/>
    <n v="21"/>
    <x v="0"/>
    <x v="1"/>
    <x v="62"/>
    <n v="9.23"/>
    <n v="8.2799999999999994"/>
    <x v="2"/>
    <x v="1"/>
    <s v="Mild"/>
    <n v="11"/>
    <x v="1"/>
  </r>
  <r>
    <x v="63"/>
    <n v="42"/>
    <x v="1"/>
    <x v="1"/>
    <x v="63"/>
    <n v="2.09"/>
    <n v="8.7799999999999994"/>
    <x v="2"/>
    <x v="2"/>
    <s v="Mild"/>
    <n v="12"/>
    <x v="1"/>
  </r>
  <r>
    <x v="64"/>
    <n v="77"/>
    <x v="0"/>
    <x v="0"/>
    <x v="64"/>
    <n v="3.86"/>
    <n v="19.010000000000002"/>
    <x v="3"/>
    <x v="1"/>
    <s v="Mild"/>
    <n v="4"/>
    <x v="0"/>
  </r>
  <r>
    <x v="65"/>
    <n v="31"/>
    <x v="1"/>
    <x v="3"/>
    <x v="65"/>
    <n v="9.0299999999999994"/>
    <n v="4.4800000000000004"/>
    <x v="0"/>
    <x v="0"/>
    <s v="None"/>
    <n v="15"/>
    <x v="0"/>
  </r>
  <r>
    <x v="66"/>
    <n v="67"/>
    <x v="1"/>
    <x v="3"/>
    <x v="66"/>
    <n v="6.55"/>
    <n v="16.96"/>
    <x v="1"/>
    <x v="2"/>
    <s v="None"/>
    <n v="29"/>
    <x v="0"/>
  </r>
  <r>
    <x v="67"/>
    <n v="75"/>
    <x v="0"/>
    <x v="1"/>
    <x v="67"/>
    <n v="12.56"/>
    <n v="2.5"/>
    <x v="3"/>
    <x v="2"/>
    <s v="None"/>
    <n v="22"/>
    <x v="0"/>
  </r>
  <r>
    <x v="68"/>
    <n v="26"/>
    <x v="1"/>
    <x v="0"/>
    <x v="68"/>
    <n v="5.34"/>
    <n v="32.340000000000003"/>
    <x v="0"/>
    <x v="0"/>
    <s v="None"/>
    <n v="12"/>
    <x v="0"/>
  </r>
  <r>
    <x v="69"/>
    <n v="43"/>
    <x v="0"/>
    <x v="3"/>
    <x v="69"/>
    <n v="7.36"/>
    <n v="4.59"/>
    <x v="1"/>
    <x v="2"/>
    <s v="None"/>
    <n v="18"/>
    <x v="0"/>
  </r>
  <r>
    <x v="70"/>
    <n v="70"/>
    <x v="0"/>
    <x v="1"/>
    <x v="70"/>
    <n v="9.6300000000000008"/>
    <n v="9.89"/>
    <x v="3"/>
    <x v="0"/>
    <s v="None"/>
    <n v="17"/>
    <x v="1"/>
  </r>
  <r>
    <x v="71"/>
    <n v="19"/>
    <x v="0"/>
    <x v="2"/>
    <x v="71"/>
    <n v="4.96"/>
    <n v="22.04"/>
    <x v="3"/>
    <x v="1"/>
    <s v="None"/>
    <n v="15"/>
    <x v="0"/>
  </r>
  <r>
    <x v="72"/>
    <n v="37"/>
    <x v="0"/>
    <x v="1"/>
    <x v="72"/>
    <n v="7.26"/>
    <n v="2.56"/>
    <x v="2"/>
    <x v="1"/>
    <s v="Mild"/>
    <n v="22"/>
    <x v="0"/>
  </r>
  <r>
    <x v="73"/>
    <n v="45"/>
    <x v="1"/>
    <x v="1"/>
    <x v="73"/>
    <n v="11.31"/>
    <n v="6.28"/>
    <x v="2"/>
    <x v="1"/>
    <s v="Mild"/>
    <n v="26"/>
    <x v="0"/>
  </r>
  <r>
    <x v="74"/>
    <n v="64"/>
    <x v="0"/>
    <x v="3"/>
    <x v="74"/>
    <n v="26.63"/>
    <n v="16.079999999999998"/>
    <x v="2"/>
    <x v="1"/>
    <s v="Mild"/>
    <n v="9"/>
    <x v="0"/>
  </r>
  <r>
    <x v="75"/>
    <n v="77"/>
    <x v="1"/>
    <x v="0"/>
    <x v="75"/>
    <n v="4.9800000000000004"/>
    <n v="1.74"/>
    <x v="1"/>
    <x v="0"/>
    <s v="None"/>
    <n v="25"/>
    <x v="0"/>
  </r>
  <r>
    <x v="76"/>
    <n v="24"/>
    <x v="1"/>
    <x v="3"/>
    <x v="76"/>
    <n v="6.58"/>
    <n v="13.05"/>
    <x v="3"/>
    <x v="0"/>
    <s v="Moderate"/>
    <n v="26"/>
    <x v="0"/>
  </r>
  <r>
    <x v="77"/>
    <n v="61"/>
    <x v="1"/>
    <x v="2"/>
    <x v="77"/>
    <n v="18.07"/>
    <n v="11.76"/>
    <x v="2"/>
    <x v="1"/>
    <s v="Severe"/>
    <n v="31"/>
    <x v="0"/>
  </r>
  <r>
    <x v="78"/>
    <n v="78"/>
    <x v="1"/>
    <x v="0"/>
    <x v="78"/>
    <n v="21.19"/>
    <n v="1.51"/>
    <x v="2"/>
    <x v="2"/>
    <s v="None"/>
    <n v="7"/>
    <x v="0"/>
  </r>
  <r>
    <x v="79"/>
    <n v="25"/>
    <x v="0"/>
    <x v="1"/>
    <x v="79"/>
    <n v="14.32"/>
    <n v="1.27"/>
    <x v="3"/>
    <x v="1"/>
    <s v="Mild"/>
    <n v="3"/>
    <x v="0"/>
  </r>
  <r>
    <x v="80"/>
    <n v="64"/>
    <x v="0"/>
    <x v="1"/>
    <x v="80"/>
    <n v="20.83"/>
    <n v="1.1100000000000001"/>
    <x v="1"/>
    <x v="2"/>
    <s v="Moderate"/>
    <n v="20"/>
    <x v="0"/>
  </r>
  <r>
    <x v="81"/>
    <n v="52"/>
    <x v="1"/>
    <x v="3"/>
    <x v="81"/>
    <n v="4.74"/>
    <n v="11.37"/>
    <x v="2"/>
    <x v="2"/>
    <s v="None"/>
    <n v="8"/>
    <x v="0"/>
  </r>
  <r>
    <x v="82"/>
    <n v="31"/>
    <x v="1"/>
    <x v="3"/>
    <x v="82"/>
    <n v="19.5"/>
    <n v="5.18"/>
    <x v="0"/>
    <x v="2"/>
    <s v="None"/>
    <n v="25"/>
    <x v="0"/>
  </r>
  <r>
    <x v="83"/>
    <n v="34"/>
    <x v="0"/>
    <x v="3"/>
    <x v="83"/>
    <n v="16.510000000000002"/>
    <n v="2.33"/>
    <x v="1"/>
    <x v="2"/>
    <s v="None"/>
    <n v="12"/>
    <x v="0"/>
  </r>
  <r>
    <x v="84"/>
    <n v="53"/>
    <x v="1"/>
    <x v="0"/>
    <x v="84"/>
    <n v="3.68"/>
    <n v="17.77"/>
    <x v="2"/>
    <x v="1"/>
    <s v="None"/>
    <n v="9"/>
    <x v="0"/>
  </r>
  <r>
    <x v="85"/>
    <n v="67"/>
    <x v="0"/>
    <x v="2"/>
    <x v="85"/>
    <n v="7.45"/>
    <n v="23.16"/>
    <x v="0"/>
    <x v="0"/>
    <s v="None"/>
    <n v="10"/>
    <x v="0"/>
  </r>
  <r>
    <x v="86"/>
    <n v="57"/>
    <x v="1"/>
    <x v="2"/>
    <x v="86"/>
    <n v="1.01"/>
    <n v="22.24"/>
    <x v="2"/>
    <x v="1"/>
    <s v="Moderate"/>
    <n v="15"/>
    <x v="1"/>
  </r>
  <r>
    <x v="87"/>
    <n v="21"/>
    <x v="0"/>
    <x v="1"/>
    <x v="87"/>
    <n v="10.71"/>
    <n v="9.92"/>
    <x v="1"/>
    <x v="1"/>
    <s v="Mild"/>
    <n v="32"/>
    <x v="0"/>
  </r>
  <r>
    <x v="88"/>
    <n v="19"/>
    <x v="1"/>
    <x v="0"/>
    <x v="88"/>
    <n v="19.25"/>
    <n v="1.33"/>
    <x v="3"/>
    <x v="0"/>
    <s v="None"/>
    <n v="20"/>
    <x v="0"/>
  </r>
  <r>
    <x v="89"/>
    <n v="79"/>
    <x v="1"/>
    <x v="0"/>
    <x v="89"/>
    <n v="6.3"/>
    <n v="2.23"/>
    <x v="3"/>
    <x v="1"/>
    <s v="Mild"/>
    <n v="16"/>
    <x v="0"/>
  </r>
  <r>
    <x v="90"/>
    <n v="23"/>
    <x v="0"/>
    <x v="0"/>
    <x v="90"/>
    <n v="4.09"/>
    <n v="3.46"/>
    <x v="1"/>
    <x v="2"/>
    <s v="Mild"/>
    <n v="13"/>
    <x v="0"/>
  </r>
  <r>
    <x v="91"/>
    <n v="71"/>
    <x v="1"/>
    <x v="1"/>
    <x v="91"/>
    <n v="3.84"/>
    <n v="5.44"/>
    <x v="2"/>
    <x v="2"/>
    <s v="None"/>
    <n v="15"/>
    <x v="0"/>
  </r>
  <r>
    <x v="92"/>
    <n v="59"/>
    <x v="1"/>
    <x v="2"/>
    <x v="92"/>
    <n v="9.52"/>
    <n v="21.84"/>
    <x v="1"/>
    <x v="1"/>
    <s v="None"/>
    <n v="35"/>
    <x v="0"/>
  </r>
  <r>
    <x v="93"/>
    <n v="21"/>
    <x v="0"/>
    <x v="1"/>
    <x v="93"/>
    <n v="14.23"/>
    <n v="12"/>
    <x v="0"/>
    <x v="0"/>
    <s v="Moderate"/>
    <n v="15"/>
    <x v="0"/>
  </r>
  <r>
    <x v="94"/>
    <n v="71"/>
    <x v="1"/>
    <x v="1"/>
    <x v="94"/>
    <n v="27"/>
    <n v="9.51"/>
    <x v="2"/>
    <x v="0"/>
    <s v="Mild"/>
    <n v="27"/>
    <x v="0"/>
  </r>
  <r>
    <x v="95"/>
    <n v="46"/>
    <x v="0"/>
    <x v="1"/>
    <x v="95"/>
    <n v="0.9"/>
    <n v="10.28"/>
    <x v="1"/>
    <x v="2"/>
    <s v="None"/>
    <n v="26"/>
    <x v="0"/>
  </r>
  <r>
    <x v="96"/>
    <n v="35"/>
    <x v="0"/>
    <x v="2"/>
    <x v="96"/>
    <n v="24.84"/>
    <n v="17.100000000000001"/>
    <x v="3"/>
    <x v="0"/>
    <s v="None"/>
    <n v="31"/>
    <x v="0"/>
  </r>
  <r>
    <x v="97"/>
    <n v="43"/>
    <x v="1"/>
    <x v="2"/>
    <x v="97"/>
    <n v="11.14"/>
    <n v="16.38"/>
    <x v="1"/>
    <x v="1"/>
    <s v="None"/>
    <n v="8"/>
    <x v="0"/>
  </r>
  <r>
    <x v="98"/>
    <n v="61"/>
    <x v="1"/>
    <x v="1"/>
    <x v="98"/>
    <n v="18.64"/>
    <n v="9.42"/>
    <x v="2"/>
    <x v="1"/>
    <s v="None"/>
    <n v="20"/>
    <x v="0"/>
  </r>
  <r>
    <x v="99"/>
    <n v="51"/>
    <x v="1"/>
    <x v="3"/>
    <x v="99"/>
    <n v="15.84"/>
    <n v="19.46"/>
    <x v="1"/>
    <x v="1"/>
    <s v="None"/>
    <n v="30"/>
    <x v="0"/>
  </r>
  <r>
    <x v="100"/>
    <n v="27"/>
    <x v="1"/>
    <x v="3"/>
    <x v="100"/>
    <n v="9.9700000000000006"/>
    <n v="6.37"/>
    <x v="3"/>
    <x v="2"/>
    <s v="Mild"/>
    <n v="7"/>
    <x v="1"/>
  </r>
  <r>
    <x v="101"/>
    <n v="79"/>
    <x v="1"/>
    <x v="3"/>
    <x v="101"/>
    <n v="9.68"/>
    <n v="15.73"/>
    <x v="0"/>
    <x v="1"/>
    <s v="None"/>
    <n v="20"/>
    <x v="0"/>
  </r>
  <r>
    <x v="102"/>
    <n v="53"/>
    <x v="1"/>
    <x v="1"/>
    <x v="102"/>
    <n v="12.82"/>
    <n v="19.100000000000001"/>
    <x v="1"/>
    <x v="1"/>
    <s v="None"/>
    <n v="9"/>
    <x v="1"/>
  </r>
  <r>
    <x v="103"/>
    <n v="31"/>
    <x v="1"/>
    <x v="3"/>
    <x v="103"/>
    <n v="7.92"/>
    <n v="17"/>
    <x v="1"/>
    <x v="2"/>
    <s v="None"/>
    <n v="11"/>
    <x v="1"/>
  </r>
  <r>
    <x v="104"/>
    <n v="48"/>
    <x v="0"/>
    <x v="2"/>
    <x v="104"/>
    <n v="8.43"/>
    <n v="4.05"/>
    <x v="0"/>
    <x v="2"/>
    <s v="None"/>
    <n v="14"/>
    <x v="0"/>
  </r>
  <r>
    <x v="105"/>
    <n v="65"/>
    <x v="1"/>
    <x v="1"/>
    <x v="105"/>
    <n v="14.72"/>
    <n v="7.87"/>
    <x v="1"/>
    <x v="2"/>
    <s v="Moderate"/>
    <n v="26"/>
    <x v="0"/>
  </r>
  <r>
    <x v="106"/>
    <n v="32"/>
    <x v="0"/>
    <x v="1"/>
    <x v="106"/>
    <n v="4.97"/>
    <n v="1.63"/>
    <x v="3"/>
    <x v="0"/>
    <s v="None"/>
    <n v="11"/>
    <x v="0"/>
  </r>
  <r>
    <x v="107"/>
    <n v="25"/>
    <x v="1"/>
    <x v="3"/>
    <x v="107"/>
    <n v="19.850000000000001"/>
    <n v="2.91"/>
    <x v="0"/>
    <x v="0"/>
    <s v="Mild"/>
    <n v="14"/>
    <x v="0"/>
  </r>
  <r>
    <x v="108"/>
    <n v="31"/>
    <x v="1"/>
    <x v="0"/>
    <x v="108"/>
    <n v="18.739999999999998"/>
    <n v="7.5"/>
    <x v="3"/>
    <x v="0"/>
    <s v="None"/>
    <n v="11"/>
    <x v="0"/>
  </r>
  <r>
    <x v="109"/>
    <n v="40"/>
    <x v="0"/>
    <x v="2"/>
    <x v="109"/>
    <n v="6.61"/>
    <n v="9.7799999999999994"/>
    <x v="3"/>
    <x v="1"/>
    <s v="None"/>
    <n v="24"/>
    <x v="1"/>
  </r>
  <r>
    <x v="110"/>
    <n v="77"/>
    <x v="1"/>
    <x v="2"/>
    <x v="110"/>
    <n v="14.82"/>
    <n v="11.96"/>
    <x v="3"/>
    <x v="0"/>
    <s v="Mild"/>
    <n v="19"/>
    <x v="0"/>
  </r>
  <r>
    <x v="111"/>
    <n v="74"/>
    <x v="1"/>
    <x v="3"/>
    <x v="111"/>
    <n v="13.52"/>
    <n v="2.86"/>
    <x v="2"/>
    <x v="1"/>
    <s v="None"/>
    <n v="35"/>
    <x v="1"/>
  </r>
  <r>
    <x v="112"/>
    <n v="79"/>
    <x v="0"/>
    <x v="3"/>
    <x v="112"/>
    <n v="6.05"/>
    <n v="8.32"/>
    <x v="0"/>
    <x v="1"/>
    <s v="Mild"/>
    <n v="26"/>
    <x v="0"/>
  </r>
  <r>
    <x v="113"/>
    <n v="57"/>
    <x v="1"/>
    <x v="1"/>
    <x v="113"/>
    <n v="15.6"/>
    <n v="17.55"/>
    <x v="2"/>
    <x v="2"/>
    <s v="None"/>
    <n v="17"/>
    <x v="1"/>
  </r>
  <r>
    <x v="114"/>
    <n v="38"/>
    <x v="1"/>
    <x v="2"/>
    <x v="114"/>
    <n v="26.04"/>
    <n v="11.03"/>
    <x v="2"/>
    <x v="1"/>
    <s v="Mild"/>
    <n v="31"/>
    <x v="0"/>
  </r>
  <r>
    <x v="115"/>
    <n v="33"/>
    <x v="1"/>
    <x v="0"/>
    <x v="115"/>
    <n v="20.309999999999999"/>
    <n v="13.48"/>
    <x v="1"/>
    <x v="2"/>
    <s v="Mild"/>
    <n v="34"/>
    <x v="1"/>
  </r>
  <r>
    <x v="116"/>
    <n v="62"/>
    <x v="0"/>
    <x v="2"/>
    <x v="116"/>
    <n v="2.58"/>
    <n v="9.7899999999999991"/>
    <x v="0"/>
    <x v="1"/>
    <s v="Mild"/>
    <n v="35"/>
    <x v="0"/>
  </r>
  <r>
    <x v="117"/>
    <n v="35"/>
    <x v="1"/>
    <x v="0"/>
    <x v="117"/>
    <n v="13.86"/>
    <n v="5.0599999999999996"/>
    <x v="1"/>
    <x v="1"/>
    <s v="Mild"/>
    <n v="31"/>
    <x v="0"/>
  </r>
  <r>
    <x v="118"/>
    <n v="64"/>
    <x v="1"/>
    <x v="2"/>
    <x v="118"/>
    <n v="18.14"/>
    <n v="3.77"/>
    <x v="2"/>
    <x v="0"/>
    <s v="Mild"/>
    <n v="17"/>
    <x v="0"/>
  </r>
  <r>
    <x v="119"/>
    <n v="70"/>
    <x v="1"/>
    <x v="1"/>
    <x v="119"/>
    <n v="5.73"/>
    <n v="7.87"/>
    <x v="1"/>
    <x v="0"/>
    <s v="Moderate"/>
    <n v="29"/>
    <x v="0"/>
  </r>
  <r>
    <x v="120"/>
    <n v="41"/>
    <x v="1"/>
    <x v="0"/>
    <x v="120"/>
    <n v="19.850000000000001"/>
    <n v="14.62"/>
    <x v="3"/>
    <x v="0"/>
    <s v="None"/>
    <n v="6"/>
    <x v="0"/>
  </r>
  <r>
    <x v="121"/>
    <n v="43"/>
    <x v="0"/>
    <x v="1"/>
    <x v="121"/>
    <n v="5.18"/>
    <n v="4.42"/>
    <x v="2"/>
    <x v="2"/>
    <s v="Mild"/>
    <n v="20"/>
    <x v="0"/>
  </r>
  <r>
    <x v="122"/>
    <n v="42"/>
    <x v="0"/>
    <x v="3"/>
    <x v="122"/>
    <n v="7.85"/>
    <n v="6.22"/>
    <x v="3"/>
    <x v="1"/>
    <s v="None"/>
    <n v="23"/>
    <x v="0"/>
  </r>
  <r>
    <x v="123"/>
    <n v="77"/>
    <x v="1"/>
    <x v="1"/>
    <x v="123"/>
    <n v="5.36"/>
    <n v="9.3800000000000008"/>
    <x v="0"/>
    <x v="2"/>
    <s v="None"/>
    <n v="10"/>
    <x v="0"/>
  </r>
  <r>
    <x v="124"/>
    <n v="77"/>
    <x v="1"/>
    <x v="1"/>
    <x v="124"/>
    <n v="4.63"/>
    <n v="26"/>
    <x v="1"/>
    <x v="1"/>
    <s v="None"/>
    <n v="8"/>
    <x v="0"/>
  </r>
  <r>
    <x v="125"/>
    <n v="77"/>
    <x v="0"/>
    <x v="3"/>
    <x v="125"/>
    <n v="12.8"/>
    <n v="11.58"/>
    <x v="2"/>
    <x v="2"/>
    <s v="Moderate"/>
    <n v="22"/>
    <x v="0"/>
  </r>
  <r>
    <x v="126"/>
    <n v="62"/>
    <x v="0"/>
    <x v="1"/>
    <x v="126"/>
    <n v="2.82"/>
    <n v="11.34"/>
    <x v="0"/>
    <x v="1"/>
    <s v="None"/>
    <n v="4"/>
    <x v="1"/>
  </r>
  <r>
    <x v="127"/>
    <n v="58"/>
    <x v="1"/>
    <x v="3"/>
    <x v="127"/>
    <n v="8.1999999999999993"/>
    <n v="7.01"/>
    <x v="3"/>
    <x v="2"/>
    <s v="Mild"/>
    <n v="24"/>
    <x v="1"/>
  </r>
  <r>
    <x v="128"/>
    <n v="46"/>
    <x v="0"/>
    <x v="3"/>
    <x v="128"/>
    <n v="12.81"/>
    <n v="26.64"/>
    <x v="1"/>
    <x v="0"/>
    <s v="None"/>
    <n v="23"/>
    <x v="1"/>
  </r>
  <r>
    <x v="129"/>
    <n v="32"/>
    <x v="1"/>
    <x v="1"/>
    <x v="129"/>
    <n v="5.43"/>
    <n v="9.99"/>
    <x v="1"/>
    <x v="1"/>
    <s v="None"/>
    <n v="8"/>
    <x v="0"/>
  </r>
  <r>
    <x v="130"/>
    <n v="62"/>
    <x v="0"/>
    <x v="1"/>
    <x v="130"/>
    <n v="22.19"/>
    <n v="18.03"/>
    <x v="2"/>
    <x v="2"/>
    <s v="Moderate"/>
    <n v="34"/>
    <x v="0"/>
  </r>
  <r>
    <x v="131"/>
    <n v="18"/>
    <x v="0"/>
    <x v="3"/>
    <x v="131"/>
    <n v="8.73"/>
    <n v="3.78"/>
    <x v="1"/>
    <x v="1"/>
    <s v="None"/>
    <n v="8"/>
    <x v="0"/>
  </r>
  <r>
    <x v="132"/>
    <n v="42"/>
    <x v="0"/>
    <x v="1"/>
    <x v="132"/>
    <n v="28.8"/>
    <n v="8.5299999999999994"/>
    <x v="1"/>
    <x v="1"/>
    <s v="None"/>
    <n v="15"/>
    <x v="0"/>
  </r>
  <r>
    <x v="133"/>
    <n v="24"/>
    <x v="0"/>
    <x v="2"/>
    <x v="133"/>
    <n v="2.5099999999999998"/>
    <n v="46.36"/>
    <x v="3"/>
    <x v="2"/>
    <s v="None"/>
    <n v="3"/>
    <x v="0"/>
  </r>
  <r>
    <x v="134"/>
    <n v="26"/>
    <x v="1"/>
    <x v="2"/>
    <x v="134"/>
    <n v="13.17"/>
    <n v="10.17"/>
    <x v="3"/>
    <x v="1"/>
    <s v="Mild"/>
    <n v="24"/>
    <x v="0"/>
  </r>
  <r>
    <x v="135"/>
    <n v="41"/>
    <x v="0"/>
    <x v="0"/>
    <x v="135"/>
    <n v="11.35"/>
    <n v="6.79"/>
    <x v="3"/>
    <x v="1"/>
    <s v="None"/>
    <n v="26"/>
    <x v="0"/>
  </r>
  <r>
    <x v="136"/>
    <n v="18"/>
    <x v="0"/>
    <x v="2"/>
    <x v="136"/>
    <n v="7.18"/>
    <n v="18.48"/>
    <x v="0"/>
    <x v="0"/>
    <s v="None"/>
    <n v="32"/>
    <x v="0"/>
  </r>
  <r>
    <x v="137"/>
    <n v="61"/>
    <x v="1"/>
    <x v="3"/>
    <x v="137"/>
    <n v="10.01"/>
    <n v="7.34"/>
    <x v="0"/>
    <x v="2"/>
    <s v="Mild"/>
    <n v="24"/>
    <x v="0"/>
  </r>
  <r>
    <x v="138"/>
    <n v="25"/>
    <x v="0"/>
    <x v="2"/>
    <x v="138"/>
    <n v="14.59"/>
    <n v="7.72"/>
    <x v="1"/>
    <x v="1"/>
    <s v="None"/>
    <n v="14"/>
    <x v="0"/>
  </r>
  <r>
    <x v="139"/>
    <n v="41"/>
    <x v="0"/>
    <x v="1"/>
    <x v="104"/>
    <n v="16.559999999999999"/>
    <n v="1.79"/>
    <x v="0"/>
    <x v="0"/>
    <s v="Mild"/>
    <n v="28"/>
    <x v="0"/>
  </r>
  <r>
    <x v="140"/>
    <n v="28"/>
    <x v="1"/>
    <x v="1"/>
    <x v="139"/>
    <n v="8.9499999999999993"/>
    <n v="1.03"/>
    <x v="2"/>
    <x v="0"/>
    <s v="None"/>
    <n v="6"/>
    <x v="0"/>
  </r>
  <r>
    <x v="141"/>
    <n v="68"/>
    <x v="0"/>
    <x v="2"/>
    <x v="140"/>
    <n v="13.3"/>
    <n v="12.39"/>
    <x v="3"/>
    <x v="2"/>
    <s v="None"/>
    <n v="21"/>
    <x v="1"/>
  </r>
  <r>
    <x v="142"/>
    <n v="34"/>
    <x v="1"/>
    <x v="3"/>
    <x v="141"/>
    <n v="4.95"/>
    <n v="6.31"/>
    <x v="0"/>
    <x v="2"/>
    <s v="Mild"/>
    <n v="18"/>
    <x v="0"/>
  </r>
  <r>
    <x v="143"/>
    <n v="25"/>
    <x v="1"/>
    <x v="2"/>
    <x v="142"/>
    <n v="16.79"/>
    <n v="14.05"/>
    <x v="1"/>
    <x v="0"/>
    <s v="Moderate"/>
    <n v="14"/>
    <x v="0"/>
  </r>
  <r>
    <x v="144"/>
    <n v="52"/>
    <x v="1"/>
    <x v="0"/>
    <x v="143"/>
    <n v="25.12"/>
    <n v="11.79"/>
    <x v="3"/>
    <x v="0"/>
    <s v="Mild"/>
    <n v="35"/>
    <x v="0"/>
  </r>
  <r>
    <x v="145"/>
    <n v="52"/>
    <x v="1"/>
    <x v="0"/>
    <x v="144"/>
    <n v="17.68"/>
    <n v="9.82"/>
    <x v="0"/>
    <x v="1"/>
    <s v="Mild"/>
    <n v="23"/>
    <x v="1"/>
  </r>
  <r>
    <x v="146"/>
    <n v="50"/>
    <x v="0"/>
    <x v="0"/>
    <x v="145"/>
    <n v="5.37"/>
    <n v="7.76"/>
    <x v="3"/>
    <x v="1"/>
    <s v="None"/>
    <n v="11"/>
    <x v="0"/>
  </r>
  <r>
    <x v="147"/>
    <n v="76"/>
    <x v="1"/>
    <x v="3"/>
    <x v="146"/>
    <n v="4.2699999999999996"/>
    <n v="4.68"/>
    <x v="0"/>
    <x v="0"/>
    <s v="None"/>
    <n v="10"/>
    <x v="0"/>
  </r>
  <r>
    <x v="148"/>
    <n v="22"/>
    <x v="0"/>
    <x v="1"/>
    <x v="147"/>
    <n v="40.840000000000003"/>
    <n v="4.3499999999999996"/>
    <x v="1"/>
    <x v="2"/>
    <s v="None"/>
    <n v="22"/>
    <x v="0"/>
  </r>
  <r>
    <x v="149"/>
    <n v="59"/>
    <x v="0"/>
    <x v="3"/>
    <x v="148"/>
    <n v="24.03"/>
    <n v="2.4700000000000002"/>
    <x v="0"/>
    <x v="0"/>
    <s v="Moderate"/>
    <n v="12"/>
    <x v="0"/>
  </r>
  <r>
    <x v="150"/>
    <n v="56"/>
    <x v="0"/>
    <x v="3"/>
    <x v="149"/>
    <n v="16.600000000000001"/>
    <n v="9.09"/>
    <x v="0"/>
    <x v="1"/>
    <s v="Moderate"/>
    <n v="34"/>
    <x v="0"/>
  </r>
  <r>
    <x v="151"/>
    <n v="75"/>
    <x v="0"/>
    <x v="2"/>
    <x v="150"/>
    <n v="26.22"/>
    <n v="26.03"/>
    <x v="0"/>
    <x v="0"/>
    <s v="Severe"/>
    <n v="30"/>
    <x v="0"/>
  </r>
  <r>
    <x v="152"/>
    <n v="58"/>
    <x v="0"/>
    <x v="2"/>
    <x v="151"/>
    <n v="9.77"/>
    <n v="33.950000000000003"/>
    <x v="3"/>
    <x v="0"/>
    <s v="None"/>
    <n v="12"/>
    <x v="1"/>
  </r>
  <r>
    <x v="153"/>
    <n v="45"/>
    <x v="0"/>
    <x v="2"/>
    <x v="152"/>
    <n v="16.39"/>
    <n v="4.54"/>
    <x v="0"/>
    <x v="0"/>
    <s v="None"/>
    <n v="10"/>
    <x v="0"/>
  </r>
  <r>
    <x v="154"/>
    <n v="24"/>
    <x v="0"/>
    <x v="3"/>
    <x v="153"/>
    <n v="22.03"/>
    <n v="16.690000000000001"/>
    <x v="0"/>
    <x v="0"/>
    <s v="Mild"/>
    <n v="35"/>
    <x v="0"/>
  </r>
  <r>
    <x v="155"/>
    <n v="26"/>
    <x v="0"/>
    <x v="1"/>
    <x v="154"/>
    <n v="7.91"/>
    <n v="21.71"/>
    <x v="0"/>
    <x v="0"/>
    <s v="Mild"/>
    <n v="15"/>
    <x v="0"/>
  </r>
  <r>
    <x v="156"/>
    <n v="25"/>
    <x v="0"/>
    <x v="3"/>
    <x v="155"/>
    <n v="13.85"/>
    <n v="5.6"/>
    <x v="3"/>
    <x v="1"/>
    <s v="Mild"/>
    <n v="31"/>
    <x v="0"/>
  </r>
  <r>
    <x v="157"/>
    <n v="29"/>
    <x v="0"/>
    <x v="1"/>
    <x v="156"/>
    <n v="20.41"/>
    <n v="15.11"/>
    <x v="1"/>
    <x v="2"/>
    <s v="Mild"/>
    <n v="7"/>
    <x v="1"/>
  </r>
  <r>
    <x v="158"/>
    <n v="51"/>
    <x v="1"/>
    <x v="0"/>
    <x v="157"/>
    <n v="4"/>
    <n v="19.55"/>
    <x v="1"/>
    <x v="0"/>
    <s v="None"/>
    <n v="5"/>
    <x v="1"/>
  </r>
  <r>
    <x v="159"/>
    <n v="50"/>
    <x v="1"/>
    <x v="1"/>
    <x v="158"/>
    <n v="7.3"/>
    <n v="2.4300000000000002"/>
    <x v="1"/>
    <x v="1"/>
    <s v="None"/>
    <n v="8"/>
    <x v="1"/>
  </r>
  <r>
    <x v="160"/>
    <n v="65"/>
    <x v="1"/>
    <x v="1"/>
    <x v="159"/>
    <n v="20.11"/>
    <n v="12.77"/>
    <x v="0"/>
    <x v="1"/>
    <s v="None"/>
    <n v="18"/>
    <x v="0"/>
  </r>
  <r>
    <x v="161"/>
    <n v="72"/>
    <x v="0"/>
    <x v="1"/>
    <x v="160"/>
    <n v="11.57"/>
    <n v="3.82"/>
    <x v="3"/>
    <x v="2"/>
    <s v="None"/>
    <n v="20"/>
    <x v="0"/>
  </r>
  <r>
    <x v="162"/>
    <n v="40"/>
    <x v="1"/>
    <x v="2"/>
    <x v="161"/>
    <n v="10.47"/>
    <n v="13.14"/>
    <x v="1"/>
    <x v="2"/>
    <s v="None"/>
    <n v="13"/>
    <x v="0"/>
  </r>
  <r>
    <x v="163"/>
    <n v="79"/>
    <x v="1"/>
    <x v="2"/>
    <x v="162"/>
    <n v="9.56"/>
    <n v="9.32"/>
    <x v="1"/>
    <x v="1"/>
    <s v="None"/>
    <n v="25"/>
    <x v="0"/>
  </r>
  <r>
    <x v="164"/>
    <n v="41"/>
    <x v="1"/>
    <x v="1"/>
    <x v="163"/>
    <n v="21.53"/>
    <n v="1.94"/>
    <x v="1"/>
    <x v="1"/>
    <s v="None"/>
    <n v="13"/>
    <x v="0"/>
  </r>
  <r>
    <x v="165"/>
    <n v="54"/>
    <x v="0"/>
    <x v="1"/>
    <x v="150"/>
    <n v="4.41"/>
    <n v="5.25"/>
    <x v="2"/>
    <x v="1"/>
    <s v="Mild"/>
    <n v="31"/>
    <x v="0"/>
  </r>
  <r>
    <x v="166"/>
    <n v="52"/>
    <x v="0"/>
    <x v="3"/>
    <x v="164"/>
    <n v="6.9"/>
    <n v="4.74"/>
    <x v="3"/>
    <x v="1"/>
    <s v="Moderate"/>
    <n v="29"/>
    <x v="0"/>
  </r>
  <r>
    <x v="167"/>
    <n v="61"/>
    <x v="0"/>
    <x v="1"/>
    <x v="165"/>
    <n v="2.8"/>
    <n v="19.04"/>
    <x v="2"/>
    <x v="0"/>
    <s v="Moderate"/>
    <n v="11"/>
    <x v="1"/>
  </r>
  <r>
    <x v="168"/>
    <n v="57"/>
    <x v="0"/>
    <x v="2"/>
    <x v="166"/>
    <n v="7.72"/>
    <n v="8.6999999999999993"/>
    <x v="0"/>
    <x v="0"/>
    <s v="None"/>
    <n v="11"/>
    <x v="0"/>
  </r>
  <r>
    <x v="169"/>
    <n v="39"/>
    <x v="1"/>
    <x v="2"/>
    <x v="167"/>
    <n v="11.16"/>
    <n v="4.4000000000000004"/>
    <x v="1"/>
    <x v="0"/>
    <s v="None"/>
    <n v="20"/>
    <x v="0"/>
  </r>
  <r>
    <x v="170"/>
    <n v="44"/>
    <x v="1"/>
    <x v="3"/>
    <x v="168"/>
    <n v="1.46"/>
    <n v="14.17"/>
    <x v="0"/>
    <x v="0"/>
    <s v="None"/>
    <n v="23"/>
    <x v="0"/>
  </r>
  <r>
    <x v="171"/>
    <n v="52"/>
    <x v="1"/>
    <x v="1"/>
    <x v="169"/>
    <n v="5.01"/>
    <n v="7.47"/>
    <x v="3"/>
    <x v="1"/>
    <s v="Severe"/>
    <n v="3"/>
    <x v="0"/>
  </r>
  <r>
    <x v="172"/>
    <n v="18"/>
    <x v="1"/>
    <x v="0"/>
    <x v="170"/>
    <n v="11.56"/>
    <n v="10.77"/>
    <x v="0"/>
    <x v="1"/>
    <s v="None"/>
    <n v="29"/>
    <x v="0"/>
  </r>
  <r>
    <x v="173"/>
    <n v="52"/>
    <x v="0"/>
    <x v="3"/>
    <x v="171"/>
    <n v="13.69"/>
    <n v="8.19"/>
    <x v="0"/>
    <x v="1"/>
    <s v="None"/>
    <n v="31"/>
    <x v="0"/>
  </r>
  <r>
    <x v="174"/>
    <n v="54"/>
    <x v="0"/>
    <x v="2"/>
    <x v="172"/>
    <n v="30.17"/>
    <n v="33.200000000000003"/>
    <x v="1"/>
    <x v="1"/>
    <s v="Moderate"/>
    <n v="21"/>
    <x v="0"/>
  </r>
  <r>
    <x v="175"/>
    <n v="64"/>
    <x v="0"/>
    <x v="1"/>
    <x v="173"/>
    <n v="15.17"/>
    <n v="10.7"/>
    <x v="3"/>
    <x v="1"/>
    <s v="None"/>
    <n v="26"/>
    <x v="0"/>
  </r>
  <r>
    <x v="176"/>
    <n v="31"/>
    <x v="1"/>
    <x v="3"/>
    <x v="174"/>
    <n v="8.68"/>
    <n v="15.31"/>
    <x v="0"/>
    <x v="0"/>
    <s v="Moderate"/>
    <n v="3"/>
    <x v="1"/>
  </r>
  <r>
    <x v="177"/>
    <n v="20"/>
    <x v="0"/>
    <x v="1"/>
    <x v="175"/>
    <n v="10.94"/>
    <n v="18.989999999999998"/>
    <x v="2"/>
    <x v="2"/>
    <s v="None"/>
    <n v="25"/>
    <x v="0"/>
  </r>
  <r>
    <x v="178"/>
    <n v="18"/>
    <x v="0"/>
    <x v="3"/>
    <x v="176"/>
    <n v="11.22"/>
    <n v="8.77"/>
    <x v="1"/>
    <x v="0"/>
    <s v="None"/>
    <n v="15"/>
    <x v="1"/>
  </r>
  <r>
    <x v="179"/>
    <n v="22"/>
    <x v="1"/>
    <x v="0"/>
    <x v="177"/>
    <n v="6.91"/>
    <n v="22.02"/>
    <x v="2"/>
    <x v="2"/>
    <s v="None"/>
    <n v="32"/>
    <x v="0"/>
  </r>
  <r>
    <x v="180"/>
    <n v="43"/>
    <x v="1"/>
    <x v="3"/>
    <x v="178"/>
    <n v="11.93"/>
    <n v="16.79"/>
    <x v="1"/>
    <x v="0"/>
    <s v="Moderate"/>
    <n v="13"/>
    <x v="0"/>
  </r>
  <r>
    <x v="181"/>
    <n v="72"/>
    <x v="0"/>
    <x v="1"/>
    <x v="179"/>
    <n v="6.64"/>
    <n v="1.21"/>
    <x v="0"/>
    <x v="0"/>
    <s v="Moderate"/>
    <n v="9"/>
    <x v="1"/>
  </r>
  <r>
    <x v="182"/>
    <n v="31"/>
    <x v="0"/>
    <x v="1"/>
    <x v="180"/>
    <n v="12.36"/>
    <n v="5.03"/>
    <x v="1"/>
    <x v="1"/>
    <s v="Mild"/>
    <n v="13"/>
    <x v="1"/>
  </r>
  <r>
    <x v="183"/>
    <n v="56"/>
    <x v="0"/>
    <x v="3"/>
    <x v="181"/>
    <n v="9.5500000000000007"/>
    <n v="8.8800000000000008"/>
    <x v="0"/>
    <x v="2"/>
    <s v="None"/>
    <n v="23"/>
    <x v="0"/>
  </r>
  <r>
    <x v="184"/>
    <n v="44"/>
    <x v="0"/>
    <x v="1"/>
    <x v="182"/>
    <n v="8.3800000000000008"/>
    <n v="9.65"/>
    <x v="2"/>
    <x v="1"/>
    <s v="None"/>
    <n v="5"/>
    <x v="0"/>
  </r>
  <r>
    <x v="185"/>
    <n v="26"/>
    <x v="0"/>
    <x v="1"/>
    <x v="183"/>
    <n v="8.57"/>
    <n v="5.71"/>
    <x v="0"/>
    <x v="1"/>
    <s v="Severe"/>
    <n v="32"/>
    <x v="0"/>
  </r>
  <r>
    <x v="186"/>
    <n v="32"/>
    <x v="0"/>
    <x v="2"/>
    <x v="184"/>
    <n v="16.95"/>
    <n v="12.5"/>
    <x v="1"/>
    <x v="1"/>
    <s v="Mild"/>
    <n v="26"/>
    <x v="0"/>
  </r>
  <r>
    <x v="187"/>
    <n v="32"/>
    <x v="1"/>
    <x v="3"/>
    <x v="185"/>
    <n v="15.84"/>
    <n v="7.31"/>
    <x v="1"/>
    <x v="2"/>
    <s v="Mild"/>
    <n v="5"/>
    <x v="0"/>
  </r>
  <r>
    <x v="188"/>
    <n v="43"/>
    <x v="1"/>
    <x v="1"/>
    <x v="186"/>
    <n v="8.0500000000000007"/>
    <n v="9.06"/>
    <x v="1"/>
    <x v="2"/>
    <s v="None"/>
    <n v="35"/>
    <x v="1"/>
  </r>
  <r>
    <x v="189"/>
    <n v="59"/>
    <x v="1"/>
    <x v="0"/>
    <x v="187"/>
    <n v="16.5"/>
    <n v="7.07"/>
    <x v="2"/>
    <x v="0"/>
    <s v="None"/>
    <n v="24"/>
    <x v="0"/>
  </r>
  <r>
    <x v="190"/>
    <n v="77"/>
    <x v="0"/>
    <x v="1"/>
    <x v="188"/>
    <n v="9.41"/>
    <n v="7.81"/>
    <x v="3"/>
    <x v="0"/>
    <s v="None"/>
    <n v="33"/>
    <x v="0"/>
  </r>
  <r>
    <x v="191"/>
    <n v="30"/>
    <x v="1"/>
    <x v="0"/>
    <x v="189"/>
    <n v="9.52"/>
    <n v="4.01"/>
    <x v="2"/>
    <x v="0"/>
    <s v="Mild"/>
    <n v="14"/>
    <x v="1"/>
  </r>
  <r>
    <x v="192"/>
    <n v="68"/>
    <x v="0"/>
    <x v="1"/>
    <x v="190"/>
    <n v="6.92"/>
    <n v="11.77"/>
    <x v="0"/>
    <x v="2"/>
    <s v="Moderate"/>
    <n v="16"/>
    <x v="0"/>
  </r>
  <r>
    <x v="193"/>
    <n v="49"/>
    <x v="0"/>
    <x v="0"/>
    <x v="191"/>
    <n v="28.11"/>
    <n v="13.66"/>
    <x v="0"/>
    <x v="0"/>
    <s v="None"/>
    <n v="14"/>
    <x v="0"/>
  </r>
  <r>
    <x v="194"/>
    <n v="56"/>
    <x v="1"/>
    <x v="2"/>
    <x v="192"/>
    <n v="26.18"/>
    <n v="2.87"/>
    <x v="2"/>
    <x v="2"/>
    <s v="None"/>
    <n v="29"/>
    <x v="0"/>
  </r>
  <r>
    <x v="195"/>
    <n v="66"/>
    <x v="0"/>
    <x v="0"/>
    <x v="193"/>
    <n v="5.76"/>
    <n v="5.82"/>
    <x v="2"/>
    <x v="1"/>
    <s v="None"/>
    <n v="15"/>
    <x v="0"/>
  </r>
  <r>
    <x v="196"/>
    <n v="69"/>
    <x v="0"/>
    <x v="0"/>
    <x v="194"/>
    <n v="7.68"/>
    <n v="9.5399999999999991"/>
    <x v="0"/>
    <x v="1"/>
    <s v="None"/>
    <n v="26"/>
    <x v="0"/>
  </r>
  <r>
    <x v="197"/>
    <n v="78"/>
    <x v="1"/>
    <x v="1"/>
    <x v="195"/>
    <n v="13.06"/>
    <n v="25.3"/>
    <x v="0"/>
    <x v="2"/>
    <s v="Moderate"/>
    <n v="11"/>
    <x v="1"/>
  </r>
  <r>
    <x v="198"/>
    <n v="49"/>
    <x v="1"/>
    <x v="0"/>
    <x v="196"/>
    <n v="14.81"/>
    <n v="3.96"/>
    <x v="0"/>
    <x v="1"/>
    <s v="None"/>
    <n v="10"/>
    <x v="0"/>
  </r>
  <r>
    <x v="199"/>
    <n v="21"/>
    <x v="1"/>
    <x v="3"/>
    <x v="197"/>
    <n v="4.08"/>
    <n v="7.27"/>
    <x v="3"/>
    <x v="2"/>
    <s v="Moderate"/>
    <n v="17"/>
    <x v="1"/>
  </r>
  <r>
    <x v="200"/>
    <n v="47"/>
    <x v="0"/>
    <x v="3"/>
    <x v="198"/>
    <n v="4.7300000000000004"/>
    <n v="6.37"/>
    <x v="3"/>
    <x v="0"/>
    <s v="Mild"/>
    <n v="9"/>
    <x v="0"/>
  </r>
  <r>
    <x v="201"/>
    <n v="54"/>
    <x v="1"/>
    <x v="1"/>
    <x v="199"/>
    <n v="14.84"/>
    <n v="11.29"/>
    <x v="2"/>
    <x v="2"/>
    <s v="Mild"/>
    <n v="26"/>
    <x v="0"/>
  </r>
  <r>
    <x v="202"/>
    <n v="40"/>
    <x v="1"/>
    <x v="3"/>
    <x v="200"/>
    <n v="2.5499999999999998"/>
    <n v="3.92"/>
    <x v="2"/>
    <x v="1"/>
    <s v="Moderate"/>
    <n v="18"/>
    <x v="0"/>
  </r>
  <r>
    <x v="203"/>
    <n v="56"/>
    <x v="0"/>
    <x v="1"/>
    <x v="201"/>
    <n v="5.8"/>
    <n v="5.54"/>
    <x v="3"/>
    <x v="0"/>
    <s v="Mild"/>
    <n v="26"/>
    <x v="1"/>
  </r>
  <r>
    <x v="204"/>
    <n v="62"/>
    <x v="1"/>
    <x v="3"/>
    <x v="202"/>
    <n v="18.25"/>
    <n v="32.61"/>
    <x v="1"/>
    <x v="0"/>
    <s v="Moderate"/>
    <n v="9"/>
    <x v="1"/>
  </r>
  <r>
    <x v="205"/>
    <n v="32"/>
    <x v="1"/>
    <x v="3"/>
    <x v="203"/>
    <n v="17.68"/>
    <n v="1.38"/>
    <x v="3"/>
    <x v="0"/>
    <s v="None"/>
    <n v="30"/>
    <x v="0"/>
  </r>
  <r>
    <x v="206"/>
    <n v="60"/>
    <x v="1"/>
    <x v="2"/>
    <x v="204"/>
    <n v="27.1"/>
    <n v="8.76"/>
    <x v="2"/>
    <x v="0"/>
    <s v="Mild"/>
    <n v="4"/>
    <x v="1"/>
  </r>
  <r>
    <x v="207"/>
    <n v="46"/>
    <x v="0"/>
    <x v="0"/>
    <x v="205"/>
    <n v="33.159999999999997"/>
    <n v="9.11"/>
    <x v="3"/>
    <x v="2"/>
    <s v="Mild"/>
    <n v="5"/>
    <x v="0"/>
  </r>
  <r>
    <x v="208"/>
    <n v="53"/>
    <x v="0"/>
    <x v="3"/>
    <x v="170"/>
    <n v="51.71"/>
    <n v="6.55"/>
    <x v="1"/>
    <x v="0"/>
    <s v="None"/>
    <n v="3"/>
    <x v="0"/>
  </r>
  <r>
    <x v="209"/>
    <n v="30"/>
    <x v="0"/>
    <x v="1"/>
    <x v="206"/>
    <n v="7.5"/>
    <n v="18.79"/>
    <x v="2"/>
    <x v="1"/>
    <s v="Mild"/>
    <n v="33"/>
    <x v="0"/>
  </r>
  <r>
    <x v="210"/>
    <n v="49"/>
    <x v="0"/>
    <x v="1"/>
    <x v="207"/>
    <n v="6.14"/>
    <n v="10.6"/>
    <x v="0"/>
    <x v="2"/>
    <s v="Mild"/>
    <n v="25"/>
    <x v="1"/>
  </r>
  <r>
    <x v="211"/>
    <n v="24"/>
    <x v="1"/>
    <x v="1"/>
    <x v="208"/>
    <n v="13.42"/>
    <n v="26.87"/>
    <x v="2"/>
    <x v="1"/>
    <s v="Moderate"/>
    <n v="22"/>
    <x v="1"/>
  </r>
  <r>
    <x v="212"/>
    <n v="76"/>
    <x v="0"/>
    <x v="1"/>
    <x v="209"/>
    <n v="2.86"/>
    <n v="1.9"/>
    <x v="3"/>
    <x v="1"/>
    <s v="None"/>
    <n v="18"/>
    <x v="1"/>
  </r>
  <r>
    <x v="213"/>
    <n v="68"/>
    <x v="0"/>
    <x v="1"/>
    <x v="210"/>
    <n v="8.26"/>
    <n v="12.46"/>
    <x v="3"/>
    <x v="1"/>
    <s v="Mild"/>
    <n v="34"/>
    <x v="0"/>
  </r>
  <r>
    <x v="214"/>
    <n v="39"/>
    <x v="1"/>
    <x v="1"/>
    <x v="211"/>
    <n v="11.14"/>
    <n v="11.15"/>
    <x v="1"/>
    <x v="2"/>
    <s v="None"/>
    <n v="19"/>
    <x v="0"/>
  </r>
  <r>
    <x v="215"/>
    <n v="45"/>
    <x v="1"/>
    <x v="0"/>
    <x v="212"/>
    <n v="14.15"/>
    <n v="13.27"/>
    <x v="3"/>
    <x v="1"/>
    <s v="Mild"/>
    <n v="20"/>
    <x v="0"/>
  </r>
  <r>
    <x v="216"/>
    <n v="19"/>
    <x v="1"/>
    <x v="3"/>
    <x v="213"/>
    <n v="15.25"/>
    <n v="17.73"/>
    <x v="1"/>
    <x v="1"/>
    <s v="None"/>
    <n v="6"/>
    <x v="1"/>
  </r>
  <r>
    <x v="217"/>
    <n v="59"/>
    <x v="0"/>
    <x v="1"/>
    <x v="214"/>
    <n v="8.06"/>
    <n v="22.41"/>
    <x v="2"/>
    <x v="2"/>
    <s v="Mild"/>
    <n v="25"/>
    <x v="0"/>
  </r>
  <r>
    <x v="218"/>
    <n v="62"/>
    <x v="0"/>
    <x v="3"/>
    <x v="68"/>
    <n v="3.31"/>
    <n v="30.02"/>
    <x v="3"/>
    <x v="2"/>
    <s v="None"/>
    <n v="17"/>
    <x v="0"/>
  </r>
  <r>
    <x v="219"/>
    <n v="79"/>
    <x v="0"/>
    <x v="1"/>
    <x v="215"/>
    <n v="4.03"/>
    <n v="3.21"/>
    <x v="2"/>
    <x v="1"/>
    <s v="None"/>
    <n v="15"/>
    <x v="0"/>
  </r>
  <r>
    <x v="220"/>
    <n v="74"/>
    <x v="1"/>
    <x v="3"/>
    <x v="216"/>
    <n v="1.25"/>
    <n v="12.63"/>
    <x v="0"/>
    <x v="0"/>
    <s v="None"/>
    <n v="16"/>
    <x v="0"/>
  </r>
  <r>
    <x v="221"/>
    <n v="70"/>
    <x v="1"/>
    <x v="2"/>
    <x v="217"/>
    <n v="6.32"/>
    <n v="19.54"/>
    <x v="0"/>
    <x v="2"/>
    <s v="None"/>
    <n v="16"/>
    <x v="1"/>
  </r>
  <r>
    <x v="222"/>
    <n v="23"/>
    <x v="0"/>
    <x v="3"/>
    <x v="218"/>
    <n v="2.8"/>
    <n v="8.66"/>
    <x v="1"/>
    <x v="1"/>
    <s v="Mild"/>
    <n v="7"/>
    <x v="1"/>
  </r>
  <r>
    <x v="223"/>
    <n v="45"/>
    <x v="1"/>
    <x v="3"/>
    <x v="219"/>
    <n v="6.69"/>
    <n v="4.26"/>
    <x v="3"/>
    <x v="2"/>
    <s v="Moderate"/>
    <n v="24"/>
    <x v="0"/>
  </r>
  <r>
    <x v="224"/>
    <n v="45"/>
    <x v="1"/>
    <x v="0"/>
    <x v="220"/>
    <n v="13.32"/>
    <n v="4.33"/>
    <x v="2"/>
    <x v="0"/>
    <s v="None"/>
    <n v="30"/>
    <x v="1"/>
  </r>
  <r>
    <x v="225"/>
    <n v="61"/>
    <x v="1"/>
    <x v="0"/>
    <x v="221"/>
    <n v="3.38"/>
    <n v="5.33"/>
    <x v="2"/>
    <x v="0"/>
    <s v="None"/>
    <n v="6"/>
    <x v="0"/>
  </r>
  <r>
    <x v="226"/>
    <n v="61"/>
    <x v="0"/>
    <x v="2"/>
    <x v="222"/>
    <n v="10.68"/>
    <n v="11.88"/>
    <x v="3"/>
    <x v="0"/>
    <s v="None"/>
    <n v="31"/>
    <x v="0"/>
  </r>
  <r>
    <x v="227"/>
    <n v="37"/>
    <x v="1"/>
    <x v="3"/>
    <x v="223"/>
    <n v="8"/>
    <n v="5.57"/>
    <x v="2"/>
    <x v="0"/>
    <s v="Mild"/>
    <n v="22"/>
    <x v="0"/>
  </r>
  <r>
    <x v="228"/>
    <n v="47"/>
    <x v="1"/>
    <x v="2"/>
    <x v="164"/>
    <n v="12.83"/>
    <n v="9.4700000000000006"/>
    <x v="3"/>
    <x v="1"/>
    <s v="None"/>
    <n v="22"/>
    <x v="0"/>
  </r>
  <r>
    <x v="229"/>
    <n v="79"/>
    <x v="0"/>
    <x v="1"/>
    <x v="224"/>
    <n v="15.04"/>
    <n v="2.4300000000000002"/>
    <x v="3"/>
    <x v="0"/>
    <s v="None"/>
    <n v="4"/>
    <x v="0"/>
  </r>
  <r>
    <x v="230"/>
    <n v="28"/>
    <x v="0"/>
    <x v="3"/>
    <x v="225"/>
    <n v="7.6"/>
    <n v="2.42"/>
    <x v="0"/>
    <x v="1"/>
    <s v="None"/>
    <n v="20"/>
    <x v="0"/>
  </r>
  <r>
    <x v="231"/>
    <n v="75"/>
    <x v="1"/>
    <x v="1"/>
    <x v="226"/>
    <n v="10.02"/>
    <n v="14.19"/>
    <x v="3"/>
    <x v="0"/>
    <s v="None"/>
    <n v="32"/>
    <x v="1"/>
  </r>
  <r>
    <x v="232"/>
    <n v="72"/>
    <x v="1"/>
    <x v="3"/>
    <x v="227"/>
    <n v="8.02"/>
    <n v="0.51"/>
    <x v="2"/>
    <x v="1"/>
    <s v="None"/>
    <n v="31"/>
    <x v="0"/>
  </r>
  <r>
    <x v="233"/>
    <n v="45"/>
    <x v="0"/>
    <x v="3"/>
    <x v="228"/>
    <n v="6.86"/>
    <n v="23.33"/>
    <x v="3"/>
    <x v="2"/>
    <s v="None"/>
    <n v="24"/>
    <x v="0"/>
  </r>
  <r>
    <x v="234"/>
    <n v="42"/>
    <x v="0"/>
    <x v="1"/>
    <x v="229"/>
    <n v="5.56"/>
    <n v="11.97"/>
    <x v="0"/>
    <x v="1"/>
    <s v="Mild"/>
    <n v="31"/>
    <x v="0"/>
  </r>
  <r>
    <x v="235"/>
    <n v="56"/>
    <x v="1"/>
    <x v="0"/>
    <x v="230"/>
    <n v="14.08"/>
    <n v="2.93"/>
    <x v="0"/>
    <x v="0"/>
    <s v="Mild"/>
    <n v="12"/>
    <x v="0"/>
  </r>
  <r>
    <x v="236"/>
    <n v="79"/>
    <x v="1"/>
    <x v="0"/>
    <x v="231"/>
    <n v="23.97"/>
    <n v="11.48"/>
    <x v="1"/>
    <x v="1"/>
    <s v="None"/>
    <n v="22"/>
    <x v="0"/>
  </r>
  <r>
    <x v="237"/>
    <n v="50"/>
    <x v="1"/>
    <x v="2"/>
    <x v="232"/>
    <n v="22.09"/>
    <n v="6.53"/>
    <x v="2"/>
    <x v="0"/>
    <s v="Mild"/>
    <n v="18"/>
    <x v="1"/>
  </r>
  <r>
    <x v="238"/>
    <n v="18"/>
    <x v="1"/>
    <x v="3"/>
    <x v="233"/>
    <n v="3.08"/>
    <n v="4.1500000000000004"/>
    <x v="3"/>
    <x v="0"/>
    <s v="None"/>
    <n v="8"/>
    <x v="0"/>
  </r>
  <r>
    <x v="239"/>
    <n v="74"/>
    <x v="0"/>
    <x v="0"/>
    <x v="234"/>
    <n v="23.68"/>
    <n v="20.170000000000002"/>
    <x v="2"/>
    <x v="0"/>
    <s v="Moderate"/>
    <n v="19"/>
    <x v="0"/>
  </r>
  <r>
    <x v="240"/>
    <n v="44"/>
    <x v="1"/>
    <x v="1"/>
    <x v="235"/>
    <n v="4.49"/>
    <n v="13.37"/>
    <x v="2"/>
    <x v="1"/>
    <s v="None"/>
    <n v="8"/>
    <x v="1"/>
  </r>
  <r>
    <x v="241"/>
    <n v="79"/>
    <x v="1"/>
    <x v="2"/>
    <x v="236"/>
    <n v="11.14"/>
    <n v="5.73"/>
    <x v="3"/>
    <x v="1"/>
    <s v="Mild"/>
    <n v="24"/>
    <x v="0"/>
  </r>
  <r>
    <x v="242"/>
    <n v="74"/>
    <x v="0"/>
    <x v="1"/>
    <x v="237"/>
    <n v="12.63"/>
    <n v="4.9000000000000004"/>
    <x v="0"/>
    <x v="0"/>
    <s v="Mild"/>
    <n v="20"/>
    <x v="0"/>
  </r>
  <r>
    <x v="243"/>
    <n v="69"/>
    <x v="1"/>
    <x v="2"/>
    <x v="238"/>
    <n v="2.35"/>
    <n v="27.86"/>
    <x v="2"/>
    <x v="2"/>
    <s v="None"/>
    <n v="34"/>
    <x v="0"/>
  </r>
  <r>
    <x v="244"/>
    <n v="30"/>
    <x v="0"/>
    <x v="1"/>
    <x v="239"/>
    <n v="8.7100000000000009"/>
    <n v="12.19"/>
    <x v="1"/>
    <x v="1"/>
    <s v="Moderate"/>
    <n v="30"/>
    <x v="0"/>
  </r>
  <r>
    <x v="245"/>
    <n v="58"/>
    <x v="1"/>
    <x v="0"/>
    <x v="240"/>
    <n v="24.67"/>
    <n v="9.6199999999999992"/>
    <x v="2"/>
    <x v="1"/>
    <s v="None"/>
    <n v="12"/>
    <x v="0"/>
  </r>
  <r>
    <x v="246"/>
    <n v="20"/>
    <x v="1"/>
    <x v="0"/>
    <x v="241"/>
    <n v="0.78"/>
    <n v="4.8499999999999996"/>
    <x v="0"/>
    <x v="1"/>
    <s v="Mild"/>
    <n v="24"/>
    <x v="0"/>
  </r>
  <r>
    <x v="247"/>
    <n v="56"/>
    <x v="0"/>
    <x v="1"/>
    <x v="242"/>
    <n v="42.87"/>
    <n v="4.7699999999999996"/>
    <x v="1"/>
    <x v="0"/>
    <s v="None"/>
    <n v="30"/>
    <x v="0"/>
  </r>
  <r>
    <x v="248"/>
    <n v="23"/>
    <x v="0"/>
    <x v="3"/>
    <x v="243"/>
    <n v="1.18"/>
    <n v="32.79"/>
    <x v="1"/>
    <x v="1"/>
    <s v="None"/>
    <n v="17"/>
    <x v="0"/>
  </r>
  <r>
    <x v="249"/>
    <n v="25"/>
    <x v="1"/>
    <x v="0"/>
    <x v="244"/>
    <n v="12.4"/>
    <n v="14.69"/>
    <x v="1"/>
    <x v="2"/>
    <s v="Mild"/>
    <n v="31"/>
    <x v="0"/>
  </r>
  <r>
    <x v="250"/>
    <n v="44"/>
    <x v="1"/>
    <x v="3"/>
    <x v="245"/>
    <n v="2.4700000000000002"/>
    <n v="8.9700000000000006"/>
    <x v="1"/>
    <x v="1"/>
    <s v="None"/>
    <n v="9"/>
    <x v="0"/>
  </r>
  <r>
    <x v="251"/>
    <n v="26"/>
    <x v="1"/>
    <x v="0"/>
    <x v="246"/>
    <n v="13.86"/>
    <n v="2.69"/>
    <x v="3"/>
    <x v="1"/>
    <s v="None"/>
    <n v="34"/>
    <x v="0"/>
  </r>
  <r>
    <x v="252"/>
    <n v="79"/>
    <x v="0"/>
    <x v="3"/>
    <x v="247"/>
    <n v="21.44"/>
    <n v="6.21"/>
    <x v="3"/>
    <x v="1"/>
    <s v="None"/>
    <n v="4"/>
    <x v="1"/>
  </r>
  <r>
    <x v="253"/>
    <n v="54"/>
    <x v="1"/>
    <x v="3"/>
    <x v="248"/>
    <n v="17.63"/>
    <n v="12.14"/>
    <x v="3"/>
    <x v="0"/>
    <s v="Mild"/>
    <n v="28"/>
    <x v="1"/>
  </r>
  <r>
    <x v="254"/>
    <n v="50"/>
    <x v="0"/>
    <x v="1"/>
    <x v="249"/>
    <n v="19.649999999999999"/>
    <n v="19.52"/>
    <x v="1"/>
    <x v="0"/>
    <s v="None"/>
    <n v="13"/>
    <x v="1"/>
  </r>
  <r>
    <x v="255"/>
    <n v="68"/>
    <x v="0"/>
    <x v="1"/>
    <x v="250"/>
    <n v="8.0500000000000007"/>
    <n v="10.130000000000001"/>
    <x v="0"/>
    <x v="1"/>
    <s v="None"/>
    <n v="27"/>
    <x v="0"/>
  </r>
  <r>
    <x v="256"/>
    <n v="59"/>
    <x v="1"/>
    <x v="2"/>
    <x v="251"/>
    <n v="24.55"/>
    <n v="19.329999999999998"/>
    <x v="2"/>
    <x v="2"/>
    <s v="Mild"/>
    <n v="21"/>
    <x v="0"/>
  </r>
  <r>
    <x v="257"/>
    <n v="61"/>
    <x v="0"/>
    <x v="3"/>
    <x v="252"/>
    <n v="36.67"/>
    <n v="10.199999999999999"/>
    <x v="1"/>
    <x v="1"/>
    <s v="None"/>
    <n v="22"/>
    <x v="1"/>
  </r>
  <r>
    <x v="258"/>
    <n v="41"/>
    <x v="1"/>
    <x v="3"/>
    <x v="253"/>
    <n v="10.72"/>
    <n v="18.25"/>
    <x v="0"/>
    <x v="0"/>
    <s v="None"/>
    <n v="35"/>
    <x v="0"/>
  </r>
  <r>
    <x v="259"/>
    <n v="32"/>
    <x v="1"/>
    <x v="3"/>
    <x v="254"/>
    <n v="7.33"/>
    <n v="7.65"/>
    <x v="2"/>
    <x v="0"/>
    <s v="None"/>
    <n v="19"/>
    <x v="0"/>
  </r>
  <r>
    <x v="260"/>
    <n v="76"/>
    <x v="1"/>
    <x v="3"/>
    <x v="255"/>
    <n v="5.09"/>
    <n v="18.28"/>
    <x v="1"/>
    <x v="1"/>
    <s v="None"/>
    <n v="32"/>
    <x v="0"/>
  </r>
  <r>
    <x v="261"/>
    <n v="71"/>
    <x v="1"/>
    <x v="0"/>
    <x v="256"/>
    <n v="16.850000000000001"/>
    <n v="6.47"/>
    <x v="2"/>
    <x v="2"/>
    <s v="None"/>
    <n v="20"/>
    <x v="0"/>
  </r>
  <r>
    <x v="262"/>
    <n v="49"/>
    <x v="1"/>
    <x v="0"/>
    <x v="257"/>
    <n v="20.29"/>
    <n v="15.19"/>
    <x v="3"/>
    <x v="2"/>
    <s v="Moderate"/>
    <n v="34"/>
    <x v="1"/>
  </r>
  <r>
    <x v="263"/>
    <n v="49"/>
    <x v="0"/>
    <x v="3"/>
    <x v="258"/>
    <n v="7.34"/>
    <n v="10.82"/>
    <x v="3"/>
    <x v="1"/>
    <s v="None"/>
    <n v="6"/>
    <x v="1"/>
  </r>
  <r>
    <x v="264"/>
    <n v="41"/>
    <x v="0"/>
    <x v="0"/>
    <x v="259"/>
    <n v="28.18"/>
    <n v="0.94"/>
    <x v="3"/>
    <x v="0"/>
    <s v="None"/>
    <n v="34"/>
    <x v="0"/>
  </r>
  <r>
    <x v="265"/>
    <n v="58"/>
    <x v="1"/>
    <x v="2"/>
    <x v="260"/>
    <n v="15.87"/>
    <n v="5.12"/>
    <x v="0"/>
    <x v="1"/>
    <s v="None"/>
    <n v="21"/>
    <x v="1"/>
  </r>
  <r>
    <x v="266"/>
    <n v="69"/>
    <x v="1"/>
    <x v="3"/>
    <x v="261"/>
    <n v="10.63"/>
    <n v="2.2000000000000002"/>
    <x v="3"/>
    <x v="0"/>
    <s v="None"/>
    <n v="5"/>
    <x v="0"/>
  </r>
  <r>
    <x v="267"/>
    <n v="66"/>
    <x v="0"/>
    <x v="0"/>
    <x v="262"/>
    <n v="12.7"/>
    <n v="40.479999999999997"/>
    <x v="0"/>
    <x v="1"/>
    <s v="Mild"/>
    <n v="30"/>
    <x v="0"/>
  </r>
  <r>
    <x v="268"/>
    <n v="79"/>
    <x v="0"/>
    <x v="1"/>
    <x v="263"/>
    <n v="4.13"/>
    <n v="13.31"/>
    <x v="3"/>
    <x v="2"/>
    <s v="None"/>
    <n v="8"/>
    <x v="0"/>
  </r>
  <r>
    <x v="269"/>
    <n v="66"/>
    <x v="0"/>
    <x v="1"/>
    <x v="264"/>
    <n v="16.71"/>
    <n v="6.22"/>
    <x v="3"/>
    <x v="1"/>
    <s v="None"/>
    <n v="19"/>
    <x v="0"/>
  </r>
  <r>
    <x v="270"/>
    <n v="75"/>
    <x v="0"/>
    <x v="0"/>
    <x v="265"/>
    <n v="4.3899999999999997"/>
    <n v="2.64"/>
    <x v="3"/>
    <x v="1"/>
    <s v="None"/>
    <n v="7"/>
    <x v="0"/>
  </r>
  <r>
    <x v="271"/>
    <n v="69"/>
    <x v="1"/>
    <x v="3"/>
    <x v="266"/>
    <n v="6.58"/>
    <n v="9.8800000000000008"/>
    <x v="0"/>
    <x v="1"/>
    <s v="Moderate"/>
    <n v="21"/>
    <x v="0"/>
  </r>
  <r>
    <x v="272"/>
    <n v="29"/>
    <x v="1"/>
    <x v="0"/>
    <x v="267"/>
    <n v="9.4499999999999993"/>
    <n v="13.16"/>
    <x v="2"/>
    <x v="1"/>
    <s v="None"/>
    <n v="24"/>
    <x v="0"/>
  </r>
  <r>
    <x v="273"/>
    <n v="79"/>
    <x v="0"/>
    <x v="0"/>
    <x v="268"/>
    <n v="32.93"/>
    <n v="6.16"/>
    <x v="0"/>
    <x v="0"/>
    <s v="None"/>
    <n v="26"/>
    <x v="0"/>
  </r>
  <r>
    <x v="274"/>
    <n v="56"/>
    <x v="1"/>
    <x v="1"/>
    <x v="269"/>
    <n v="11.96"/>
    <n v="11.29"/>
    <x v="1"/>
    <x v="1"/>
    <s v="Mild"/>
    <n v="12"/>
    <x v="1"/>
  </r>
  <r>
    <x v="275"/>
    <n v="19"/>
    <x v="0"/>
    <x v="0"/>
    <x v="270"/>
    <n v="4.8"/>
    <n v="20.29"/>
    <x v="1"/>
    <x v="0"/>
    <s v="None"/>
    <n v="4"/>
    <x v="0"/>
  </r>
  <r>
    <x v="276"/>
    <n v="20"/>
    <x v="1"/>
    <x v="3"/>
    <x v="271"/>
    <n v="12.73"/>
    <n v="4.4400000000000004"/>
    <x v="0"/>
    <x v="1"/>
    <s v="Mild"/>
    <n v="30"/>
    <x v="0"/>
  </r>
  <r>
    <x v="277"/>
    <n v="66"/>
    <x v="0"/>
    <x v="3"/>
    <x v="272"/>
    <n v="15.2"/>
    <n v="5.94"/>
    <x v="0"/>
    <x v="0"/>
    <s v="Mild"/>
    <n v="19"/>
    <x v="1"/>
  </r>
  <r>
    <x v="278"/>
    <n v="54"/>
    <x v="1"/>
    <x v="2"/>
    <x v="273"/>
    <n v="22.6"/>
    <n v="2.09"/>
    <x v="2"/>
    <x v="0"/>
    <s v="None"/>
    <n v="8"/>
    <x v="0"/>
  </r>
  <r>
    <x v="279"/>
    <n v="66"/>
    <x v="0"/>
    <x v="0"/>
    <x v="274"/>
    <n v="9.81"/>
    <n v="20.92"/>
    <x v="0"/>
    <x v="2"/>
    <s v="None"/>
    <n v="7"/>
    <x v="0"/>
  </r>
  <r>
    <x v="280"/>
    <n v="73"/>
    <x v="0"/>
    <x v="1"/>
    <x v="275"/>
    <n v="5.46"/>
    <n v="6.94"/>
    <x v="3"/>
    <x v="2"/>
    <s v="Severe"/>
    <n v="9"/>
    <x v="0"/>
  </r>
  <r>
    <x v="281"/>
    <n v="34"/>
    <x v="1"/>
    <x v="3"/>
    <x v="276"/>
    <n v="38.74"/>
    <n v="26.14"/>
    <x v="2"/>
    <x v="2"/>
    <s v="Mild"/>
    <n v="34"/>
    <x v="0"/>
  </r>
  <r>
    <x v="282"/>
    <n v="76"/>
    <x v="0"/>
    <x v="2"/>
    <x v="277"/>
    <n v="12.75"/>
    <n v="0.73"/>
    <x v="0"/>
    <x v="0"/>
    <s v="Moderate"/>
    <n v="6"/>
    <x v="0"/>
  </r>
  <r>
    <x v="283"/>
    <n v="66"/>
    <x v="1"/>
    <x v="2"/>
    <x v="278"/>
    <n v="4.83"/>
    <n v="11.74"/>
    <x v="0"/>
    <x v="1"/>
    <s v="None"/>
    <n v="23"/>
    <x v="0"/>
  </r>
  <r>
    <x v="284"/>
    <n v="19"/>
    <x v="1"/>
    <x v="2"/>
    <x v="279"/>
    <n v="9.75"/>
    <n v="13.96"/>
    <x v="1"/>
    <x v="0"/>
    <s v="None"/>
    <n v="34"/>
    <x v="0"/>
  </r>
  <r>
    <x v="285"/>
    <n v="19"/>
    <x v="0"/>
    <x v="1"/>
    <x v="280"/>
    <n v="6.58"/>
    <n v="13.32"/>
    <x v="2"/>
    <x v="2"/>
    <s v="Moderate"/>
    <n v="20"/>
    <x v="0"/>
  </r>
  <r>
    <x v="286"/>
    <n v="45"/>
    <x v="1"/>
    <x v="1"/>
    <x v="281"/>
    <n v="23.52"/>
    <n v="16.62"/>
    <x v="1"/>
    <x v="1"/>
    <s v="None"/>
    <n v="35"/>
    <x v="1"/>
  </r>
  <r>
    <x v="287"/>
    <n v="71"/>
    <x v="1"/>
    <x v="3"/>
    <x v="282"/>
    <n v="15.1"/>
    <n v="10.84"/>
    <x v="0"/>
    <x v="0"/>
    <s v="Severe"/>
    <n v="16"/>
    <x v="1"/>
  </r>
  <r>
    <x v="288"/>
    <n v="40"/>
    <x v="1"/>
    <x v="0"/>
    <x v="283"/>
    <n v="7.77"/>
    <n v="10.39"/>
    <x v="2"/>
    <x v="1"/>
    <s v="None"/>
    <n v="8"/>
    <x v="0"/>
  </r>
  <r>
    <x v="289"/>
    <n v="54"/>
    <x v="1"/>
    <x v="1"/>
    <x v="227"/>
    <n v="20.3"/>
    <n v="2.2400000000000002"/>
    <x v="3"/>
    <x v="0"/>
    <s v="Moderate"/>
    <n v="13"/>
    <x v="0"/>
  </r>
  <r>
    <x v="290"/>
    <n v="49"/>
    <x v="1"/>
    <x v="1"/>
    <x v="284"/>
    <n v="9.15"/>
    <n v="8.5299999999999994"/>
    <x v="0"/>
    <x v="0"/>
    <s v="None"/>
    <n v="22"/>
    <x v="0"/>
  </r>
  <r>
    <x v="291"/>
    <n v="50"/>
    <x v="0"/>
    <x v="0"/>
    <x v="285"/>
    <n v="9.57"/>
    <n v="10.58"/>
    <x v="0"/>
    <x v="0"/>
    <s v="None"/>
    <n v="31"/>
    <x v="0"/>
  </r>
  <r>
    <x v="292"/>
    <n v="18"/>
    <x v="1"/>
    <x v="1"/>
    <x v="286"/>
    <n v="5.33"/>
    <n v="5.24"/>
    <x v="1"/>
    <x v="0"/>
    <s v="Moderate"/>
    <n v="18"/>
    <x v="0"/>
  </r>
  <r>
    <x v="293"/>
    <n v="36"/>
    <x v="1"/>
    <x v="0"/>
    <x v="287"/>
    <n v="5.29"/>
    <n v="4.6399999999999997"/>
    <x v="3"/>
    <x v="2"/>
    <s v="None"/>
    <n v="9"/>
    <x v="0"/>
  </r>
  <r>
    <x v="294"/>
    <n v="79"/>
    <x v="1"/>
    <x v="2"/>
    <x v="288"/>
    <n v="37.07"/>
    <n v="13.19"/>
    <x v="0"/>
    <x v="0"/>
    <s v="None"/>
    <n v="33"/>
    <x v="0"/>
  </r>
  <r>
    <x v="295"/>
    <n v="19"/>
    <x v="1"/>
    <x v="0"/>
    <x v="289"/>
    <n v="19.649999999999999"/>
    <n v="15.54"/>
    <x v="1"/>
    <x v="2"/>
    <s v="None"/>
    <n v="8"/>
    <x v="1"/>
  </r>
  <r>
    <x v="296"/>
    <n v="70"/>
    <x v="1"/>
    <x v="1"/>
    <x v="290"/>
    <n v="1.51"/>
    <n v="4.92"/>
    <x v="1"/>
    <x v="1"/>
    <s v="Mild"/>
    <n v="31"/>
    <x v="0"/>
  </r>
  <r>
    <x v="297"/>
    <n v="61"/>
    <x v="0"/>
    <x v="1"/>
    <x v="291"/>
    <n v="4.3"/>
    <n v="7.78"/>
    <x v="0"/>
    <x v="1"/>
    <s v="Severe"/>
    <n v="29"/>
    <x v="0"/>
  </r>
  <r>
    <x v="298"/>
    <n v="43"/>
    <x v="1"/>
    <x v="2"/>
    <x v="292"/>
    <n v="3.51"/>
    <n v="11.91"/>
    <x v="2"/>
    <x v="0"/>
    <s v="None"/>
    <n v="4"/>
    <x v="0"/>
  </r>
  <r>
    <x v="299"/>
    <n v="49"/>
    <x v="0"/>
    <x v="0"/>
    <x v="293"/>
    <n v="10.47"/>
    <n v="5.33"/>
    <x v="0"/>
    <x v="1"/>
    <s v="None"/>
    <n v="24"/>
    <x v="0"/>
  </r>
  <r>
    <x v="300"/>
    <n v="23"/>
    <x v="0"/>
    <x v="2"/>
    <x v="294"/>
    <n v="7.12"/>
    <n v="9.2100000000000009"/>
    <x v="3"/>
    <x v="1"/>
    <s v="None"/>
    <n v="11"/>
    <x v="0"/>
  </r>
  <r>
    <x v="301"/>
    <n v="49"/>
    <x v="0"/>
    <x v="1"/>
    <x v="295"/>
    <n v="26.73"/>
    <n v="11.07"/>
    <x v="0"/>
    <x v="0"/>
    <s v="Mild"/>
    <n v="13"/>
    <x v="0"/>
  </r>
  <r>
    <x v="302"/>
    <n v="72"/>
    <x v="0"/>
    <x v="2"/>
    <x v="296"/>
    <n v="7.68"/>
    <n v="29.19"/>
    <x v="2"/>
    <x v="0"/>
    <s v="None"/>
    <n v="18"/>
    <x v="1"/>
  </r>
  <r>
    <x v="303"/>
    <n v="21"/>
    <x v="1"/>
    <x v="2"/>
    <x v="297"/>
    <n v="34.61"/>
    <n v="7.87"/>
    <x v="1"/>
    <x v="0"/>
    <s v="None"/>
    <n v="15"/>
    <x v="1"/>
  </r>
  <r>
    <x v="304"/>
    <n v="72"/>
    <x v="0"/>
    <x v="2"/>
    <x v="298"/>
    <n v="9.36"/>
    <n v="1.8"/>
    <x v="3"/>
    <x v="1"/>
    <s v="None"/>
    <n v="20"/>
    <x v="0"/>
  </r>
  <r>
    <x v="305"/>
    <n v="28"/>
    <x v="0"/>
    <x v="2"/>
    <x v="299"/>
    <n v="39.590000000000003"/>
    <n v="2.37"/>
    <x v="3"/>
    <x v="1"/>
    <s v="Mild"/>
    <n v="27"/>
    <x v="0"/>
  </r>
  <r>
    <x v="306"/>
    <n v="73"/>
    <x v="1"/>
    <x v="0"/>
    <x v="300"/>
    <n v="8.51"/>
    <n v="5.31"/>
    <x v="3"/>
    <x v="0"/>
    <s v="Moderate"/>
    <n v="35"/>
    <x v="0"/>
  </r>
  <r>
    <x v="307"/>
    <n v="76"/>
    <x v="1"/>
    <x v="2"/>
    <x v="301"/>
    <n v="8.65"/>
    <n v="7.09"/>
    <x v="3"/>
    <x v="1"/>
    <s v="None"/>
    <n v="12"/>
    <x v="0"/>
  </r>
  <r>
    <x v="308"/>
    <n v="34"/>
    <x v="1"/>
    <x v="1"/>
    <x v="302"/>
    <n v="19.350000000000001"/>
    <n v="19.489999999999998"/>
    <x v="2"/>
    <x v="1"/>
    <s v="None"/>
    <n v="32"/>
    <x v="0"/>
  </r>
  <r>
    <x v="309"/>
    <n v="55"/>
    <x v="0"/>
    <x v="3"/>
    <x v="303"/>
    <n v="17.440000000000001"/>
    <n v="34.200000000000003"/>
    <x v="2"/>
    <x v="1"/>
    <s v="Mild"/>
    <n v="3"/>
    <x v="0"/>
  </r>
  <r>
    <x v="310"/>
    <n v="41"/>
    <x v="1"/>
    <x v="1"/>
    <x v="304"/>
    <n v="2.96"/>
    <n v="8.19"/>
    <x v="2"/>
    <x v="1"/>
    <s v="Mild"/>
    <n v="35"/>
    <x v="0"/>
  </r>
  <r>
    <x v="311"/>
    <n v="22"/>
    <x v="1"/>
    <x v="3"/>
    <x v="305"/>
    <n v="10.66"/>
    <n v="13.37"/>
    <x v="2"/>
    <x v="1"/>
    <s v="None"/>
    <n v="17"/>
    <x v="0"/>
  </r>
  <r>
    <x v="312"/>
    <n v="69"/>
    <x v="0"/>
    <x v="3"/>
    <x v="306"/>
    <n v="7.06"/>
    <n v="22.75"/>
    <x v="1"/>
    <x v="1"/>
    <s v="None"/>
    <n v="31"/>
    <x v="0"/>
  </r>
  <r>
    <x v="313"/>
    <n v="51"/>
    <x v="1"/>
    <x v="1"/>
    <x v="77"/>
    <n v="6.67"/>
    <n v="15.15"/>
    <x v="0"/>
    <x v="1"/>
    <s v="None"/>
    <n v="4"/>
    <x v="0"/>
  </r>
  <r>
    <x v="314"/>
    <n v="23"/>
    <x v="1"/>
    <x v="1"/>
    <x v="307"/>
    <n v="10.62"/>
    <n v="7.22"/>
    <x v="2"/>
    <x v="0"/>
    <s v="Mild"/>
    <n v="13"/>
    <x v="0"/>
  </r>
  <r>
    <x v="315"/>
    <n v="39"/>
    <x v="1"/>
    <x v="1"/>
    <x v="308"/>
    <n v="7.93"/>
    <n v="8.58"/>
    <x v="0"/>
    <x v="1"/>
    <s v="Mild"/>
    <n v="21"/>
    <x v="0"/>
  </r>
  <r>
    <x v="316"/>
    <n v="28"/>
    <x v="1"/>
    <x v="0"/>
    <x v="309"/>
    <n v="11.49"/>
    <n v="9.26"/>
    <x v="3"/>
    <x v="1"/>
    <s v="None"/>
    <n v="4"/>
    <x v="0"/>
  </r>
  <r>
    <x v="317"/>
    <n v="65"/>
    <x v="0"/>
    <x v="0"/>
    <x v="310"/>
    <n v="4.12"/>
    <n v="23.74"/>
    <x v="1"/>
    <x v="2"/>
    <s v="None"/>
    <n v="22"/>
    <x v="0"/>
  </r>
  <r>
    <x v="318"/>
    <n v="33"/>
    <x v="1"/>
    <x v="1"/>
    <x v="311"/>
    <n v="2.29"/>
    <n v="18.37"/>
    <x v="1"/>
    <x v="0"/>
    <s v="None"/>
    <n v="33"/>
    <x v="0"/>
  </r>
  <r>
    <x v="319"/>
    <n v="50"/>
    <x v="1"/>
    <x v="0"/>
    <x v="312"/>
    <n v="19.87"/>
    <n v="17.670000000000002"/>
    <x v="0"/>
    <x v="1"/>
    <s v="Severe"/>
    <n v="6"/>
    <x v="1"/>
  </r>
  <r>
    <x v="320"/>
    <n v="26"/>
    <x v="0"/>
    <x v="3"/>
    <x v="313"/>
    <n v="22"/>
    <n v="12.7"/>
    <x v="0"/>
    <x v="2"/>
    <s v="None"/>
    <n v="31"/>
    <x v="1"/>
  </r>
  <r>
    <x v="321"/>
    <n v="77"/>
    <x v="1"/>
    <x v="1"/>
    <x v="314"/>
    <n v="19.02"/>
    <n v="10.88"/>
    <x v="0"/>
    <x v="1"/>
    <s v="Moderate"/>
    <n v="32"/>
    <x v="0"/>
  </r>
  <r>
    <x v="322"/>
    <n v="76"/>
    <x v="0"/>
    <x v="1"/>
    <x v="315"/>
    <n v="10.27"/>
    <n v="8.25"/>
    <x v="1"/>
    <x v="1"/>
    <s v="Mild"/>
    <n v="15"/>
    <x v="0"/>
  </r>
  <r>
    <x v="323"/>
    <n v="23"/>
    <x v="1"/>
    <x v="3"/>
    <x v="316"/>
    <n v="7.45"/>
    <n v="3.32"/>
    <x v="2"/>
    <x v="2"/>
    <s v="None"/>
    <n v="17"/>
    <x v="0"/>
  </r>
  <r>
    <x v="324"/>
    <n v="33"/>
    <x v="0"/>
    <x v="2"/>
    <x v="317"/>
    <n v="5.93"/>
    <n v="14.91"/>
    <x v="1"/>
    <x v="2"/>
    <s v="None"/>
    <n v="22"/>
    <x v="0"/>
  </r>
  <r>
    <x v="325"/>
    <n v="46"/>
    <x v="0"/>
    <x v="2"/>
    <x v="318"/>
    <n v="5.0199999999999996"/>
    <n v="6.08"/>
    <x v="2"/>
    <x v="0"/>
    <s v="Moderate"/>
    <n v="30"/>
    <x v="0"/>
  </r>
  <r>
    <x v="326"/>
    <n v="20"/>
    <x v="0"/>
    <x v="1"/>
    <x v="319"/>
    <n v="9.3699999999999992"/>
    <n v="16.45"/>
    <x v="3"/>
    <x v="0"/>
    <s v="None"/>
    <n v="22"/>
    <x v="0"/>
  </r>
  <r>
    <x v="327"/>
    <n v="37"/>
    <x v="0"/>
    <x v="1"/>
    <x v="320"/>
    <n v="21.64"/>
    <n v="1.41"/>
    <x v="2"/>
    <x v="0"/>
    <s v="Moderate"/>
    <n v="27"/>
    <x v="0"/>
  </r>
  <r>
    <x v="328"/>
    <n v="77"/>
    <x v="1"/>
    <x v="3"/>
    <x v="321"/>
    <n v="5.51"/>
    <n v="3.92"/>
    <x v="0"/>
    <x v="1"/>
    <s v="None"/>
    <n v="29"/>
    <x v="0"/>
  </r>
  <r>
    <x v="329"/>
    <n v="76"/>
    <x v="0"/>
    <x v="1"/>
    <x v="322"/>
    <n v="21.66"/>
    <n v="17.97"/>
    <x v="2"/>
    <x v="1"/>
    <s v="Mild"/>
    <n v="32"/>
    <x v="1"/>
  </r>
  <r>
    <x v="330"/>
    <n v="53"/>
    <x v="1"/>
    <x v="1"/>
    <x v="323"/>
    <n v="2.42"/>
    <n v="23.81"/>
    <x v="2"/>
    <x v="0"/>
    <s v="Moderate"/>
    <n v="22"/>
    <x v="0"/>
  </r>
  <r>
    <x v="331"/>
    <n v="36"/>
    <x v="0"/>
    <x v="1"/>
    <x v="324"/>
    <n v="11.93"/>
    <n v="16.36"/>
    <x v="1"/>
    <x v="2"/>
    <s v="Moderate"/>
    <n v="3"/>
    <x v="0"/>
  </r>
  <r>
    <x v="332"/>
    <n v="43"/>
    <x v="0"/>
    <x v="0"/>
    <x v="325"/>
    <n v="13.81"/>
    <n v="4.4400000000000004"/>
    <x v="0"/>
    <x v="1"/>
    <s v="None"/>
    <n v="26"/>
    <x v="0"/>
  </r>
  <r>
    <x v="333"/>
    <n v="20"/>
    <x v="0"/>
    <x v="0"/>
    <x v="326"/>
    <n v="6.48"/>
    <n v="18.920000000000002"/>
    <x v="3"/>
    <x v="0"/>
    <s v="Mild"/>
    <n v="27"/>
    <x v="0"/>
  </r>
  <r>
    <x v="334"/>
    <n v="36"/>
    <x v="1"/>
    <x v="3"/>
    <x v="64"/>
    <n v="3.87"/>
    <n v="4.71"/>
    <x v="2"/>
    <x v="1"/>
    <s v="None"/>
    <n v="14"/>
    <x v="0"/>
  </r>
  <r>
    <x v="335"/>
    <n v="37"/>
    <x v="0"/>
    <x v="0"/>
    <x v="327"/>
    <n v="18.09"/>
    <n v="19.059999999999999"/>
    <x v="3"/>
    <x v="0"/>
    <s v="None"/>
    <n v="13"/>
    <x v="0"/>
  </r>
  <r>
    <x v="336"/>
    <n v="49"/>
    <x v="1"/>
    <x v="1"/>
    <x v="328"/>
    <n v="10.33"/>
    <n v="3.64"/>
    <x v="0"/>
    <x v="0"/>
    <s v="None"/>
    <n v="32"/>
    <x v="0"/>
  </r>
  <r>
    <x v="337"/>
    <n v="24"/>
    <x v="1"/>
    <x v="3"/>
    <x v="329"/>
    <n v="47.48"/>
    <n v="6.69"/>
    <x v="2"/>
    <x v="0"/>
    <s v="None"/>
    <n v="15"/>
    <x v="0"/>
  </r>
  <r>
    <x v="338"/>
    <n v="69"/>
    <x v="1"/>
    <x v="1"/>
    <x v="330"/>
    <n v="21.86"/>
    <n v="0.56000000000000005"/>
    <x v="1"/>
    <x v="1"/>
    <s v="None"/>
    <n v="27"/>
    <x v="0"/>
  </r>
  <r>
    <x v="339"/>
    <n v="58"/>
    <x v="1"/>
    <x v="2"/>
    <x v="331"/>
    <n v="21.98"/>
    <n v="3.88"/>
    <x v="3"/>
    <x v="1"/>
    <s v="None"/>
    <n v="27"/>
    <x v="0"/>
  </r>
  <r>
    <x v="340"/>
    <n v="50"/>
    <x v="1"/>
    <x v="0"/>
    <x v="332"/>
    <n v="0.55000000000000004"/>
    <n v="14.81"/>
    <x v="1"/>
    <x v="0"/>
    <s v="Severe"/>
    <n v="19"/>
    <x v="0"/>
  </r>
  <r>
    <x v="341"/>
    <n v="57"/>
    <x v="1"/>
    <x v="2"/>
    <x v="333"/>
    <n v="5.61"/>
    <n v="30.88"/>
    <x v="3"/>
    <x v="1"/>
    <s v="Mild"/>
    <n v="14"/>
    <x v="0"/>
  </r>
  <r>
    <x v="342"/>
    <n v="56"/>
    <x v="1"/>
    <x v="3"/>
    <x v="334"/>
    <n v="3.45"/>
    <n v="19.88"/>
    <x v="0"/>
    <x v="1"/>
    <s v="None"/>
    <n v="13"/>
    <x v="0"/>
  </r>
  <r>
    <x v="343"/>
    <n v="35"/>
    <x v="1"/>
    <x v="2"/>
    <x v="335"/>
    <n v="1.17"/>
    <n v="15.95"/>
    <x v="2"/>
    <x v="0"/>
    <s v="Severe"/>
    <n v="12"/>
    <x v="0"/>
  </r>
  <r>
    <x v="344"/>
    <n v="57"/>
    <x v="1"/>
    <x v="1"/>
    <x v="336"/>
    <n v="9.7100000000000009"/>
    <n v="2.39"/>
    <x v="3"/>
    <x v="0"/>
    <s v="None"/>
    <n v="19"/>
    <x v="0"/>
  </r>
  <r>
    <x v="345"/>
    <n v="18"/>
    <x v="0"/>
    <x v="0"/>
    <x v="337"/>
    <n v="17.78"/>
    <n v="6.77"/>
    <x v="1"/>
    <x v="1"/>
    <s v="None"/>
    <n v="18"/>
    <x v="0"/>
  </r>
  <r>
    <x v="346"/>
    <n v="28"/>
    <x v="0"/>
    <x v="3"/>
    <x v="338"/>
    <n v="4.24"/>
    <n v="26.52"/>
    <x v="3"/>
    <x v="0"/>
    <s v="Mild"/>
    <n v="22"/>
    <x v="1"/>
  </r>
  <r>
    <x v="347"/>
    <n v="45"/>
    <x v="0"/>
    <x v="3"/>
    <x v="117"/>
    <n v="1.26"/>
    <n v="9.69"/>
    <x v="3"/>
    <x v="2"/>
    <s v="None"/>
    <n v="7"/>
    <x v="0"/>
  </r>
  <r>
    <x v="348"/>
    <n v="74"/>
    <x v="0"/>
    <x v="3"/>
    <x v="339"/>
    <n v="4.57"/>
    <n v="3.21"/>
    <x v="3"/>
    <x v="1"/>
    <s v="Mild"/>
    <n v="34"/>
    <x v="1"/>
  </r>
  <r>
    <x v="349"/>
    <n v="42"/>
    <x v="0"/>
    <x v="2"/>
    <x v="340"/>
    <n v="8.81"/>
    <n v="6.75"/>
    <x v="3"/>
    <x v="0"/>
    <s v="None"/>
    <n v="29"/>
    <x v="0"/>
  </r>
  <r>
    <x v="350"/>
    <n v="67"/>
    <x v="1"/>
    <x v="1"/>
    <x v="341"/>
    <n v="8.31"/>
    <n v="1.1200000000000001"/>
    <x v="3"/>
    <x v="1"/>
    <s v="None"/>
    <n v="6"/>
    <x v="0"/>
  </r>
  <r>
    <x v="351"/>
    <n v="40"/>
    <x v="1"/>
    <x v="2"/>
    <x v="342"/>
    <n v="10.08"/>
    <n v="17.11"/>
    <x v="3"/>
    <x v="1"/>
    <s v="None"/>
    <n v="9"/>
    <x v="0"/>
  </r>
  <r>
    <x v="352"/>
    <n v="48"/>
    <x v="1"/>
    <x v="1"/>
    <x v="343"/>
    <n v="13.61"/>
    <n v="2.66"/>
    <x v="1"/>
    <x v="1"/>
    <s v="Moderate"/>
    <n v="16"/>
    <x v="0"/>
  </r>
  <r>
    <x v="353"/>
    <n v="47"/>
    <x v="1"/>
    <x v="2"/>
    <x v="344"/>
    <n v="9.89"/>
    <n v="9.36"/>
    <x v="3"/>
    <x v="1"/>
    <s v="Mild"/>
    <n v="26"/>
    <x v="1"/>
  </r>
  <r>
    <x v="354"/>
    <n v="59"/>
    <x v="1"/>
    <x v="0"/>
    <x v="345"/>
    <n v="18.47"/>
    <n v="3.11"/>
    <x v="3"/>
    <x v="2"/>
    <s v="Mild"/>
    <n v="20"/>
    <x v="0"/>
  </r>
  <r>
    <x v="355"/>
    <n v="52"/>
    <x v="1"/>
    <x v="0"/>
    <x v="346"/>
    <n v="4.3099999999999996"/>
    <n v="10.64"/>
    <x v="3"/>
    <x v="1"/>
    <s v="Mild"/>
    <n v="3"/>
    <x v="0"/>
  </r>
  <r>
    <x v="356"/>
    <n v="24"/>
    <x v="1"/>
    <x v="3"/>
    <x v="347"/>
    <n v="8.0299999999999994"/>
    <n v="16.48"/>
    <x v="2"/>
    <x v="0"/>
    <s v="None"/>
    <n v="19"/>
    <x v="1"/>
  </r>
  <r>
    <x v="357"/>
    <n v="77"/>
    <x v="0"/>
    <x v="3"/>
    <x v="348"/>
    <n v="15.25"/>
    <n v="6.12"/>
    <x v="0"/>
    <x v="1"/>
    <s v="Mild"/>
    <n v="28"/>
    <x v="0"/>
  </r>
  <r>
    <x v="358"/>
    <n v="33"/>
    <x v="0"/>
    <x v="1"/>
    <x v="349"/>
    <n v="12.34"/>
    <n v="22.13"/>
    <x v="0"/>
    <x v="1"/>
    <s v="None"/>
    <n v="24"/>
    <x v="0"/>
  </r>
  <r>
    <x v="359"/>
    <n v="43"/>
    <x v="0"/>
    <x v="2"/>
    <x v="210"/>
    <n v="31.97"/>
    <n v="15.33"/>
    <x v="0"/>
    <x v="0"/>
    <s v="None"/>
    <n v="20"/>
    <x v="0"/>
  </r>
  <r>
    <x v="360"/>
    <n v="65"/>
    <x v="0"/>
    <x v="1"/>
    <x v="258"/>
    <n v="4.4800000000000004"/>
    <n v="13.59"/>
    <x v="1"/>
    <x v="0"/>
    <s v="Mild"/>
    <n v="30"/>
    <x v="0"/>
  </r>
  <r>
    <x v="361"/>
    <n v="74"/>
    <x v="1"/>
    <x v="3"/>
    <x v="350"/>
    <n v="15.45"/>
    <n v="21.66"/>
    <x v="1"/>
    <x v="2"/>
    <s v="None"/>
    <n v="23"/>
    <x v="0"/>
  </r>
  <r>
    <x v="362"/>
    <n v="69"/>
    <x v="1"/>
    <x v="1"/>
    <x v="351"/>
    <n v="5.87"/>
    <n v="10.77"/>
    <x v="1"/>
    <x v="2"/>
    <s v="None"/>
    <n v="35"/>
    <x v="0"/>
  </r>
  <r>
    <x v="363"/>
    <n v="77"/>
    <x v="1"/>
    <x v="1"/>
    <x v="352"/>
    <n v="5.32"/>
    <n v="7.11"/>
    <x v="3"/>
    <x v="1"/>
    <s v="Moderate"/>
    <n v="32"/>
    <x v="1"/>
  </r>
  <r>
    <x v="364"/>
    <n v="66"/>
    <x v="0"/>
    <x v="2"/>
    <x v="353"/>
    <n v="20.97"/>
    <n v="12.37"/>
    <x v="0"/>
    <x v="0"/>
    <s v="Mild"/>
    <n v="10"/>
    <x v="1"/>
  </r>
  <r>
    <x v="365"/>
    <n v="19"/>
    <x v="1"/>
    <x v="1"/>
    <x v="354"/>
    <n v="9.81"/>
    <n v="3.29"/>
    <x v="3"/>
    <x v="1"/>
    <s v="Mild"/>
    <n v="32"/>
    <x v="1"/>
  </r>
  <r>
    <x v="366"/>
    <n v="18"/>
    <x v="1"/>
    <x v="2"/>
    <x v="355"/>
    <n v="12.19"/>
    <n v="17.57"/>
    <x v="2"/>
    <x v="0"/>
    <s v="None"/>
    <n v="11"/>
    <x v="0"/>
  </r>
  <r>
    <x v="367"/>
    <n v="65"/>
    <x v="1"/>
    <x v="1"/>
    <x v="356"/>
    <n v="6.27"/>
    <n v="17.579999999999998"/>
    <x v="0"/>
    <x v="2"/>
    <s v="None"/>
    <n v="35"/>
    <x v="0"/>
  </r>
  <r>
    <x v="368"/>
    <n v="79"/>
    <x v="0"/>
    <x v="1"/>
    <x v="357"/>
    <n v="6.58"/>
    <n v="7.89"/>
    <x v="2"/>
    <x v="1"/>
    <s v="Mild"/>
    <n v="31"/>
    <x v="1"/>
  </r>
  <r>
    <x v="369"/>
    <n v="29"/>
    <x v="1"/>
    <x v="3"/>
    <x v="358"/>
    <n v="2.2400000000000002"/>
    <n v="5.79"/>
    <x v="2"/>
    <x v="1"/>
    <s v="Mild"/>
    <n v="33"/>
    <x v="0"/>
  </r>
  <r>
    <x v="370"/>
    <n v="22"/>
    <x v="0"/>
    <x v="1"/>
    <x v="359"/>
    <n v="11.48"/>
    <n v="10.99"/>
    <x v="3"/>
    <x v="0"/>
    <s v="None"/>
    <n v="5"/>
    <x v="0"/>
  </r>
  <r>
    <x v="371"/>
    <n v="54"/>
    <x v="0"/>
    <x v="1"/>
    <x v="360"/>
    <n v="3.93"/>
    <n v="2.83"/>
    <x v="0"/>
    <x v="0"/>
    <s v="Severe"/>
    <n v="13"/>
    <x v="1"/>
  </r>
  <r>
    <x v="372"/>
    <n v="49"/>
    <x v="0"/>
    <x v="2"/>
    <x v="361"/>
    <n v="8.94"/>
    <n v="6.98"/>
    <x v="2"/>
    <x v="1"/>
    <s v="Severe"/>
    <n v="7"/>
    <x v="1"/>
  </r>
  <r>
    <x v="373"/>
    <n v="76"/>
    <x v="0"/>
    <x v="1"/>
    <x v="117"/>
    <n v="18.46"/>
    <n v="20.93"/>
    <x v="0"/>
    <x v="2"/>
    <s v="None"/>
    <n v="33"/>
    <x v="1"/>
  </r>
  <r>
    <x v="374"/>
    <n v="72"/>
    <x v="1"/>
    <x v="0"/>
    <x v="362"/>
    <n v="1.61"/>
    <n v="3.94"/>
    <x v="2"/>
    <x v="0"/>
    <s v="Moderate"/>
    <n v="22"/>
    <x v="0"/>
  </r>
  <r>
    <x v="375"/>
    <n v="26"/>
    <x v="0"/>
    <x v="1"/>
    <x v="363"/>
    <n v="55.71"/>
    <n v="22.8"/>
    <x v="2"/>
    <x v="1"/>
    <s v="None"/>
    <n v="6"/>
    <x v="0"/>
  </r>
  <r>
    <x v="376"/>
    <n v="58"/>
    <x v="0"/>
    <x v="1"/>
    <x v="364"/>
    <n v="5.23"/>
    <n v="12.81"/>
    <x v="3"/>
    <x v="1"/>
    <s v="None"/>
    <n v="10"/>
    <x v="0"/>
  </r>
  <r>
    <x v="377"/>
    <n v="52"/>
    <x v="1"/>
    <x v="2"/>
    <x v="365"/>
    <n v="9.15"/>
    <n v="13.98"/>
    <x v="0"/>
    <x v="0"/>
    <s v="None"/>
    <n v="15"/>
    <x v="0"/>
  </r>
  <r>
    <x v="378"/>
    <n v="36"/>
    <x v="1"/>
    <x v="1"/>
    <x v="366"/>
    <n v="12.17"/>
    <n v="5.86"/>
    <x v="3"/>
    <x v="1"/>
    <s v="Mild"/>
    <n v="7"/>
    <x v="0"/>
  </r>
  <r>
    <x v="379"/>
    <n v="65"/>
    <x v="0"/>
    <x v="1"/>
    <x v="367"/>
    <n v="5.07"/>
    <n v="4.49"/>
    <x v="3"/>
    <x v="1"/>
    <s v="Moderate"/>
    <n v="21"/>
    <x v="0"/>
  </r>
  <r>
    <x v="380"/>
    <n v="33"/>
    <x v="1"/>
    <x v="3"/>
    <x v="368"/>
    <n v="6.78"/>
    <n v="7.59"/>
    <x v="3"/>
    <x v="0"/>
    <s v="Mild"/>
    <n v="20"/>
    <x v="0"/>
  </r>
  <r>
    <x v="381"/>
    <n v="20"/>
    <x v="0"/>
    <x v="1"/>
    <x v="369"/>
    <n v="21.44"/>
    <n v="27.2"/>
    <x v="3"/>
    <x v="0"/>
    <s v="Mild"/>
    <n v="35"/>
    <x v="0"/>
  </r>
  <r>
    <x v="382"/>
    <n v="37"/>
    <x v="0"/>
    <x v="0"/>
    <x v="370"/>
    <n v="17.079999999999998"/>
    <n v="5.6"/>
    <x v="3"/>
    <x v="0"/>
    <s v="None"/>
    <n v="6"/>
    <x v="0"/>
  </r>
  <r>
    <x v="383"/>
    <n v="41"/>
    <x v="0"/>
    <x v="1"/>
    <x v="371"/>
    <n v="8.17"/>
    <n v="0.89"/>
    <x v="2"/>
    <x v="1"/>
    <s v="None"/>
    <n v="20"/>
    <x v="0"/>
  </r>
  <r>
    <x v="384"/>
    <n v="71"/>
    <x v="0"/>
    <x v="2"/>
    <x v="372"/>
    <n v="9.99"/>
    <n v="10.17"/>
    <x v="0"/>
    <x v="0"/>
    <s v="None"/>
    <n v="26"/>
    <x v="0"/>
  </r>
  <r>
    <x v="385"/>
    <n v="73"/>
    <x v="1"/>
    <x v="0"/>
    <x v="373"/>
    <n v="11.12"/>
    <n v="20.04"/>
    <x v="0"/>
    <x v="2"/>
    <s v="None"/>
    <n v="31"/>
    <x v="0"/>
  </r>
  <r>
    <x v="386"/>
    <n v="50"/>
    <x v="0"/>
    <x v="3"/>
    <x v="374"/>
    <n v="14.97"/>
    <n v="11.07"/>
    <x v="3"/>
    <x v="1"/>
    <s v="Mild"/>
    <n v="33"/>
    <x v="0"/>
  </r>
  <r>
    <x v="387"/>
    <n v="41"/>
    <x v="1"/>
    <x v="0"/>
    <x v="375"/>
    <n v="15.74"/>
    <n v="28.37"/>
    <x v="0"/>
    <x v="0"/>
    <s v="None"/>
    <n v="30"/>
    <x v="0"/>
  </r>
  <r>
    <x v="388"/>
    <n v="69"/>
    <x v="1"/>
    <x v="3"/>
    <x v="210"/>
    <n v="15.45"/>
    <n v="14.7"/>
    <x v="2"/>
    <x v="2"/>
    <s v="Mild"/>
    <n v="11"/>
    <x v="1"/>
  </r>
  <r>
    <x v="389"/>
    <n v="28"/>
    <x v="1"/>
    <x v="0"/>
    <x v="376"/>
    <n v="7.15"/>
    <n v="11.18"/>
    <x v="3"/>
    <x v="0"/>
    <s v="None"/>
    <n v="28"/>
    <x v="1"/>
  </r>
  <r>
    <x v="390"/>
    <n v="66"/>
    <x v="1"/>
    <x v="1"/>
    <x v="377"/>
    <n v="10.86"/>
    <n v="7.52"/>
    <x v="1"/>
    <x v="0"/>
    <s v="None"/>
    <n v="4"/>
    <x v="0"/>
  </r>
  <r>
    <x v="391"/>
    <n v="25"/>
    <x v="0"/>
    <x v="2"/>
    <x v="1"/>
    <n v="19.899999999999999"/>
    <n v="13.46"/>
    <x v="1"/>
    <x v="1"/>
    <s v="None"/>
    <n v="8"/>
    <x v="1"/>
  </r>
  <r>
    <x v="392"/>
    <n v="53"/>
    <x v="1"/>
    <x v="3"/>
    <x v="378"/>
    <n v="38.68"/>
    <n v="2.2799999999999998"/>
    <x v="2"/>
    <x v="0"/>
    <s v="Moderate"/>
    <n v="31"/>
    <x v="0"/>
  </r>
  <r>
    <x v="393"/>
    <n v="55"/>
    <x v="0"/>
    <x v="3"/>
    <x v="379"/>
    <n v="10.63"/>
    <n v="27.23"/>
    <x v="2"/>
    <x v="0"/>
    <s v="None"/>
    <n v="28"/>
    <x v="0"/>
  </r>
  <r>
    <x v="394"/>
    <n v="57"/>
    <x v="1"/>
    <x v="2"/>
    <x v="380"/>
    <n v="6.37"/>
    <n v="16.510000000000002"/>
    <x v="1"/>
    <x v="0"/>
    <s v="None"/>
    <n v="30"/>
    <x v="0"/>
  </r>
  <r>
    <x v="395"/>
    <n v="37"/>
    <x v="1"/>
    <x v="2"/>
    <x v="381"/>
    <n v="4.99"/>
    <n v="16.45"/>
    <x v="3"/>
    <x v="2"/>
    <s v="Moderate"/>
    <n v="9"/>
    <x v="0"/>
  </r>
  <r>
    <x v="396"/>
    <n v="79"/>
    <x v="0"/>
    <x v="1"/>
    <x v="382"/>
    <n v="15.53"/>
    <n v="9.06"/>
    <x v="2"/>
    <x v="1"/>
    <s v="Severe"/>
    <n v="12"/>
    <x v="0"/>
  </r>
  <r>
    <x v="397"/>
    <n v="52"/>
    <x v="0"/>
    <x v="1"/>
    <x v="383"/>
    <n v="2.13"/>
    <n v="22.38"/>
    <x v="1"/>
    <x v="1"/>
    <s v="Mild"/>
    <n v="24"/>
    <x v="0"/>
  </r>
  <r>
    <x v="398"/>
    <n v="65"/>
    <x v="0"/>
    <x v="2"/>
    <x v="2"/>
    <n v="15.64"/>
    <n v="8.14"/>
    <x v="3"/>
    <x v="1"/>
    <s v="None"/>
    <n v="29"/>
    <x v="0"/>
  </r>
  <r>
    <x v="399"/>
    <n v="79"/>
    <x v="1"/>
    <x v="2"/>
    <x v="384"/>
    <n v="15.84"/>
    <n v="6.18"/>
    <x v="2"/>
    <x v="0"/>
    <s v="None"/>
    <n v="24"/>
    <x v="0"/>
  </r>
  <r>
    <x v="400"/>
    <n v="42"/>
    <x v="1"/>
    <x v="0"/>
    <x v="385"/>
    <n v="6.57"/>
    <n v="9.75"/>
    <x v="0"/>
    <x v="1"/>
    <s v="Severe"/>
    <n v="21"/>
    <x v="0"/>
  </r>
  <r>
    <x v="401"/>
    <n v="52"/>
    <x v="0"/>
    <x v="2"/>
    <x v="386"/>
    <n v="11.98"/>
    <n v="16.89"/>
    <x v="0"/>
    <x v="0"/>
    <s v="Moderate"/>
    <n v="11"/>
    <x v="0"/>
  </r>
  <r>
    <x v="402"/>
    <n v="42"/>
    <x v="0"/>
    <x v="0"/>
    <x v="387"/>
    <n v="8.39"/>
    <n v="5.34"/>
    <x v="0"/>
    <x v="1"/>
    <s v="Mild"/>
    <n v="21"/>
    <x v="0"/>
  </r>
  <r>
    <x v="403"/>
    <n v="46"/>
    <x v="0"/>
    <x v="2"/>
    <x v="388"/>
    <n v="2.82"/>
    <n v="4.62"/>
    <x v="3"/>
    <x v="0"/>
    <s v="None"/>
    <n v="4"/>
    <x v="0"/>
  </r>
  <r>
    <x v="404"/>
    <n v="35"/>
    <x v="0"/>
    <x v="1"/>
    <x v="389"/>
    <n v="14.84"/>
    <n v="4.4800000000000004"/>
    <x v="2"/>
    <x v="1"/>
    <s v="None"/>
    <n v="30"/>
    <x v="0"/>
  </r>
  <r>
    <x v="405"/>
    <n v="63"/>
    <x v="1"/>
    <x v="1"/>
    <x v="390"/>
    <n v="13.9"/>
    <n v="6.54"/>
    <x v="1"/>
    <x v="2"/>
    <s v="None"/>
    <n v="24"/>
    <x v="0"/>
  </r>
  <r>
    <x v="406"/>
    <n v="35"/>
    <x v="0"/>
    <x v="2"/>
    <x v="391"/>
    <n v="7.01"/>
    <n v="18.03"/>
    <x v="2"/>
    <x v="0"/>
    <s v="Mild"/>
    <n v="8"/>
    <x v="1"/>
  </r>
  <r>
    <x v="407"/>
    <n v="19"/>
    <x v="0"/>
    <x v="2"/>
    <x v="392"/>
    <n v="38.28"/>
    <n v="10.67"/>
    <x v="0"/>
    <x v="2"/>
    <s v="None"/>
    <n v="9"/>
    <x v="0"/>
  </r>
  <r>
    <x v="408"/>
    <n v="71"/>
    <x v="0"/>
    <x v="1"/>
    <x v="393"/>
    <n v="10.050000000000001"/>
    <n v="3.42"/>
    <x v="0"/>
    <x v="0"/>
    <s v="Severe"/>
    <n v="8"/>
    <x v="0"/>
  </r>
  <r>
    <x v="409"/>
    <n v="52"/>
    <x v="0"/>
    <x v="3"/>
    <x v="394"/>
    <n v="1.43"/>
    <n v="37.26"/>
    <x v="3"/>
    <x v="1"/>
    <s v="None"/>
    <n v="35"/>
    <x v="0"/>
  </r>
  <r>
    <x v="410"/>
    <n v="33"/>
    <x v="1"/>
    <x v="0"/>
    <x v="395"/>
    <n v="20.61"/>
    <n v="2.96"/>
    <x v="1"/>
    <x v="1"/>
    <s v="Mild"/>
    <n v="16"/>
    <x v="1"/>
  </r>
  <r>
    <x v="411"/>
    <n v="78"/>
    <x v="0"/>
    <x v="3"/>
    <x v="396"/>
    <n v="17.43"/>
    <n v="6.58"/>
    <x v="3"/>
    <x v="2"/>
    <s v="None"/>
    <n v="3"/>
    <x v="1"/>
  </r>
  <r>
    <x v="412"/>
    <n v="58"/>
    <x v="1"/>
    <x v="3"/>
    <x v="397"/>
    <n v="18.88"/>
    <n v="4.32"/>
    <x v="1"/>
    <x v="0"/>
    <s v="None"/>
    <n v="27"/>
    <x v="1"/>
  </r>
  <r>
    <x v="413"/>
    <n v="53"/>
    <x v="0"/>
    <x v="3"/>
    <x v="398"/>
    <n v="4.1399999999999997"/>
    <n v="5.46"/>
    <x v="2"/>
    <x v="1"/>
    <s v="None"/>
    <n v="8"/>
    <x v="1"/>
  </r>
  <r>
    <x v="414"/>
    <n v="50"/>
    <x v="0"/>
    <x v="1"/>
    <x v="325"/>
    <n v="11.74"/>
    <n v="9.83"/>
    <x v="3"/>
    <x v="0"/>
    <s v="Mild"/>
    <n v="30"/>
    <x v="0"/>
  </r>
  <r>
    <x v="415"/>
    <n v="21"/>
    <x v="1"/>
    <x v="3"/>
    <x v="399"/>
    <n v="9.92"/>
    <n v="7.95"/>
    <x v="3"/>
    <x v="1"/>
    <s v="Mild"/>
    <n v="20"/>
    <x v="0"/>
  </r>
  <r>
    <x v="416"/>
    <n v="50"/>
    <x v="0"/>
    <x v="3"/>
    <x v="400"/>
    <n v="8.7100000000000009"/>
    <n v="4.9400000000000004"/>
    <x v="3"/>
    <x v="1"/>
    <s v="None"/>
    <n v="29"/>
    <x v="0"/>
  </r>
  <r>
    <x v="417"/>
    <n v="31"/>
    <x v="1"/>
    <x v="1"/>
    <x v="401"/>
    <n v="24.37"/>
    <n v="11.74"/>
    <x v="0"/>
    <x v="1"/>
    <s v="Moderate"/>
    <n v="4"/>
    <x v="1"/>
  </r>
  <r>
    <x v="418"/>
    <n v="38"/>
    <x v="1"/>
    <x v="2"/>
    <x v="402"/>
    <n v="10.16"/>
    <n v="13"/>
    <x v="0"/>
    <x v="2"/>
    <s v="None"/>
    <n v="23"/>
    <x v="0"/>
  </r>
  <r>
    <x v="419"/>
    <n v="65"/>
    <x v="0"/>
    <x v="3"/>
    <x v="403"/>
    <n v="7.21"/>
    <n v="14.66"/>
    <x v="1"/>
    <x v="1"/>
    <s v="Moderate"/>
    <n v="25"/>
    <x v="1"/>
  </r>
  <r>
    <x v="420"/>
    <n v="37"/>
    <x v="1"/>
    <x v="0"/>
    <x v="404"/>
    <n v="7.15"/>
    <n v="9.9499999999999993"/>
    <x v="2"/>
    <x v="1"/>
    <s v="Moderate"/>
    <n v="4"/>
    <x v="0"/>
  </r>
  <r>
    <x v="421"/>
    <n v="73"/>
    <x v="1"/>
    <x v="0"/>
    <x v="405"/>
    <n v="3.85"/>
    <n v="12.63"/>
    <x v="3"/>
    <x v="1"/>
    <s v="Moderate"/>
    <n v="18"/>
    <x v="1"/>
  </r>
  <r>
    <x v="422"/>
    <n v="25"/>
    <x v="1"/>
    <x v="1"/>
    <x v="406"/>
    <n v="10.92"/>
    <n v="14.42"/>
    <x v="0"/>
    <x v="1"/>
    <s v="None"/>
    <n v="6"/>
    <x v="0"/>
  </r>
  <r>
    <x v="423"/>
    <n v="24"/>
    <x v="1"/>
    <x v="2"/>
    <x v="407"/>
    <n v="25.63"/>
    <n v="5.55"/>
    <x v="3"/>
    <x v="0"/>
    <s v="None"/>
    <n v="7"/>
    <x v="0"/>
  </r>
  <r>
    <x v="424"/>
    <n v="20"/>
    <x v="1"/>
    <x v="3"/>
    <x v="408"/>
    <n v="7.7"/>
    <n v="31.78"/>
    <x v="1"/>
    <x v="1"/>
    <s v="Severe"/>
    <n v="24"/>
    <x v="1"/>
  </r>
  <r>
    <x v="425"/>
    <n v="34"/>
    <x v="1"/>
    <x v="0"/>
    <x v="409"/>
    <n v="12.23"/>
    <n v="26.59"/>
    <x v="1"/>
    <x v="1"/>
    <s v="None"/>
    <n v="22"/>
    <x v="0"/>
  </r>
  <r>
    <x v="426"/>
    <n v="50"/>
    <x v="1"/>
    <x v="1"/>
    <x v="410"/>
    <n v="8.6"/>
    <n v="16.72"/>
    <x v="2"/>
    <x v="2"/>
    <s v="None"/>
    <n v="15"/>
    <x v="0"/>
  </r>
  <r>
    <x v="427"/>
    <n v="65"/>
    <x v="1"/>
    <x v="2"/>
    <x v="411"/>
    <n v="9.35"/>
    <n v="7.15"/>
    <x v="1"/>
    <x v="1"/>
    <s v="Mild"/>
    <n v="8"/>
    <x v="0"/>
  </r>
  <r>
    <x v="428"/>
    <n v="29"/>
    <x v="0"/>
    <x v="2"/>
    <x v="412"/>
    <n v="17.98"/>
    <n v="1.43"/>
    <x v="3"/>
    <x v="1"/>
    <s v="None"/>
    <n v="31"/>
    <x v="0"/>
  </r>
  <r>
    <x v="429"/>
    <n v="76"/>
    <x v="0"/>
    <x v="1"/>
    <x v="413"/>
    <n v="3.8"/>
    <n v="1.84"/>
    <x v="2"/>
    <x v="0"/>
    <s v="Mild"/>
    <n v="35"/>
    <x v="0"/>
  </r>
  <r>
    <x v="430"/>
    <n v="68"/>
    <x v="1"/>
    <x v="1"/>
    <x v="414"/>
    <n v="2.37"/>
    <n v="7.58"/>
    <x v="2"/>
    <x v="0"/>
    <s v="Moderate"/>
    <n v="3"/>
    <x v="0"/>
  </r>
  <r>
    <x v="431"/>
    <n v="39"/>
    <x v="0"/>
    <x v="2"/>
    <x v="415"/>
    <n v="20.64"/>
    <n v="26.72"/>
    <x v="0"/>
    <x v="2"/>
    <s v="Mild"/>
    <n v="9"/>
    <x v="1"/>
  </r>
  <r>
    <x v="432"/>
    <n v="72"/>
    <x v="1"/>
    <x v="2"/>
    <x v="416"/>
    <n v="6.42"/>
    <n v="8.2100000000000009"/>
    <x v="3"/>
    <x v="1"/>
    <s v="None"/>
    <n v="24"/>
    <x v="0"/>
  </r>
  <r>
    <x v="433"/>
    <n v="39"/>
    <x v="1"/>
    <x v="1"/>
    <x v="417"/>
    <n v="7.28"/>
    <n v="4.2699999999999996"/>
    <x v="1"/>
    <x v="2"/>
    <s v="None"/>
    <n v="34"/>
    <x v="0"/>
  </r>
  <r>
    <x v="434"/>
    <n v="63"/>
    <x v="0"/>
    <x v="2"/>
    <x v="418"/>
    <n v="43.72"/>
    <n v="4.51"/>
    <x v="0"/>
    <x v="0"/>
    <s v="None"/>
    <n v="16"/>
    <x v="0"/>
  </r>
  <r>
    <x v="435"/>
    <n v="47"/>
    <x v="1"/>
    <x v="3"/>
    <x v="419"/>
    <n v="17.36"/>
    <n v="26.35"/>
    <x v="3"/>
    <x v="0"/>
    <s v="None"/>
    <n v="26"/>
    <x v="0"/>
  </r>
  <r>
    <x v="436"/>
    <n v="55"/>
    <x v="1"/>
    <x v="2"/>
    <x v="420"/>
    <n v="4.6900000000000004"/>
    <n v="7.71"/>
    <x v="3"/>
    <x v="1"/>
    <s v="None"/>
    <n v="21"/>
    <x v="0"/>
  </r>
  <r>
    <x v="437"/>
    <n v="55"/>
    <x v="1"/>
    <x v="1"/>
    <x v="421"/>
    <n v="21.63"/>
    <n v="25.33"/>
    <x v="2"/>
    <x v="1"/>
    <s v="None"/>
    <n v="29"/>
    <x v="0"/>
  </r>
  <r>
    <x v="438"/>
    <n v="62"/>
    <x v="1"/>
    <x v="0"/>
    <x v="87"/>
    <n v="17.64"/>
    <n v="4.0599999999999996"/>
    <x v="2"/>
    <x v="0"/>
    <s v="None"/>
    <n v="25"/>
    <x v="0"/>
  </r>
  <r>
    <x v="439"/>
    <n v="68"/>
    <x v="0"/>
    <x v="1"/>
    <x v="422"/>
    <n v="0.14000000000000001"/>
    <n v="4.71"/>
    <x v="3"/>
    <x v="2"/>
    <s v="None"/>
    <n v="23"/>
    <x v="0"/>
  </r>
  <r>
    <x v="440"/>
    <n v="71"/>
    <x v="1"/>
    <x v="3"/>
    <x v="423"/>
    <n v="11.22"/>
    <n v="6.41"/>
    <x v="0"/>
    <x v="0"/>
    <s v="Moderate"/>
    <n v="31"/>
    <x v="0"/>
  </r>
  <r>
    <x v="441"/>
    <n v="25"/>
    <x v="1"/>
    <x v="1"/>
    <x v="424"/>
    <n v="3.98"/>
    <n v="13.24"/>
    <x v="2"/>
    <x v="1"/>
    <s v="None"/>
    <n v="3"/>
    <x v="1"/>
  </r>
  <r>
    <x v="442"/>
    <n v="44"/>
    <x v="1"/>
    <x v="1"/>
    <x v="425"/>
    <n v="9.33"/>
    <n v="15.51"/>
    <x v="2"/>
    <x v="1"/>
    <s v="None"/>
    <n v="33"/>
    <x v="0"/>
  </r>
  <r>
    <x v="443"/>
    <n v="44"/>
    <x v="0"/>
    <x v="3"/>
    <x v="279"/>
    <n v="38.76"/>
    <n v="5.2"/>
    <x v="3"/>
    <x v="0"/>
    <s v="Mild"/>
    <n v="29"/>
    <x v="0"/>
  </r>
  <r>
    <x v="444"/>
    <n v="51"/>
    <x v="1"/>
    <x v="1"/>
    <x v="426"/>
    <n v="18.510000000000002"/>
    <n v="5.75"/>
    <x v="3"/>
    <x v="0"/>
    <s v="Mild"/>
    <n v="29"/>
    <x v="0"/>
  </r>
  <r>
    <x v="445"/>
    <n v="38"/>
    <x v="0"/>
    <x v="0"/>
    <x v="58"/>
    <n v="20.260000000000002"/>
    <n v="2.52"/>
    <x v="2"/>
    <x v="1"/>
    <s v="None"/>
    <n v="17"/>
    <x v="0"/>
  </r>
  <r>
    <x v="446"/>
    <n v="47"/>
    <x v="0"/>
    <x v="1"/>
    <x v="427"/>
    <n v="8.6199999999999992"/>
    <n v="2.44"/>
    <x v="0"/>
    <x v="1"/>
    <s v="Mild"/>
    <n v="27"/>
    <x v="0"/>
  </r>
  <r>
    <x v="447"/>
    <n v="50"/>
    <x v="1"/>
    <x v="3"/>
    <x v="276"/>
    <n v="20.32"/>
    <n v="4.3600000000000003"/>
    <x v="2"/>
    <x v="1"/>
    <s v="None"/>
    <n v="17"/>
    <x v="0"/>
  </r>
  <r>
    <x v="448"/>
    <n v="45"/>
    <x v="1"/>
    <x v="1"/>
    <x v="428"/>
    <n v="5.39"/>
    <n v="23.76"/>
    <x v="3"/>
    <x v="0"/>
    <s v="None"/>
    <n v="21"/>
    <x v="0"/>
  </r>
  <r>
    <x v="449"/>
    <n v="64"/>
    <x v="0"/>
    <x v="1"/>
    <x v="429"/>
    <n v="11.11"/>
    <n v="4.3"/>
    <x v="2"/>
    <x v="0"/>
    <s v="Moderate"/>
    <n v="13"/>
    <x v="0"/>
  </r>
  <r>
    <x v="450"/>
    <n v="50"/>
    <x v="1"/>
    <x v="1"/>
    <x v="430"/>
    <n v="17.920000000000002"/>
    <n v="9.98"/>
    <x v="3"/>
    <x v="2"/>
    <s v="Moderate"/>
    <n v="35"/>
    <x v="1"/>
  </r>
  <r>
    <x v="451"/>
    <n v="22"/>
    <x v="0"/>
    <x v="3"/>
    <x v="431"/>
    <n v="17.54"/>
    <n v="7.06"/>
    <x v="2"/>
    <x v="0"/>
    <s v="Mild"/>
    <n v="25"/>
    <x v="0"/>
  </r>
  <r>
    <x v="452"/>
    <n v="77"/>
    <x v="0"/>
    <x v="3"/>
    <x v="432"/>
    <n v="2.5299999999999998"/>
    <n v="4.03"/>
    <x v="3"/>
    <x v="1"/>
    <s v="Mild"/>
    <n v="14"/>
    <x v="0"/>
  </r>
  <r>
    <x v="453"/>
    <n v="78"/>
    <x v="1"/>
    <x v="3"/>
    <x v="433"/>
    <n v="33.32"/>
    <n v="14.18"/>
    <x v="3"/>
    <x v="0"/>
    <s v="Moderate"/>
    <n v="4"/>
    <x v="0"/>
  </r>
  <r>
    <x v="454"/>
    <n v="65"/>
    <x v="1"/>
    <x v="3"/>
    <x v="434"/>
    <n v="4.51"/>
    <n v="5.89"/>
    <x v="0"/>
    <x v="2"/>
    <s v="Severe"/>
    <n v="23"/>
    <x v="0"/>
  </r>
  <r>
    <x v="455"/>
    <n v="36"/>
    <x v="0"/>
    <x v="3"/>
    <x v="435"/>
    <n v="48.84"/>
    <n v="17.309999999999999"/>
    <x v="3"/>
    <x v="2"/>
    <s v="None"/>
    <n v="16"/>
    <x v="0"/>
  </r>
  <r>
    <x v="456"/>
    <n v="21"/>
    <x v="0"/>
    <x v="1"/>
    <x v="436"/>
    <n v="18.3"/>
    <n v="17.66"/>
    <x v="2"/>
    <x v="2"/>
    <s v="Mild"/>
    <n v="17"/>
    <x v="1"/>
  </r>
  <r>
    <x v="457"/>
    <n v="52"/>
    <x v="0"/>
    <x v="3"/>
    <x v="437"/>
    <n v="17.22"/>
    <n v="6.09"/>
    <x v="3"/>
    <x v="1"/>
    <s v="None"/>
    <n v="23"/>
    <x v="0"/>
  </r>
  <r>
    <x v="458"/>
    <n v="66"/>
    <x v="0"/>
    <x v="0"/>
    <x v="438"/>
    <n v="4.87"/>
    <n v="15.78"/>
    <x v="1"/>
    <x v="0"/>
    <s v="None"/>
    <n v="25"/>
    <x v="0"/>
  </r>
  <r>
    <x v="459"/>
    <n v="34"/>
    <x v="1"/>
    <x v="3"/>
    <x v="439"/>
    <n v="6.65"/>
    <n v="15.73"/>
    <x v="2"/>
    <x v="2"/>
    <s v="None"/>
    <n v="23"/>
    <x v="0"/>
  </r>
  <r>
    <x v="460"/>
    <n v="61"/>
    <x v="1"/>
    <x v="2"/>
    <x v="440"/>
    <n v="31.55"/>
    <n v="7.42"/>
    <x v="0"/>
    <x v="0"/>
    <s v="Mild"/>
    <n v="16"/>
    <x v="1"/>
  </r>
  <r>
    <x v="461"/>
    <n v="45"/>
    <x v="1"/>
    <x v="1"/>
    <x v="274"/>
    <n v="28.86"/>
    <n v="6.69"/>
    <x v="2"/>
    <x v="1"/>
    <s v="Moderate"/>
    <n v="23"/>
    <x v="0"/>
  </r>
  <r>
    <x v="462"/>
    <n v="47"/>
    <x v="1"/>
    <x v="2"/>
    <x v="441"/>
    <n v="8.81"/>
    <n v="11.77"/>
    <x v="0"/>
    <x v="2"/>
    <s v="Moderate"/>
    <n v="14"/>
    <x v="0"/>
  </r>
  <r>
    <x v="463"/>
    <n v="46"/>
    <x v="1"/>
    <x v="2"/>
    <x v="268"/>
    <n v="8.23"/>
    <n v="30.27"/>
    <x v="1"/>
    <x v="0"/>
    <s v="None"/>
    <n v="7"/>
    <x v="0"/>
  </r>
  <r>
    <x v="464"/>
    <n v="63"/>
    <x v="0"/>
    <x v="3"/>
    <x v="442"/>
    <n v="8.42"/>
    <n v="19.920000000000002"/>
    <x v="0"/>
    <x v="1"/>
    <s v="None"/>
    <n v="4"/>
    <x v="0"/>
  </r>
  <r>
    <x v="465"/>
    <n v="70"/>
    <x v="1"/>
    <x v="0"/>
    <x v="443"/>
    <n v="21.73"/>
    <n v="9.81"/>
    <x v="3"/>
    <x v="1"/>
    <s v="None"/>
    <n v="24"/>
    <x v="1"/>
  </r>
  <r>
    <x v="466"/>
    <n v="23"/>
    <x v="1"/>
    <x v="1"/>
    <x v="444"/>
    <n v="20.309999999999999"/>
    <n v="1.43"/>
    <x v="1"/>
    <x v="0"/>
    <s v="None"/>
    <n v="8"/>
    <x v="0"/>
  </r>
  <r>
    <x v="467"/>
    <n v="52"/>
    <x v="1"/>
    <x v="1"/>
    <x v="445"/>
    <n v="13.32"/>
    <n v="9.08"/>
    <x v="1"/>
    <x v="1"/>
    <s v="Moderate"/>
    <n v="4"/>
    <x v="0"/>
  </r>
  <r>
    <x v="468"/>
    <n v="77"/>
    <x v="1"/>
    <x v="2"/>
    <x v="446"/>
    <n v="11.2"/>
    <n v="1.4"/>
    <x v="0"/>
    <x v="1"/>
    <s v="None"/>
    <n v="31"/>
    <x v="0"/>
  </r>
  <r>
    <x v="469"/>
    <n v="58"/>
    <x v="1"/>
    <x v="0"/>
    <x v="447"/>
    <n v="8.73"/>
    <n v="2.14"/>
    <x v="2"/>
    <x v="0"/>
    <s v="Mild"/>
    <n v="9"/>
    <x v="0"/>
  </r>
  <r>
    <x v="470"/>
    <n v="54"/>
    <x v="0"/>
    <x v="1"/>
    <x v="448"/>
    <n v="46.33"/>
    <n v="4.8600000000000003"/>
    <x v="0"/>
    <x v="0"/>
    <s v="None"/>
    <n v="18"/>
    <x v="0"/>
  </r>
  <r>
    <x v="471"/>
    <n v="41"/>
    <x v="0"/>
    <x v="1"/>
    <x v="449"/>
    <n v="2.83"/>
    <n v="9.99"/>
    <x v="0"/>
    <x v="0"/>
    <s v="None"/>
    <n v="35"/>
    <x v="0"/>
  </r>
  <r>
    <x v="472"/>
    <n v="46"/>
    <x v="0"/>
    <x v="1"/>
    <x v="450"/>
    <n v="7.36"/>
    <n v="5.36"/>
    <x v="1"/>
    <x v="1"/>
    <s v="Mild"/>
    <n v="35"/>
    <x v="0"/>
  </r>
  <r>
    <x v="473"/>
    <n v="66"/>
    <x v="1"/>
    <x v="1"/>
    <x v="451"/>
    <n v="12.65"/>
    <n v="21.21"/>
    <x v="3"/>
    <x v="0"/>
    <s v="None"/>
    <n v="16"/>
    <x v="1"/>
  </r>
  <r>
    <x v="474"/>
    <n v="63"/>
    <x v="0"/>
    <x v="2"/>
    <x v="452"/>
    <n v="2.2799999999999998"/>
    <n v="9.1300000000000008"/>
    <x v="2"/>
    <x v="1"/>
    <s v="None"/>
    <n v="14"/>
    <x v="0"/>
  </r>
  <r>
    <x v="475"/>
    <n v="70"/>
    <x v="0"/>
    <x v="3"/>
    <x v="453"/>
    <n v="6.28"/>
    <n v="5.55"/>
    <x v="0"/>
    <x v="1"/>
    <s v="None"/>
    <n v="8"/>
    <x v="1"/>
  </r>
  <r>
    <x v="476"/>
    <n v="48"/>
    <x v="1"/>
    <x v="1"/>
    <x v="454"/>
    <n v="38.43"/>
    <n v="14.94"/>
    <x v="3"/>
    <x v="1"/>
    <s v="Mild"/>
    <n v="14"/>
    <x v="1"/>
  </r>
  <r>
    <x v="477"/>
    <n v="52"/>
    <x v="1"/>
    <x v="3"/>
    <x v="455"/>
    <n v="19.38"/>
    <n v="5.05"/>
    <x v="3"/>
    <x v="2"/>
    <s v="Severe"/>
    <n v="33"/>
    <x v="1"/>
  </r>
  <r>
    <x v="478"/>
    <n v="77"/>
    <x v="1"/>
    <x v="1"/>
    <x v="456"/>
    <n v="6.23"/>
    <n v="10.17"/>
    <x v="2"/>
    <x v="1"/>
    <s v="Moderate"/>
    <n v="14"/>
    <x v="1"/>
  </r>
  <r>
    <x v="479"/>
    <n v="50"/>
    <x v="0"/>
    <x v="1"/>
    <x v="457"/>
    <n v="6.08"/>
    <n v="0.71"/>
    <x v="3"/>
    <x v="1"/>
    <s v="Severe"/>
    <n v="12"/>
    <x v="1"/>
  </r>
  <r>
    <x v="480"/>
    <n v="69"/>
    <x v="0"/>
    <x v="2"/>
    <x v="458"/>
    <n v="2.85"/>
    <n v="4.9800000000000004"/>
    <x v="0"/>
    <x v="1"/>
    <s v="Moderate"/>
    <n v="29"/>
    <x v="0"/>
  </r>
  <r>
    <x v="481"/>
    <n v="78"/>
    <x v="1"/>
    <x v="0"/>
    <x v="459"/>
    <n v="6.99"/>
    <n v="20.309999999999999"/>
    <x v="1"/>
    <x v="0"/>
    <s v="Moderate"/>
    <n v="9"/>
    <x v="1"/>
  </r>
  <r>
    <x v="482"/>
    <n v="38"/>
    <x v="1"/>
    <x v="0"/>
    <x v="460"/>
    <n v="15.08"/>
    <n v="12.78"/>
    <x v="3"/>
    <x v="2"/>
    <s v="Mild"/>
    <n v="35"/>
    <x v="0"/>
  </r>
  <r>
    <x v="483"/>
    <n v="49"/>
    <x v="0"/>
    <x v="1"/>
    <x v="461"/>
    <n v="13.27"/>
    <n v="11"/>
    <x v="1"/>
    <x v="2"/>
    <s v="None"/>
    <n v="29"/>
    <x v="0"/>
  </r>
  <r>
    <x v="484"/>
    <n v="40"/>
    <x v="0"/>
    <x v="0"/>
    <x v="144"/>
    <n v="7.3"/>
    <n v="14.22"/>
    <x v="2"/>
    <x v="1"/>
    <s v="None"/>
    <n v="10"/>
    <x v="1"/>
  </r>
  <r>
    <x v="485"/>
    <n v="50"/>
    <x v="1"/>
    <x v="2"/>
    <x v="462"/>
    <n v="4.45"/>
    <n v="20.43"/>
    <x v="2"/>
    <x v="1"/>
    <s v="Moderate"/>
    <n v="7"/>
    <x v="0"/>
  </r>
  <r>
    <x v="486"/>
    <n v="20"/>
    <x v="1"/>
    <x v="2"/>
    <x v="463"/>
    <n v="8.64"/>
    <n v="8.99"/>
    <x v="3"/>
    <x v="1"/>
    <s v="None"/>
    <n v="10"/>
    <x v="0"/>
  </r>
  <r>
    <x v="487"/>
    <n v="35"/>
    <x v="0"/>
    <x v="3"/>
    <x v="337"/>
    <n v="8.49"/>
    <n v="6.09"/>
    <x v="1"/>
    <x v="0"/>
    <s v="None"/>
    <n v="23"/>
    <x v="0"/>
  </r>
  <r>
    <x v="488"/>
    <n v="42"/>
    <x v="1"/>
    <x v="3"/>
    <x v="464"/>
    <n v="17.670000000000002"/>
    <n v="15.67"/>
    <x v="0"/>
    <x v="1"/>
    <s v="Moderate"/>
    <n v="26"/>
    <x v="0"/>
  </r>
  <r>
    <x v="489"/>
    <n v="59"/>
    <x v="0"/>
    <x v="1"/>
    <x v="465"/>
    <n v="11.9"/>
    <n v="7.92"/>
    <x v="1"/>
    <x v="1"/>
    <s v="None"/>
    <n v="9"/>
    <x v="0"/>
  </r>
  <r>
    <x v="490"/>
    <n v="48"/>
    <x v="0"/>
    <x v="1"/>
    <x v="466"/>
    <n v="10.73"/>
    <n v="5.99"/>
    <x v="3"/>
    <x v="0"/>
    <s v="Severe"/>
    <n v="21"/>
    <x v="0"/>
  </r>
  <r>
    <x v="491"/>
    <n v="71"/>
    <x v="0"/>
    <x v="1"/>
    <x v="387"/>
    <n v="23.05"/>
    <n v="7.18"/>
    <x v="1"/>
    <x v="1"/>
    <s v="Mild"/>
    <n v="33"/>
    <x v="0"/>
  </r>
  <r>
    <x v="492"/>
    <n v="75"/>
    <x v="0"/>
    <x v="1"/>
    <x v="467"/>
    <n v="28.69"/>
    <n v="12.73"/>
    <x v="1"/>
    <x v="1"/>
    <s v="None"/>
    <n v="29"/>
    <x v="0"/>
  </r>
  <r>
    <x v="493"/>
    <n v="20"/>
    <x v="1"/>
    <x v="3"/>
    <x v="468"/>
    <n v="13.15"/>
    <n v="1.67"/>
    <x v="2"/>
    <x v="1"/>
    <s v="Mild"/>
    <n v="31"/>
    <x v="0"/>
  </r>
  <r>
    <x v="494"/>
    <n v="57"/>
    <x v="1"/>
    <x v="2"/>
    <x v="469"/>
    <n v="13.39"/>
    <n v="12.89"/>
    <x v="3"/>
    <x v="1"/>
    <s v="Moderate"/>
    <n v="25"/>
    <x v="0"/>
  </r>
  <r>
    <x v="495"/>
    <n v="63"/>
    <x v="0"/>
    <x v="3"/>
    <x v="470"/>
    <n v="9.1199999999999992"/>
    <n v="3.56"/>
    <x v="1"/>
    <x v="0"/>
    <s v="None"/>
    <n v="22"/>
    <x v="1"/>
  </r>
  <r>
    <x v="496"/>
    <n v="41"/>
    <x v="0"/>
    <x v="1"/>
    <x v="471"/>
    <n v="4.82"/>
    <n v="5.33"/>
    <x v="3"/>
    <x v="2"/>
    <s v="Mild"/>
    <n v="8"/>
    <x v="0"/>
  </r>
  <r>
    <x v="497"/>
    <n v="67"/>
    <x v="0"/>
    <x v="0"/>
    <x v="472"/>
    <n v="18.670000000000002"/>
    <n v="2.82"/>
    <x v="0"/>
    <x v="1"/>
    <s v="Moderate"/>
    <n v="14"/>
    <x v="1"/>
  </r>
  <r>
    <x v="498"/>
    <n v="49"/>
    <x v="0"/>
    <x v="0"/>
    <x v="473"/>
    <n v="16.21"/>
    <n v="14.61"/>
    <x v="3"/>
    <x v="1"/>
    <s v="None"/>
    <n v="14"/>
    <x v="0"/>
  </r>
  <r>
    <x v="499"/>
    <n v="64"/>
    <x v="0"/>
    <x v="2"/>
    <x v="474"/>
    <n v="9.7100000000000009"/>
    <n v="11.03"/>
    <x v="0"/>
    <x v="2"/>
    <s v="None"/>
    <n v="5"/>
    <x v="0"/>
  </r>
  <r>
    <x v="500"/>
    <n v="39"/>
    <x v="1"/>
    <x v="0"/>
    <x v="475"/>
    <n v="11.92"/>
    <n v="3.57"/>
    <x v="3"/>
    <x v="2"/>
    <s v="None"/>
    <n v="21"/>
    <x v="0"/>
  </r>
  <r>
    <x v="501"/>
    <n v="40"/>
    <x v="1"/>
    <x v="3"/>
    <x v="476"/>
    <n v="22.01"/>
    <n v="16.22"/>
    <x v="3"/>
    <x v="1"/>
    <s v="None"/>
    <n v="6"/>
    <x v="0"/>
  </r>
  <r>
    <x v="502"/>
    <n v="19"/>
    <x v="1"/>
    <x v="0"/>
    <x v="477"/>
    <n v="24.56"/>
    <n v="2.17"/>
    <x v="1"/>
    <x v="0"/>
    <s v="None"/>
    <n v="33"/>
    <x v="0"/>
  </r>
  <r>
    <x v="503"/>
    <n v="44"/>
    <x v="1"/>
    <x v="1"/>
    <x v="478"/>
    <n v="0.59"/>
    <n v="6.85"/>
    <x v="1"/>
    <x v="1"/>
    <s v="Mild"/>
    <n v="35"/>
    <x v="0"/>
  </r>
  <r>
    <x v="504"/>
    <n v="59"/>
    <x v="0"/>
    <x v="3"/>
    <x v="479"/>
    <n v="5.89"/>
    <n v="2.66"/>
    <x v="0"/>
    <x v="0"/>
    <s v="None"/>
    <n v="8"/>
    <x v="0"/>
  </r>
  <r>
    <x v="505"/>
    <n v="19"/>
    <x v="0"/>
    <x v="1"/>
    <x v="480"/>
    <n v="9.69"/>
    <n v="8.07"/>
    <x v="0"/>
    <x v="2"/>
    <s v="Moderate"/>
    <n v="10"/>
    <x v="0"/>
  </r>
  <r>
    <x v="506"/>
    <n v="43"/>
    <x v="0"/>
    <x v="1"/>
    <x v="481"/>
    <n v="3.84"/>
    <n v="5.99"/>
    <x v="2"/>
    <x v="0"/>
    <s v="None"/>
    <n v="30"/>
    <x v="0"/>
  </r>
  <r>
    <x v="507"/>
    <n v="34"/>
    <x v="0"/>
    <x v="1"/>
    <x v="482"/>
    <n v="12.16"/>
    <n v="3.25"/>
    <x v="1"/>
    <x v="0"/>
    <s v="None"/>
    <n v="17"/>
    <x v="1"/>
  </r>
  <r>
    <x v="508"/>
    <n v="57"/>
    <x v="0"/>
    <x v="2"/>
    <x v="483"/>
    <n v="6.16"/>
    <n v="9.2200000000000006"/>
    <x v="0"/>
    <x v="1"/>
    <s v="Mild"/>
    <n v="33"/>
    <x v="0"/>
  </r>
  <r>
    <x v="509"/>
    <n v="50"/>
    <x v="1"/>
    <x v="2"/>
    <x v="484"/>
    <n v="12.46"/>
    <n v="3.81"/>
    <x v="1"/>
    <x v="0"/>
    <s v="Moderate"/>
    <n v="10"/>
    <x v="0"/>
  </r>
  <r>
    <x v="510"/>
    <n v="26"/>
    <x v="0"/>
    <x v="3"/>
    <x v="485"/>
    <n v="6.32"/>
    <n v="0.98"/>
    <x v="3"/>
    <x v="0"/>
    <s v="None"/>
    <n v="8"/>
    <x v="0"/>
  </r>
  <r>
    <x v="511"/>
    <n v="60"/>
    <x v="1"/>
    <x v="1"/>
    <x v="226"/>
    <n v="6.55"/>
    <n v="2.09"/>
    <x v="2"/>
    <x v="0"/>
    <s v="None"/>
    <n v="31"/>
    <x v="0"/>
  </r>
  <r>
    <x v="512"/>
    <n v="71"/>
    <x v="1"/>
    <x v="0"/>
    <x v="486"/>
    <n v="12.39"/>
    <n v="6.76"/>
    <x v="1"/>
    <x v="1"/>
    <s v="Moderate"/>
    <n v="9"/>
    <x v="1"/>
  </r>
  <r>
    <x v="513"/>
    <n v="65"/>
    <x v="1"/>
    <x v="2"/>
    <x v="487"/>
    <n v="19.239999999999998"/>
    <n v="7.51"/>
    <x v="1"/>
    <x v="0"/>
    <s v="None"/>
    <n v="12"/>
    <x v="0"/>
  </r>
  <r>
    <x v="514"/>
    <n v="56"/>
    <x v="1"/>
    <x v="3"/>
    <x v="152"/>
    <n v="15.54"/>
    <n v="4.66"/>
    <x v="1"/>
    <x v="0"/>
    <s v="None"/>
    <n v="15"/>
    <x v="1"/>
  </r>
  <r>
    <x v="515"/>
    <n v="46"/>
    <x v="0"/>
    <x v="2"/>
    <x v="488"/>
    <n v="9.75"/>
    <n v="22.95"/>
    <x v="1"/>
    <x v="1"/>
    <s v="None"/>
    <n v="24"/>
    <x v="0"/>
  </r>
  <r>
    <x v="516"/>
    <n v="59"/>
    <x v="1"/>
    <x v="1"/>
    <x v="489"/>
    <n v="1.58"/>
    <n v="11.61"/>
    <x v="0"/>
    <x v="1"/>
    <s v="Mild"/>
    <n v="23"/>
    <x v="1"/>
  </r>
  <r>
    <x v="517"/>
    <n v="72"/>
    <x v="1"/>
    <x v="1"/>
    <x v="490"/>
    <n v="6.41"/>
    <n v="12.25"/>
    <x v="0"/>
    <x v="1"/>
    <s v="None"/>
    <n v="3"/>
    <x v="0"/>
  </r>
  <r>
    <x v="518"/>
    <n v="43"/>
    <x v="1"/>
    <x v="0"/>
    <x v="491"/>
    <n v="5.83"/>
    <n v="4.2699999999999996"/>
    <x v="2"/>
    <x v="0"/>
    <s v="Mild"/>
    <n v="4"/>
    <x v="0"/>
  </r>
  <r>
    <x v="519"/>
    <n v="52"/>
    <x v="0"/>
    <x v="1"/>
    <x v="452"/>
    <n v="16.91"/>
    <n v="3.83"/>
    <x v="3"/>
    <x v="0"/>
    <s v="Mild"/>
    <n v="31"/>
    <x v="0"/>
  </r>
  <r>
    <x v="520"/>
    <n v="67"/>
    <x v="0"/>
    <x v="3"/>
    <x v="492"/>
    <n v="11.27"/>
    <n v="10.5"/>
    <x v="3"/>
    <x v="2"/>
    <s v="Moderate"/>
    <n v="13"/>
    <x v="0"/>
  </r>
  <r>
    <x v="521"/>
    <n v="42"/>
    <x v="0"/>
    <x v="0"/>
    <x v="493"/>
    <n v="11.59"/>
    <n v="7.41"/>
    <x v="2"/>
    <x v="1"/>
    <s v="None"/>
    <n v="9"/>
    <x v="0"/>
  </r>
  <r>
    <x v="522"/>
    <n v="41"/>
    <x v="1"/>
    <x v="2"/>
    <x v="494"/>
    <n v="5.0199999999999996"/>
    <n v="11.2"/>
    <x v="3"/>
    <x v="2"/>
    <s v="None"/>
    <n v="32"/>
    <x v="0"/>
  </r>
  <r>
    <x v="523"/>
    <n v="30"/>
    <x v="1"/>
    <x v="1"/>
    <x v="495"/>
    <n v="25.23"/>
    <n v="7.34"/>
    <x v="0"/>
    <x v="0"/>
    <s v="None"/>
    <n v="18"/>
    <x v="1"/>
  </r>
  <r>
    <x v="524"/>
    <n v="77"/>
    <x v="0"/>
    <x v="1"/>
    <x v="496"/>
    <n v="11.53"/>
    <n v="15.03"/>
    <x v="1"/>
    <x v="1"/>
    <s v="None"/>
    <n v="17"/>
    <x v="0"/>
  </r>
  <r>
    <x v="525"/>
    <n v="75"/>
    <x v="1"/>
    <x v="1"/>
    <x v="497"/>
    <n v="4.75"/>
    <n v="9.2799999999999994"/>
    <x v="3"/>
    <x v="1"/>
    <s v="Mild"/>
    <n v="22"/>
    <x v="1"/>
  </r>
  <r>
    <x v="526"/>
    <n v="24"/>
    <x v="0"/>
    <x v="2"/>
    <x v="498"/>
    <n v="5.0599999999999996"/>
    <n v="8.08"/>
    <x v="1"/>
    <x v="1"/>
    <s v="Mild"/>
    <n v="30"/>
    <x v="0"/>
  </r>
  <r>
    <x v="527"/>
    <n v="74"/>
    <x v="0"/>
    <x v="3"/>
    <x v="499"/>
    <n v="12.8"/>
    <n v="12.94"/>
    <x v="1"/>
    <x v="2"/>
    <s v="Mild"/>
    <n v="5"/>
    <x v="0"/>
  </r>
  <r>
    <x v="528"/>
    <n v="53"/>
    <x v="1"/>
    <x v="1"/>
    <x v="500"/>
    <n v="4.59"/>
    <n v="25"/>
    <x v="0"/>
    <x v="1"/>
    <s v="Moderate"/>
    <n v="31"/>
    <x v="0"/>
  </r>
  <r>
    <x v="529"/>
    <n v="62"/>
    <x v="1"/>
    <x v="0"/>
    <x v="501"/>
    <n v="5.9"/>
    <n v="14.43"/>
    <x v="1"/>
    <x v="1"/>
    <s v="Moderate"/>
    <n v="11"/>
    <x v="0"/>
  </r>
  <r>
    <x v="530"/>
    <n v="37"/>
    <x v="1"/>
    <x v="3"/>
    <x v="502"/>
    <n v="3.67"/>
    <n v="3.04"/>
    <x v="3"/>
    <x v="1"/>
    <s v="None"/>
    <n v="29"/>
    <x v="0"/>
  </r>
  <r>
    <x v="531"/>
    <n v="18"/>
    <x v="1"/>
    <x v="1"/>
    <x v="503"/>
    <n v="16.809999999999999"/>
    <n v="7.9"/>
    <x v="0"/>
    <x v="2"/>
    <s v="Severe"/>
    <n v="34"/>
    <x v="0"/>
  </r>
  <r>
    <x v="532"/>
    <n v="25"/>
    <x v="0"/>
    <x v="3"/>
    <x v="247"/>
    <n v="4.6900000000000004"/>
    <n v="8.1"/>
    <x v="2"/>
    <x v="1"/>
    <s v="None"/>
    <n v="33"/>
    <x v="1"/>
  </r>
  <r>
    <x v="533"/>
    <n v="63"/>
    <x v="0"/>
    <x v="2"/>
    <x v="504"/>
    <n v="28.06"/>
    <n v="11.41"/>
    <x v="0"/>
    <x v="1"/>
    <s v="Mild"/>
    <n v="28"/>
    <x v="0"/>
  </r>
  <r>
    <x v="534"/>
    <n v="33"/>
    <x v="0"/>
    <x v="1"/>
    <x v="505"/>
    <n v="13.99"/>
    <n v="6.72"/>
    <x v="3"/>
    <x v="1"/>
    <s v="None"/>
    <n v="5"/>
    <x v="1"/>
  </r>
  <r>
    <x v="535"/>
    <n v="31"/>
    <x v="0"/>
    <x v="1"/>
    <x v="506"/>
    <n v="3.65"/>
    <n v="9.08"/>
    <x v="0"/>
    <x v="1"/>
    <s v="Moderate"/>
    <n v="13"/>
    <x v="0"/>
  </r>
  <r>
    <x v="536"/>
    <n v="29"/>
    <x v="0"/>
    <x v="0"/>
    <x v="4"/>
    <n v="15.44"/>
    <n v="9.6199999999999992"/>
    <x v="3"/>
    <x v="1"/>
    <s v="None"/>
    <n v="31"/>
    <x v="1"/>
  </r>
  <r>
    <x v="537"/>
    <n v="68"/>
    <x v="1"/>
    <x v="3"/>
    <x v="507"/>
    <n v="25.26"/>
    <n v="10.99"/>
    <x v="3"/>
    <x v="0"/>
    <s v="Mild"/>
    <n v="29"/>
    <x v="0"/>
  </r>
  <r>
    <x v="538"/>
    <n v="40"/>
    <x v="0"/>
    <x v="3"/>
    <x v="508"/>
    <n v="9.43"/>
    <n v="3.02"/>
    <x v="0"/>
    <x v="2"/>
    <s v="Moderate"/>
    <n v="12"/>
    <x v="0"/>
  </r>
  <r>
    <x v="539"/>
    <n v="32"/>
    <x v="0"/>
    <x v="3"/>
    <x v="509"/>
    <n v="27.26"/>
    <n v="3.41"/>
    <x v="3"/>
    <x v="2"/>
    <s v="Mild"/>
    <n v="25"/>
    <x v="0"/>
  </r>
  <r>
    <x v="540"/>
    <n v="45"/>
    <x v="0"/>
    <x v="1"/>
    <x v="510"/>
    <n v="14.18"/>
    <n v="29.95"/>
    <x v="2"/>
    <x v="0"/>
    <s v="Mild"/>
    <n v="8"/>
    <x v="0"/>
  </r>
  <r>
    <x v="541"/>
    <n v="51"/>
    <x v="1"/>
    <x v="1"/>
    <x v="511"/>
    <n v="6.16"/>
    <n v="1.27"/>
    <x v="3"/>
    <x v="1"/>
    <s v="None"/>
    <n v="13"/>
    <x v="0"/>
  </r>
  <r>
    <x v="542"/>
    <n v="19"/>
    <x v="1"/>
    <x v="3"/>
    <x v="512"/>
    <n v="38.83"/>
    <n v="9.5399999999999991"/>
    <x v="2"/>
    <x v="0"/>
    <s v="None"/>
    <n v="29"/>
    <x v="1"/>
  </r>
  <r>
    <x v="543"/>
    <n v="49"/>
    <x v="1"/>
    <x v="1"/>
    <x v="513"/>
    <n v="2.77"/>
    <n v="14.42"/>
    <x v="2"/>
    <x v="1"/>
    <s v="Severe"/>
    <n v="33"/>
    <x v="1"/>
  </r>
  <r>
    <x v="544"/>
    <n v="40"/>
    <x v="1"/>
    <x v="1"/>
    <x v="514"/>
    <n v="7.71"/>
    <n v="4"/>
    <x v="3"/>
    <x v="1"/>
    <s v="Mild"/>
    <n v="32"/>
    <x v="0"/>
  </r>
  <r>
    <x v="545"/>
    <n v="39"/>
    <x v="0"/>
    <x v="0"/>
    <x v="515"/>
    <n v="9.75"/>
    <n v="19.86"/>
    <x v="1"/>
    <x v="2"/>
    <s v="Mild"/>
    <n v="5"/>
    <x v="0"/>
  </r>
  <r>
    <x v="546"/>
    <n v="68"/>
    <x v="0"/>
    <x v="0"/>
    <x v="516"/>
    <n v="34.58"/>
    <n v="9.34"/>
    <x v="2"/>
    <x v="2"/>
    <s v="None"/>
    <n v="15"/>
    <x v="0"/>
  </r>
  <r>
    <x v="547"/>
    <n v="42"/>
    <x v="1"/>
    <x v="2"/>
    <x v="517"/>
    <n v="17.09"/>
    <n v="25.51"/>
    <x v="2"/>
    <x v="0"/>
    <s v="None"/>
    <n v="23"/>
    <x v="1"/>
  </r>
  <r>
    <x v="548"/>
    <n v="75"/>
    <x v="1"/>
    <x v="0"/>
    <x v="369"/>
    <n v="15.11"/>
    <n v="4.33"/>
    <x v="0"/>
    <x v="2"/>
    <s v="None"/>
    <n v="13"/>
    <x v="0"/>
  </r>
  <r>
    <x v="549"/>
    <n v="79"/>
    <x v="0"/>
    <x v="1"/>
    <x v="518"/>
    <n v="5.38"/>
    <n v="7.97"/>
    <x v="2"/>
    <x v="2"/>
    <s v="None"/>
    <n v="5"/>
    <x v="0"/>
  </r>
  <r>
    <x v="550"/>
    <n v="78"/>
    <x v="0"/>
    <x v="0"/>
    <x v="519"/>
    <n v="9.15"/>
    <n v="6.24"/>
    <x v="2"/>
    <x v="0"/>
    <s v="None"/>
    <n v="33"/>
    <x v="0"/>
  </r>
  <r>
    <x v="551"/>
    <n v="39"/>
    <x v="1"/>
    <x v="1"/>
    <x v="520"/>
    <n v="6.29"/>
    <n v="5.58"/>
    <x v="2"/>
    <x v="0"/>
    <s v="None"/>
    <n v="26"/>
    <x v="0"/>
  </r>
  <r>
    <x v="552"/>
    <n v="75"/>
    <x v="1"/>
    <x v="0"/>
    <x v="512"/>
    <n v="14.75"/>
    <n v="5.84"/>
    <x v="2"/>
    <x v="0"/>
    <s v="None"/>
    <n v="14"/>
    <x v="0"/>
  </r>
  <r>
    <x v="553"/>
    <n v="75"/>
    <x v="1"/>
    <x v="0"/>
    <x v="521"/>
    <n v="22.59"/>
    <n v="7.1"/>
    <x v="1"/>
    <x v="1"/>
    <s v="Mild"/>
    <n v="29"/>
    <x v="0"/>
  </r>
  <r>
    <x v="554"/>
    <n v="39"/>
    <x v="1"/>
    <x v="2"/>
    <x v="522"/>
    <n v="44.67"/>
    <n v="6.7"/>
    <x v="2"/>
    <x v="1"/>
    <s v="None"/>
    <n v="23"/>
    <x v="0"/>
  </r>
  <r>
    <x v="555"/>
    <n v="66"/>
    <x v="0"/>
    <x v="0"/>
    <x v="523"/>
    <n v="6.89"/>
    <n v="15.56"/>
    <x v="3"/>
    <x v="0"/>
    <s v="Mild"/>
    <n v="27"/>
    <x v="0"/>
  </r>
  <r>
    <x v="556"/>
    <n v="69"/>
    <x v="0"/>
    <x v="3"/>
    <x v="189"/>
    <n v="2.69"/>
    <n v="14.72"/>
    <x v="1"/>
    <x v="1"/>
    <s v="Moderate"/>
    <n v="32"/>
    <x v="1"/>
  </r>
  <r>
    <x v="557"/>
    <n v="59"/>
    <x v="0"/>
    <x v="1"/>
    <x v="524"/>
    <n v="7.81"/>
    <n v="2.29"/>
    <x v="2"/>
    <x v="1"/>
    <s v="None"/>
    <n v="32"/>
    <x v="1"/>
  </r>
  <r>
    <x v="558"/>
    <n v="23"/>
    <x v="1"/>
    <x v="3"/>
    <x v="525"/>
    <n v="20.52"/>
    <n v="5.84"/>
    <x v="3"/>
    <x v="1"/>
    <s v="Moderate"/>
    <n v="12"/>
    <x v="0"/>
  </r>
  <r>
    <x v="559"/>
    <n v="32"/>
    <x v="1"/>
    <x v="3"/>
    <x v="526"/>
    <n v="4.8099999999999996"/>
    <n v="11.81"/>
    <x v="3"/>
    <x v="1"/>
    <s v="Moderate"/>
    <n v="5"/>
    <x v="1"/>
  </r>
  <r>
    <x v="560"/>
    <n v="71"/>
    <x v="0"/>
    <x v="1"/>
    <x v="527"/>
    <n v="10.02"/>
    <n v="11.06"/>
    <x v="1"/>
    <x v="2"/>
    <s v="None"/>
    <n v="15"/>
    <x v="0"/>
  </r>
  <r>
    <x v="561"/>
    <n v="60"/>
    <x v="0"/>
    <x v="2"/>
    <x v="528"/>
    <n v="15.25"/>
    <n v="7.66"/>
    <x v="1"/>
    <x v="0"/>
    <s v="None"/>
    <n v="29"/>
    <x v="0"/>
  </r>
  <r>
    <x v="562"/>
    <n v="77"/>
    <x v="0"/>
    <x v="0"/>
    <x v="529"/>
    <n v="7.01"/>
    <n v="9.06"/>
    <x v="3"/>
    <x v="0"/>
    <s v="None"/>
    <n v="20"/>
    <x v="0"/>
  </r>
  <r>
    <x v="563"/>
    <n v="54"/>
    <x v="0"/>
    <x v="1"/>
    <x v="530"/>
    <n v="11.9"/>
    <n v="6.84"/>
    <x v="1"/>
    <x v="2"/>
    <s v="Mild"/>
    <n v="26"/>
    <x v="1"/>
  </r>
  <r>
    <x v="564"/>
    <n v="50"/>
    <x v="1"/>
    <x v="2"/>
    <x v="531"/>
    <n v="4.4000000000000004"/>
    <n v="16.48"/>
    <x v="1"/>
    <x v="2"/>
    <s v="None"/>
    <n v="16"/>
    <x v="0"/>
  </r>
  <r>
    <x v="565"/>
    <n v="25"/>
    <x v="0"/>
    <x v="0"/>
    <x v="532"/>
    <n v="23.67"/>
    <n v="15.31"/>
    <x v="0"/>
    <x v="0"/>
    <s v="None"/>
    <n v="6"/>
    <x v="0"/>
  </r>
  <r>
    <x v="566"/>
    <n v="70"/>
    <x v="0"/>
    <x v="0"/>
    <x v="533"/>
    <n v="8.3000000000000007"/>
    <n v="7.27"/>
    <x v="1"/>
    <x v="2"/>
    <s v="Mild"/>
    <n v="18"/>
    <x v="1"/>
  </r>
  <r>
    <x v="567"/>
    <n v="77"/>
    <x v="0"/>
    <x v="0"/>
    <x v="277"/>
    <n v="11.65"/>
    <n v="8.74"/>
    <x v="0"/>
    <x v="1"/>
    <s v="None"/>
    <n v="12"/>
    <x v="0"/>
  </r>
  <r>
    <x v="568"/>
    <n v="61"/>
    <x v="0"/>
    <x v="3"/>
    <x v="41"/>
    <n v="1.66"/>
    <n v="7.29"/>
    <x v="1"/>
    <x v="1"/>
    <s v="Severe"/>
    <n v="29"/>
    <x v="0"/>
  </r>
  <r>
    <x v="569"/>
    <n v="61"/>
    <x v="0"/>
    <x v="0"/>
    <x v="534"/>
    <n v="3.85"/>
    <n v="8.1999999999999993"/>
    <x v="1"/>
    <x v="1"/>
    <s v="None"/>
    <n v="3"/>
    <x v="0"/>
  </r>
  <r>
    <x v="570"/>
    <n v="22"/>
    <x v="0"/>
    <x v="2"/>
    <x v="535"/>
    <n v="20.05"/>
    <n v="18.16"/>
    <x v="3"/>
    <x v="0"/>
    <s v="Moderate"/>
    <n v="7"/>
    <x v="1"/>
  </r>
  <r>
    <x v="571"/>
    <n v="56"/>
    <x v="0"/>
    <x v="1"/>
    <x v="536"/>
    <n v="6.93"/>
    <n v="6.7"/>
    <x v="0"/>
    <x v="0"/>
    <s v="None"/>
    <n v="15"/>
    <x v="0"/>
  </r>
  <r>
    <x v="572"/>
    <n v="21"/>
    <x v="1"/>
    <x v="3"/>
    <x v="162"/>
    <n v="4.6100000000000003"/>
    <n v="5.62"/>
    <x v="1"/>
    <x v="0"/>
    <s v="None"/>
    <n v="5"/>
    <x v="0"/>
  </r>
  <r>
    <x v="573"/>
    <n v="23"/>
    <x v="1"/>
    <x v="2"/>
    <x v="537"/>
    <n v="2.4700000000000002"/>
    <n v="8.69"/>
    <x v="2"/>
    <x v="0"/>
    <s v="None"/>
    <n v="19"/>
    <x v="0"/>
  </r>
  <r>
    <x v="574"/>
    <n v="62"/>
    <x v="1"/>
    <x v="1"/>
    <x v="538"/>
    <n v="23.37"/>
    <n v="7.23"/>
    <x v="1"/>
    <x v="1"/>
    <s v="Severe"/>
    <n v="21"/>
    <x v="0"/>
  </r>
  <r>
    <x v="575"/>
    <n v="49"/>
    <x v="1"/>
    <x v="2"/>
    <x v="539"/>
    <n v="16.57"/>
    <n v="4.97"/>
    <x v="3"/>
    <x v="1"/>
    <s v="None"/>
    <n v="7"/>
    <x v="0"/>
  </r>
  <r>
    <x v="576"/>
    <n v="69"/>
    <x v="0"/>
    <x v="2"/>
    <x v="540"/>
    <n v="15.81"/>
    <n v="13.97"/>
    <x v="3"/>
    <x v="0"/>
    <s v="Mild"/>
    <n v="26"/>
    <x v="1"/>
  </r>
  <r>
    <x v="577"/>
    <n v="47"/>
    <x v="1"/>
    <x v="1"/>
    <x v="541"/>
    <n v="29.76"/>
    <n v="15.02"/>
    <x v="3"/>
    <x v="1"/>
    <s v="Moderate"/>
    <n v="35"/>
    <x v="0"/>
  </r>
  <r>
    <x v="578"/>
    <n v="64"/>
    <x v="1"/>
    <x v="3"/>
    <x v="295"/>
    <n v="7.72"/>
    <n v="9.93"/>
    <x v="0"/>
    <x v="0"/>
    <s v="Mild"/>
    <n v="23"/>
    <x v="0"/>
  </r>
  <r>
    <x v="579"/>
    <n v="52"/>
    <x v="0"/>
    <x v="2"/>
    <x v="542"/>
    <n v="2.73"/>
    <n v="5.4"/>
    <x v="0"/>
    <x v="0"/>
    <s v="None"/>
    <n v="5"/>
    <x v="0"/>
  </r>
  <r>
    <x v="580"/>
    <n v="72"/>
    <x v="0"/>
    <x v="3"/>
    <x v="543"/>
    <n v="10.48"/>
    <n v="16.55"/>
    <x v="0"/>
    <x v="0"/>
    <s v="Severe"/>
    <n v="6"/>
    <x v="0"/>
  </r>
  <r>
    <x v="581"/>
    <n v="57"/>
    <x v="1"/>
    <x v="1"/>
    <x v="81"/>
    <n v="33.57"/>
    <n v="3.28"/>
    <x v="2"/>
    <x v="1"/>
    <s v="Moderate"/>
    <n v="34"/>
    <x v="0"/>
  </r>
  <r>
    <x v="582"/>
    <n v="69"/>
    <x v="1"/>
    <x v="1"/>
    <x v="544"/>
    <n v="10.64"/>
    <n v="0.69"/>
    <x v="0"/>
    <x v="0"/>
    <s v="None"/>
    <n v="26"/>
    <x v="1"/>
  </r>
  <r>
    <x v="583"/>
    <n v="33"/>
    <x v="0"/>
    <x v="3"/>
    <x v="545"/>
    <n v="22.19"/>
    <n v="7.73"/>
    <x v="3"/>
    <x v="2"/>
    <s v="Mild"/>
    <n v="20"/>
    <x v="1"/>
  </r>
  <r>
    <x v="584"/>
    <n v="30"/>
    <x v="1"/>
    <x v="0"/>
    <x v="546"/>
    <n v="2.83"/>
    <n v="29.34"/>
    <x v="0"/>
    <x v="2"/>
    <s v="Severe"/>
    <n v="5"/>
    <x v="0"/>
  </r>
  <r>
    <x v="585"/>
    <n v="67"/>
    <x v="0"/>
    <x v="1"/>
    <x v="547"/>
    <n v="5.28"/>
    <n v="10.1"/>
    <x v="0"/>
    <x v="2"/>
    <s v="Severe"/>
    <n v="28"/>
    <x v="0"/>
  </r>
  <r>
    <x v="586"/>
    <n v="77"/>
    <x v="0"/>
    <x v="2"/>
    <x v="360"/>
    <n v="19.23"/>
    <n v="7"/>
    <x v="1"/>
    <x v="0"/>
    <s v="None"/>
    <n v="26"/>
    <x v="0"/>
  </r>
  <r>
    <x v="587"/>
    <n v="59"/>
    <x v="0"/>
    <x v="1"/>
    <x v="548"/>
    <n v="11.47"/>
    <n v="12.25"/>
    <x v="0"/>
    <x v="1"/>
    <s v="Moderate"/>
    <n v="3"/>
    <x v="0"/>
  </r>
  <r>
    <x v="588"/>
    <n v="47"/>
    <x v="0"/>
    <x v="1"/>
    <x v="549"/>
    <n v="9.2899999999999991"/>
    <n v="12.24"/>
    <x v="1"/>
    <x v="0"/>
    <s v="None"/>
    <n v="14"/>
    <x v="1"/>
  </r>
  <r>
    <x v="589"/>
    <n v="36"/>
    <x v="1"/>
    <x v="0"/>
    <x v="550"/>
    <n v="21.98"/>
    <n v="19.45"/>
    <x v="0"/>
    <x v="2"/>
    <s v="None"/>
    <n v="19"/>
    <x v="0"/>
  </r>
  <r>
    <x v="590"/>
    <n v="34"/>
    <x v="0"/>
    <x v="2"/>
    <x v="551"/>
    <n v="19.05"/>
    <n v="4.6900000000000004"/>
    <x v="1"/>
    <x v="1"/>
    <s v="None"/>
    <n v="23"/>
    <x v="1"/>
  </r>
  <r>
    <x v="591"/>
    <n v="73"/>
    <x v="0"/>
    <x v="1"/>
    <x v="552"/>
    <n v="11.7"/>
    <n v="12.54"/>
    <x v="3"/>
    <x v="1"/>
    <s v="None"/>
    <n v="23"/>
    <x v="1"/>
  </r>
  <r>
    <x v="592"/>
    <n v="36"/>
    <x v="1"/>
    <x v="3"/>
    <x v="553"/>
    <n v="0.6"/>
    <n v="8.68"/>
    <x v="0"/>
    <x v="1"/>
    <s v="Mild"/>
    <n v="5"/>
    <x v="1"/>
  </r>
  <r>
    <x v="593"/>
    <n v="45"/>
    <x v="0"/>
    <x v="1"/>
    <x v="554"/>
    <n v="10.14"/>
    <n v="9.4700000000000006"/>
    <x v="3"/>
    <x v="0"/>
    <s v="None"/>
    <n v="30"/>
    <x v="0"/>
  </r>
  <r>
    <x v="594"/>
    <n v="75"/>
    <x v="1"/>
    <x v="3"/>
    <x v="555"/>
    <n v="13.87"/>
    <n v="8.4499999999999993"/>
    <x v="0"/>
    <x v="1"/>
    <s v="None"/>
    <n v="27"/>
    <x v="1"/>
  </r>
  <r>
    <x v="595"/>
    <n v="72"/>
    <x v="1"/>
    <x v="2"/>
    <x v="556"/>
    <n v="1.71"/>
    <n v="8.35"/>
    <x v="2"/>
    <x v="1"/>
    <s v="None"/>
    <n v="8"/>
    <x v="0"/>
  </r>
  <r>
    <x v="596"/>
    <n v="43"/>
    <x v="1"/>
    <x v="1"/>
    <x v="437"/>
    <n v="13.53"/>
    <n v="2.33"/>
    <x v="2"/>
    <x v="2"/>
    <s v="None"/>
    <n v="32"/>
    <x v="1"/>
  </r>
  <r>
    <x v="597"/>
    <n v="54"/>
    <x v="0"/>
    <x v="1"/>
    <x v="557"/>
    <n v="22.67"/>
    <n v="6.46"/>
    <x v="3"/>
    <x v="0"/>
    <s v="Severe"/>
    <n v="34"/>
    <x v="1"/>
  </r>
  <r>
    <x v="598"/>
    <n v="43"/>
    <x v="1"/>
    <x v="3"/>
    <x v="558"/>
    <n v="10.130000000000001"/>
    <n v="8.51"/>
    <x v="3"/>
    <x v="1"/>
    <s v="Moderate"/>
    <n v="24"/>
    <x v="0"/>
  </r>
  <r>
    <x v="599"/>
    <n v="70"/>
    <x v="1"/>
    <x v="0"/>
    <x v="293"/>
    <n v="4.1399999999999997"/>
    <n v="11.47"/>
    <x v="2"/>
    <x v="1"/>
    <s v="None"/>
    <n v="16"/>
    <x v="0"/>
  </r>
  <r>
    <x v="600"/>
    <n v="79"/>
    <x v="0"/>
    <x v="0"/>
    <x v="559"/>
    <n v="0.73"/>
    <n v="9.52"/>
    <x v="2"/>
    <x v="1"/>
    <s v="Moderate"/>
    <n v="28"/>
    <x v="0"/>
  </r>
  <r>
    <x v="601"/>
    <n v="40"/>
    <x v="1"/>
    <x v="1"/>
    <x v="560"/>
    <n v="13.72"/>
    <n v="9.26"/>
    <x v="1"/>
    <x v="0"/>
    <s v="None"/>
    <n v="15"/>
    <x v="0"/>
  </r>
  <r>
    <x v="602"/>
    <n v="26"/>
    <x v="1"/>
    <x v="2"/>
    <x v="561"/>
    <n v="1.97"/>
    <n v="13.28"/>
    <x v="0"/>
    <x v="1"/>
    <s v="Mild"/>
    <n v="32"/>
    <x v="1"/>
  </r>
  <r>
    <x v="603"/>
    <n v="29"/>
    <x v="1"/>
    <x v="3"/>
    <x v="562"/>
    <n v="15.71"/>
    <n v="21.78"/>
    <x v="2"/>
    <x v="0"/>
    <s v="Severe"/>
    <n v="21"/>
    <x v="0"/>
  </r>
  <r>
    <x v="604"/>
    <n v="70"/>
    <x v="1"/>
    <x v="3"/>
    <x v="279"/>
    <n v="32.5"/>
    <n v="7.7"/>
    <x v="3"/>
    <x v="0"/>
    <s v="None"/>
    <n v="5"/>
    <x v="0"/>
  </r>
  <r>
    <x v="605"/>
    <n v="18"/>
    <x v="1"/>
    <x v="2"/>
    <x v="563"/>
    <n v="5.5"/>
    <n v="4.6399999999999997"/>
    <x v="3"/>
    <x v="0"/>
    <s v="Mild"/>
    <n v="33"/>
    <x v="0"/>
  </r>
  <r>
    <x v="606"/>
    <n v="75"/>
    <x v="0"/>
    <x v="0"/>
    <x v="564"/>
    <n v="8.4600000000000009"/>
    <n v="16.420000000000002"/>
    <x v="2"/>
    <x v="1"/>
    <s v="None"/>
    <n v="14"/>
    <x v="0"/>
  </r>
  <r>
    <x v="607"/>
    <n v="75"/>
    <x v="1"/>
    <x v="0"/>
    <x v="565"/>
    <n v="33.74"/>
    <n v="12.45"/>
    <x v="3"/>
    <x v="0"/>
    <s v="None"/>
    <n v="17"/>
    <x v="0"/>
  </r>
  <r>
    <x v="608"/>
    <n v="18"/>
    <x v="1"/>
    <x v="3"/>
    <x v="566"/>
    <n v="11.09"/>
    <n v="7.27"/>
    <x v="0"/>
    <x v="2"/>
    <s v="Mild"/>
    <n v="16"/>
    <x v="1"/>
  </r>
  <r>
    <x v="609"/>
    <n v="64"/>
    <x v="0"/>
    <x v="3"/>
    <x v="567"/>
    <n v="6.99"/>
    <n v="0.98"/>
    <x v="1"/>
    <x v="1"/>
    <s v="Severe"/>
    <n v="18"/>
    <x v="1"/>
  </r>
  <r>
    <x v="610"/>
    <n v="51"/>
    <x v="0"/>
    <x v="2"/>
    <x v="568"/>
    <n v="20.51"/>
    <n v="16.73"/>
    <x v="0"/>
    <x v="1"/>
    <s v="None"/>
    <n v="26"/>
    <x v="0"/>
  </r>
  <r>
    <x v="611"/>
    <n v="49"/>
    <x v="0"/>
    <x v="1"/>
    <x v="569"/>
    <n v="7.31"/>
    <n v="4.51"/>
    <x v="1"/>
    <x v="0"/>
    <s v="Moderate"/>
    <n v="19"/>
    <x v="1"/>
  </r>
  <r>
    <x v="612"/>
    <n v="79"/>
    <x v="1"/>
    <x v="3"/>
    <x v="570"/>
    <n v="5.18"/>
    <n v="7.74"/>
    <x v="1"/>
    <x v="0"/>
    <s v="Moderate"/>
    <n v="20"/>
    <x v="0"/>
  </r>
  <r>
    <x v="613"/>
    <n v="71"/>
    <x v="0"/>
    <x v="3"/>
    <x v="571"/>
    <n v="15.54"/>
    <n v="7.08"/>
    <x v="2"/>
    <x v="1"/>
    <s v="None"/>
    <n v="19"/>
    <x v="0"/>
  </r>
  <r>
    <x v="614"/>
    <n v="65"/>
    <x v="1"/>
    <x v="2"/>
    <x v="572"/>
    <n v="21.66"/>
    <n v="17.28"/>
    <x v="3"/>
    <x v="0"/>
    <s v="None"/>
    <n v="18"/>
    <x v="0"/>
  </r>
  <r>
    <x v="615"/>
    <n v="42"/>
    <x v="1"/>
    <x v="1"/>
    <x v="573"/>
    <n v="5.15"/>
    <n v="10.93"/>
    <x v="1"/>
    <x v="0"/>
    <s v="Mild"/>
    <n v="23"/>
    <x v="0"/>
  </r>
  <r>
    <x v="616"/>
    <n v="57"/>
    <x v="0"/>
    <x v="1"/>
    <x v="574"/>
    <n v="11.79"/>
    <n v="3.47"/>
    <x v="2"/>
    <x v="2"/>
    <s v="None"/>
    <n v="26"/>
    <x v="0"/>
  </r>
  <r>
    <x v="617"/>
    <n v="62"/>
    <x v="0"/>
    <x v="0"/>
    <x v="575"/>
    <n v="8.76"/>
    <n v="35.36"/>
    <x v="3"/>
    <x v="1"/>
    <s v="None"/>
    <n v="29"/>
    <x v="0"/>
  </r>
  <r>
    <x v="618"/>
    <n v="70"/>
    <x v="1"/>
    <x v="1"/>
    <x v="576"/>
    <n v="9.91"/>
    <n v="12.93"/>
    <x v="3"/>
    <x v="0"/>
    <s v="Severe"/>
    <n v="19"/>
    <x v="0"/>
  </r>
  <r>
    <x v="619"/>
    <n v="18"/>
    <x v="0"/>
    <x v="3"/>
    <x v="577"/>
    <n v="4.18"/>
    <n v="5.34"/>
    <x v="1"/>
    <x v="1"/>
    <s v="Mild"/>
    <n v="27"/>
    <x v="0"/>
  </r>
  <r>
    <x v="620"/>
    <n v="33"/>
    <x v="1"/>
    <x v="1"/>
    <x v="578"/>
    <n v="16.39"/>
    <n v="20.73"/>
    <x v="3"/>
    <x v="0"/>
    <s v="None"/>
    <n v="23"/>
    <x v="0"/>
  </r>
  <r>
    <x v="621"/>
    <n v="78"/>
    <x v="0"/>
    <x v="1"/>
    <x v="579"/>
    <n v="27.98"/>
    <n v="8.9600000000000009"/>
    <x v="0"/>
    <x v="0"/>
    <s v="Mild"/>
    <n v="6"/>
    <x v="0"/>
  </r>
  <r>
    <x v="622"/>
    <n v="56"/>
    <x v="0"/>
    <x v="1"/>
    <x v="580"/>
    <n v="5.04"/>
    <n v="8.08"/>
    <x v="3"/>
    <x v="1"/>
    <s v="None"/>
    <n v="27"/>
    <x v="0"/>
  </r>
  <r>
    <x v="623"/>
    <n v="22"/>
    <x v="0"/>
    <x v="1"/>
    <x v="581"/>
    <n v="16.38"/>
    <n v="8.44"/>
    <x v="0"/>
    <x v="2"/>
    <s v="None"/>
    <n v="32"/>
    <x v="0"/>
  </r>
  <r>
    <x v="624"/>
    <n v="39"/>
    <x v="1"/>
    <x v="0"/>
    <x v="582"/>
    <n v="20.190000000000001"/>
    <n v="8.89"/>
    <x v="3"/>
    <x v="1"/>
    <s v="Moderate"/>
    <n v="35"/>
    <x v="1"/>
  </r>
  <r>
    <x v="625"/>
    <n v="46"/>
    <x v="0"/>
    <x v="1"/>
    <x v="583"/>
    <n v="11.73"/>
    <n v="8.69"/>
    <x v="1"/>
    <x v="0"/>
    <s v="Moderate"/>
    <n v="28"/>
    <x v="0"/>
  </r>
  <r>
    <x v="626"/>
    <n v="72"/>
    <x v="1"/>
    <x v="0"/>
    <x v="406"/>
    <n v="15.89"/>
    <n v="8.15"/>
    <x v="1"/>
    <x v="1"/>
    <s v="None"/>
    <n v="27"/>
    <x v="0"/>
  </r>
  <r>
    <x v="627"/>
    <n v="20"/>
    <x v="1"/>
    <x v="3"/>
    <x v="584"/>
    <n v="5.58"/>
    <n v="6.04"/>
    <x v="2"/>
    <x v="0"/>
    <s v="None"/>
    <n v="18"/>
    <x v="1"/>
  </r>
  <r>
    <x v="628"/>
    <n v="29"/>
    <x v="1"/>
    <x v="3"/>
    <x v="585"/>
    <n v="26.93"/>
    <n v="5.03"/>
    <x v="0"/>
    <x v="1"/>
    <s v="Mild"/>
    <n v="26"/>
    <x v="1"/>
  </r>
  <r>
    <x v="629"/>
    <n v="43"/>
    <x v="1"/>
    <x v="3"/>
    <x v="586"/>
    <n v="21.77"/>
    <n v="10.02"/>
    <x v="0"/>
    <x v="2"/>
    <s v="None"/>
    <n v="7"/>
    <x v="0"/>
  </r>
  <r>
    <x v="630"/>
    <n v="33"/>
    <x v="0"/>
    <x v="3"/>
    <x v="587"/>
    <n v="23.48"/>
    <n v="5.1100000000000003"/>
    <x v="1"/>
    <x v="2"/>
    <s v="None"/>
    <n v="15"/>
    <x v="1"/>
  </r>
  <r>
    <x v="631"/>
    <n v="68"/>
    <x v="1"/>
    <x v="2"/>
    <x v="588"/>
    <n v="3.53"/>
    <n v="11.19"/>
    <x v="1"/>
    <x v="2"/>
    <s v="None"/>
    <n v="32"/>
    <x v="1"/>
  </r>
  <r>
    <x v="632"/>
    <n v="54"/>
    <x v="1"/>
    <x v="1"/>
    <x v="589"/>
    <n v="14.49"/>
    <n v="20.09"/>
    <x v="1"/>
    <x v="1"/>
    <s v="Mild"/>
    <n v="9"/>
    <x v="0"/>
  </r>
  <r>
    <x v="633"/>
    <n v="39"/>
    <x v="0"/>
    <x v="3"/>
    <x v="590"/>
    <n v="5.95"/>
    <n v="8.8699999999999992"/>
    <x v="0"/>
    <x v="0"/>
    <s v="None"/>
    <n v="19"/>
    <x v="1"/>
  </r>
  <r>
    <x v="634"/>
    <n v="74"/>
    <x v="1"/>
    <x v="0"/>
    <x v="591"/>
    <n v="28.48"/>
    <n v="10.34"/>
    <x v="2"/>
    <x v="1"/>
    <s v="None"/>
    <n v="29"/>
    <x v="1"/>
  </r>
  <r>
    <x v="635"/>
    <n v="46"/>
    <x v="0"/>
    <x v="0"/>
    <x v="592"/>
    <n v="5.14"/>
    <n v="17.309999999999999"/>
    <x v="0"/>
    <x v="2"/>
    <s v="None"/>
    <n v="7"/>
    <x v="0"/>
  </r>
  <r>
    <x v="636"/>
    <n v="31"/>
    <x v="1"/>
    <x v="0"/>
    <x v="593"/>
    <n v="12.08"/>
    <n v="7.64"/>
    <x v="1"/>
    <x v="0"/>
    <s v="None"/>
    <n v="7"/>
    <x v="0"/>
  </r>
  <r>
    <x v="637"/>
    <n v="45"/>
    <x v="0"/>
    <x v="3"/>
    <x v="594"/>
    <n v="1.19"/>
    <n v="5.77"/>
    <x v="2"/>
    <x v="0"/>
    <s v="None"/>
    <n v="26"/>
    <x v="0"/>
  </r>
  <r>
    <x v="638"/>
    <n v="22"/>
    <x v="1"/>
    <x v="2"/>
    <x v="595"/>
    <n v="12.04"/>
    <n v="0.71"/>
    <x v="3"/>
    <x v="0"/>
    <s v="None"/>
    <n v="9"/>
    <x v="0"/>
  </r>
  <r>
    <x v="639"/>
    <n v="64"/>
    <x v="0"/>
    <x v="3"/>
    <x v="596"/>
    <n v="3.57"/>
    <n v="9.7200000000000006"/>
    <x v="3"/>
    <x v="1"/>
    <s v="None"/>
    <n v="9"/>
    <x v="0"/>
  </r>
  <r>
    <x v="640"/>
    <n v="66"/>
    <x v="1"/>
    <x v="3"/>
    <x v="427"/>
    <n v="15.02"/>
    <n v="5.83"/>
    <x v="1"/>
    <x v="0"/>
    <s v="Moderate"/>
    <n v="16"/>
    <x v="0"/>
  </r>
  <r>
    <x v="641"/>
    <n v="47"/>
    <x v="1"/>
    <x v="1"/>
    <x v="597"/>
    <n v="8.9700000000000006"/>
    <n v="7.25"/>
    <x v="2"/>
    <x v="1"/>
    <s v="None"/>
    <n v="17"/>
    <x v="1"/>
  </r>
  <r>
    <x v="642"/>
    <n v="63"/>
    <x v="0"/>
    <x v="3"/>
    <x v="598"/>
    <n v="7.49"/>
    <n v="1.2"/>
    <x v="1"/>
    <x v="2"/>
    <s v="None"/>
    <n v="7"/>
    <x v="1"/>
  </r>
  <r>
    <x v="643"/>
    <n v="79"/>
    <x v="0"/>
    <x v="1"/>
    <x v="599"/>
    <n v="28.97"/>
    <n v="7.24"/>
    <x v="0"/>
    <x v="2"/>
    <s v="Severe"/>
    <n v="6"/>
    <x v="0"/>
  </r>
  <r>
    <x v="644"/>
    <n v="69"/>
    <x v="0"/>
    <x v="1"/>
    <x v="600"/>
    <n v="40.61"/>
    <n v="3.6"/>
    <x v="0"/>
    <x v="0"/>
    <s v="Mild"/>
    <n v="32"/>
    <x v="0"/>
  </r>
  <r>
    <x v="645"/>
    <n v="22"/>
    <x v="0"/>
    <x v="0"/>
    <x v="601"/>
    <n v="2.61"/>
    <n v="3.03"/>
    <x v="2"/>
    <x v="2"/>
    <s v="Mild"/>
    <n v="22"/>
    <x v="0"/>
  </r>
  <r>
    <x v="646"/>
    <n v="29"/>
    <x v="1"/>
    <x v="1"/>
    <x v="602"/>
    <n v="7.69"/>
    <n v="4.0199999999999996"/>
    <x v="1"/>
    <x v="1"/>
    <s v="None"/>
    <n v="28"/>
    <x v="0"/>
  </r>
  <r>
    <x v="647"/>
    <n v="33"/>
    <x v="1"/>
    <x v="1"/>
    <x v="603"/>
    <n v="18.25"/>
    <n v="3.63"/>
    <x v="1"/>
    <x v="2"/>
    <s v="None"/>
    <n v="11"/>
    <x v="0"/>
  </r>
  <r>
    <x v="648"/>
    <n v="43"/>
    <x v="0"/>
    <x v="1"/>
    <x v="604"/>
    <n v="13.29"/>
    <n v="15.49"/>
    <x v="3"/>
    <x v="1"/>
    <s v="Mild"/>
    <n v="32"/>
    <x v="1"/>
  </r>
  <r>
    <x v="649"/>
    <n v="43"/>
    <x v="1"/>
    <x v="0"/>
    <x v="494"/>
    <n v="17.55"/>
    <n v="17.920000000000002"/>
    <x v="2"/>
    <x v="0"/>
    <s v="Mild"/>
    <n v="24"/>
    <x v="0"/>
  </r>
  <r>
    <x v="650"/>
    <n v="65"/>
    <x v="0"/>
    <x v="3"/>
    <x v="605"/>
    <n v="9.49"/>
    <n v="9.83"/>
    <x v="1"/>
    <x v="0"/>
    <s v="None"/>
    <n v="32"/>
    <x v="0"/>
  </r>
  <r>
    <x v="651"/>
    <n v="38"/>
    <x v="0"/>
    <x v="3"/>
    <x v="68"/>
    <n v="22.39"/>
    <n v="25.15"/>
    <x v="0"/>
    <x v="1"/>
    <s v="None"/>
    <n v="22"/>
    <x v="0"/>
  </r>
  <r>
    <x v="652"/>
    <n v="56"/>
    <x v="1"/>
    <x v="0"/>
    <x v="606"/>
    <n v="11.69"/>
    <n v="6.96"/>
    <x v="1"/>
    <x v="1"/>
    <s v="Moderate"/>
    <n v="30"/>
    <x v="1"/>
  </r>
  <r>
    <x v="653"/>
    <n v="53"/>
    <x v="1"/>
    <x v="0"/>
    <x v="546"/>
    <n v="13.86"/>
    <n v="4.4800000000000004"/>
    <x v="1"/>
    <x v="1"/>
    <s v="None"/>
    <n v="9"/>
    <x v="0"/>
  </r>
  <r>
    <x v="654"/>
    <n v="50"/>
    <x v="1"/>
    <x v="1"/>
    <x v="607"/>
    <n v="3.58"/>
    <n v="8.52"/>
    <x v="0"/>
    <x v="2"/>
    <s v="None"/>
    <n v="6"/>
    <x v="0"/>
  </r>
  <r>
    <x v="655"/>
    <n v="79"/>
    <x v="1"/>
    <x v="2"/>
    <x v="608"/>
    <n v="10.82"/>
    <n v="4.09"/>
    <x v="0"/>
    <x v="1"/>
    <s v="None"/>
    <n v="30"/>
    <x v="1"/>
  </r>
  <r>
    <x v="656"/>
    <n v="47"/>
    <x v="1"/>
    <x v="2"/>
    <x v="609"/>
    <n v="18.38"/>
    <n v="9.17"/>
    <x v="1"/>
    <x v="0"/>
    <s v="Moderate"/>
    <n v="35"/>
    <x v="0"/>
  </r>
  <r>
    <x v="657"/>
    <n v="54"/>
    <x v="1"/>
    <x v="2"/>
    <x v="10"/>
    <n v="12.75"/>
    <n v="13.51"/>
    <x v="0"/>
    <x v="0"/>
    <s v="Moderate"/>
    <n v="9"/>
    <x v="0"/>
  </r>
  <r>
    <x v="658"/>
    <n v="40"/>
    <x v="1"/>
    <x v="1"/>
    <x v="610"/>
    <n v="11.18"/>
    <n v="4.0199999999999996"/>
    <x v="3"/>
    <x v="1"/>
    <s v="Mild"/>
    <n v="11"/>
    <x v="0"/>
  </r>
  <r>
    <x v="659"/>
    <n v="75"/>
    <x v="0"/>
    <x v="0"/>
    <x v="611"/>
    <n v="14.5"/>
    <n v="22.05"/>
    <x v="3"/>
    <x v="0"/>
    <s v="None"/>
    <n v="15"/>
    <x v="1"/>
  </r>
  <r>
    <x v="660"/>
    <n v="27"/>
    <x v="0"/>
    <x v="3"/>
    <x v="210"/>
    <n v="11.65"/>
    <n v="30.47"/>
    <x v="3"/>
    <x v="0"/>
    <s v="None"/>
    <n v="31"/>
    <x v="1"/>
  </r>
  <r>
    <x v="661"/>
    <n v="71"/>
    <x v="0"/>
    <x v="1"/>
    <x v="612"/>
    <n v="9.73"/>
    <n v="27.04"/>
    <x v="0"/>
    <x v="1"/>
    <s v="None"/>
    <n v="12"/>
    <x v="0"/>
  </r>
  <r>
    <x v="662"/>
    <n v="22"/>
    <x v="0"/>
    <x v="3"/>
    <x v="613"/>
    <n v="18.78"/>
    <n v="1.65"/>
    <x v="0"/>
    <x v="0"/>
    <s v="Mild"/>
    <n v="32"/>
    <x v="0"/>
  </r>
  <r>
    <x v="663"/>
    <n v="53"/>
    <x v="0"/>
    <x v="1"/>
    <x v="614"/>
    <n v="9.2200000000000006"/>
    <n v="6.07"/>
    <x v="0"/>
    <x v="1"/>
    <s v="Mild"/>
    <n v="28"/>
    <x v="0"/>
  </r>
  <r>
    <x v="664"/>
    <n v="51"/>
    <x v="1"/>
    <x v="1"/>
    <x v="615"/>
    <n v="3.36"/>
    <n v="10.72"/>
    <x v="2"/>
    <x v="1"/>
    <s v="Severe"/>
    <n v="30"/>
    <x v="0"/>
  </r>
  <r>
    <x v="665"/>
    <n v="69"/>
    <x v="0"/>
    <x v="2"/>
    <x v="616"/>
    <n v="28.1"/>
    <n v="2.69"/>
    <x v="0"/>
    <x v="0"/>
    <s v="None"/>
    <n v="31"/>
    <x v="1"/>
  </r>
  <r>
    <x v="666"/>
    <n v="48"/>
    <x v="0"/>
    <x v="1"/>
    <x v="617"/>
    <n v="6.1"/>
    <n v="2.94"/>
    <x v="3"/>
    <x v="1"/>
    <s v="Mild"/>
    <n v="8"/>
    <x v="0"/>
  </r>
  <r>
    <x v="667"/>
    <n v="27"/>
    <x v="0"/>
    <x v="3"/>
    <x v="618"/>
    <n v="2.4700000000000002"/>
    <n v="1.52"/>
    <x v="3"/>
    <x v="2"/>
    <s v="None"/>
    <n v="5"/>
    <x v="0"/>
  </r>
  <r>
    <x v="668"/>
    <n v="75"/>
    <x v="0"/>
    <x v="3"/>
    <x v="619"/>
    <n v="15.8"/>
    <n v="9.1199999999999992"/>
    <x v="3"/>
    <x v="2"/>
    <s v="None"/>
    <n v="31"/>
    <x v="0"/>
  </r>
  <r>
    <x v="669"/>
    <n v="36"/>
    <x v="0"/>
    <x v="1"/>
    <x v="620"/>
    <n v="30.51"/>
    <n v="11.22"/>
    <x v="2"/>
    <x v="0"/>
    <s v="None"/>
    <n v="4"/>
    <x v="0"/>
  </r>
  <r>
    <x v="670"/>
    <n v="75"/>
    <x v="0"/>
    <x v="0"/>
    <x v="621"/>
    <n v="16.07"/>
    <n v="17.39"/>
    <x v="1"/>
    <x v="1"/>
    <s v="None"/>
    <n v="24"/>
    <x v="0"/>
  </r>
  <r>
    <x v="671"/>
    <n v="49"/>
    <x v="0"/>
    <x v="1"/>
    <x v="253"/>
    <n v="25.45"/>
    <n v="12.44"/>
    <x v="3"/>
    <x v="1"/>
    <s v="Severe"/>
    <n v="29"/>
    <x v="0"/>
  </r>
  <r>
    <x v="672"/>
    <n v="18"/>
    <x v="1"/>
    <x v="1"/>
    <x v="622"/>
    <n v="4.6399999999999997"/>
    <n v="13.84"/>
    <x v="2"/>
    <x v="1"/>
    <s v="None"/>
    <n v="24"/>
    <x v="1"/>
  </r>
  <r>
    <x v="673"/>
    <n v="73"/>
    <x v="1"/>
    <x v="1"/>
    <x v="623"/>
    <n v="3.41"/>
    <n v="1.96"/>
    <x v="1"/>
    <x v="0"/>
    <s v="Severe"/>
    <n v="12"/>
    <x v="1"/>
  </r>
  <r>
    <x v="674"/>
    <n v="22"/>
    <x v="0"/>
    <x v="1"/>
    <x v="624"/>
    <n v="7.67"/>
    <n v="10.44"/>
    <x v="2"/>
    <x v="2"/>
    <s v="None"/>
    <n v="21"/>
    <x v="1"/>
  </r>
  <r>
    <x v="675"/>
    <n v="62"/>
    <x v="1"/>
    <x v="1"/>
    <x v="625"/>
    <n v="21.27"/>
    <n v="8.34"/>
    <x v="2"/>
    <x v="1"/>
    <s v="None"/>
    <n v="26"/>
    <x v="0"/>
  </r>
  <r>
    <x v="676"/>
    <n v="21"/>
    <x v="1"/>
    <x v="2"/>
    <x v="626"/>
    <n v="15.06"/>
    <n v="5.28"/>
    <x v="1"/>
    <x v="1"/>
    <s v="None"/>
    <n v="29"/>
    <x v="0"/>
  </r>
  <r>
    <x v="677"/>
    <n v="33"/>
    <x v="1"/>
    <x v="0"/>
    <x v="627"/>
    <n v="15.87"/>
    <n v="6.68"/>
    <x v="0"/>
    <x v="0"/>
    <s v="None"/>
    <n v="19"/>
    <x v="0"/>
  </r>
  <r>
    <x v="678"/>
    <n v="41"/>
    <x v="1"/>
    <x v="1"/>
    <x v="67"/>
    <n v="11.18"/>
    <n v="11.27"/>
    <x v="0"/>
    <x v="1"/>
    <s v="None"/>
    <n v="12"/>
    <x v="0"/>
  </r>
  <r>
    <x v="679"/>
    <n v="33"/>
    <x v="0"/>
    <x v="2"/>
    <x v="628"/>
    <n v="7.79"/>
    <n v="14.4"/>
    <x v="3"/>
    <x v="0"/>
    <s v="None"/>
    <n v="19"/>
    <x v="0"/>
  </r>
  <r>
    <x v="680"/>
    <n v="72"/>
    <x v="1"/>
    <x v="2"/>
    <x v="629"/>
    <n v="11.56"/>
    <n v="28.06"/>
    <x v="1"/>
    <x v="0"/>
    <s v="None"/>
    <n v="12"/>
    <x v="1"/>
  </r>
  <r>
    <x v="681"/>
    <n v="19"/>
    <x v="1"/>
    <x v="0"/>
    <x v="402"/>
    <n v="8.9700000000000006"/>
    <n v="11.72"/>
    <x v="3"/>
    <x v="0"/>
    <s v="Severe"/>
    <n v="12"/>
    <x v="0"/>
  </r>
  <r>
    <x v="682"/>
    <n v="66"/>
    <x v="1"/>
    <x v="3"/>
    <x v="630"/>
    <n v="7.35"/>
    <n v="15.4"/>
    <x v="2"/>
    <x v="1"/>
    <s v="Mild"/>
    <n v="19"/>
    <x v="0"/>
  </r>
  <r>
    <x v="683"/>
    <n v="45"/>
    <x v="0"/>
    <x v="1"/>
    <x v="307"/>
    <n v="13.55"/>
    <n v="15.05"/>
    <x v="0"/>
    <x v="2"/>
    <s v="Mild"/>
    <n v="28"/>
    <x v="0"/>
  </r>
  <r>
    <x v="684"/>
    <n v="49"/>
    <x v="0"/>
    <x v="1"/>
    <x v="631"/>
    <n v="8.3000000000000007"/>
    <n v="18.059999999999999"/>
    <x v="3"/>
    <x v="1"/>
    <s v="None"/>
    <n v="28"/>
    <x v="0"/>
  </r>
  <r>
    <x v="685"/>
    <n v="44"/>
    <x v="0"/>
    <x v="2"/>
    <x v="409"/>
    <n v="12.44"/>
    <n v="3.58"/>
    <x v="3"/>
    <x v="2"/>
    <s v="None"/>
    <n v="6"/>
    <x v="0"/>
  </r>
  <r>
    <x v="686"/>
    <n v="37"/>
    <x v="0"/>
    <x v="0"/>
    <x v="632"/>
    <n v="1.36"/>
    <n v="9.3000000000000007"/>
    <x v="0"/>
    <x v="1"/>
    <s v="None"/>
    <n v="29"/>
    <x v="0"/>
  </r>
  <r>
    <x v="687"/>
    <n v="41"/>
    <x v="0"/>
    <x v="1"/>
    <x v="633"/>
    <n v="11.69"/>
    <n v="4.22"/>
    <x v="2"/>
    <x v="2"/>
    <s v="Moderate"/>
    <n v="23"/>
    <x v="0"/>
  </r>
  <r>
    <x v="688"/>
    <n v="29"/>
    <x v="0"/>
    <x v="3"/>
    <x v="66"/>
    <n v="8.26"/>
    <n v="4.46"/>
    <x v="3"/>
    <x v="0"/>
    <s v="None"/>
    <n v="33"/>
    <x v="0"/>
  </r>
  <r>
    <x v="689"/>
    <n v="67"/>
    <x v="0"/>
    <x v="0"/>
    <x v="634"/>
    <n v="26.38"/>
    <n v="11.96"/>
    <x v="3"/>
    <x v="1"/>
    <s v="None"/>
    <n v="9"/>
    <x v="0"/>
  </r>
  <r>
    <x v="690"/>
    <n v="52"/>
    <x v="1"/>
    <x v="0"/>
    <x v="635"/>
    <n v="2.35"/>
    <n v="12.09"/>
    <x v="1"/>
    <x v="2"/>
    <s v="Mild"/>
    <n v="20"/>
    <x v="0"/>
  </r>
  <r>
    <x v="691"/>
    <n v="77"/>
    <x v="1"/>
    <x v="0"/>
    <x v="636"/>
    <n v="11.05"/>
    <n v="11.64"/>
    <x v="1"/>
    <x v="0"/>
    <s v="None"/>
    <n v="26"/>
    <x v="0"/>
  </r>
  <r>
    <x v="692"/>
    <n v="50"/>
    <x v="1"/>
    <x v="2"/>
    <x v="637"/>
    <n v="18.54"/>
    <n v="5.72"/>
    <x v="0"/>
    <x v="1"/>
    <s v="Moderate"/>
    <n v="15"/>
    <x v="0"/>
  </r>
  <r>
    <x v="693"/>
    <n v="50"/>
    <x v="0"/>
    <x v="3"/>
    <x v="638"/>
    <n v="9.25"/>
    <n v="9.49"/>
    <x v="0"/>
    <x v="1"/>
    <s v="None"/>
    <n v="15"/>
    <x v="0"/>
  </r>
  <r>
    <x v="694"/>
    <n v="78"/>
    <x v="0"/>
    <x v="3"/>
    <x v="177"/>
    <n v="8.0299999999999994"/>
    <n v="7.23"/>
    <x v="2"/>
    <x v="0"/>
    <s v="None"/>
    <n v="27"/>
    <x v="1"/>
  </r>
  <r>
    <x v="695"/>
    <n v="68"/>
    <x v="0"/>
    <x v="2"/>
    <x v="78"/>
    <n v="18.489999999999998"/>
    <n v="11.62"/>
    <x v="2"/>
    <x v="0"/>
    <s v="Mild"/>
    <n v="7"/>
    <x v="0"/>
  </r>
  <r>
    <x v="696"/>
    <n v="60"/>
    <x v="0"/>
    <x v="1"/>
    <x v="639"/>
    <n v="14.8"/>
    <n v="17.71"/>
    <x v="3"/>
    <x v="0"/>
    <s v="None"/>
    <n v="31"/>
    <x v="0"/>
  </r>
  <r>
    <x v="697"/>
    <n v="54"/>
    <x v="0"/>
    <x v="3"/>
    <x v="640"/>
    <n v="15.6"/>
    <n v="4.04"/>
    <x v="1"/>
    <x v="0"/>
    <s v="None"/>
    <n v="35"/>
    <x v="0"/>
  </r>
  <r>
    <x v="698"/>
    <n v="29"/>
    <x v="1"/>
    <x v="2"/>
    <x v="641"/>
    <n v="7.36"/>
    <n v="8.7799999999999994"/>
    <x v="2"/>
    <x v="0"/>
    <s v="None"/>
    <n v="26"/>
    <x v="0"/>
  </r>
  <r>
    <x v="699"/>
    <n v="20"/>
    <x v="1"/>
    <x v="1"/>
    <x v="642"/>
    <n v="6.62"/>
    <n v="15.39"/>
    <x v="3"/>
    <x v="0"/>
    <s v="Mild"/>
    <n v="12"/>
    <x v="0"/>
  </r>
  <r>
    <x v="700"/>
    <n v="18"/>
    <x v="0"/>
    <x v="2"/>
    <x v="643"/>
    <n v="12.46"/>
    <n v="2.15"/>
    <x v="3"/>
    <x v="0"/>
    <s v="Severe"/>
    <n v="27"/>
    <x v="0"/>
  </r>
  <r>
    <x v="701"/>
    <n v="50"/>
    <x v="0"/>
    <x v="3"/>
    <x v="644"/>
    <n v="19.57"/>
    <n v="16.329999999999998"/>
    <x v="0"/>
    <x v="1"/>
    <s v="Mild"/>
    <n v="12"/>
    <x v="0"/>
  </r>
  <r>
    <x v="702"/>
    <n v="57"/>
    <x v="0"/>
    <x v="0"/>
    <x v="645"/>
    <n v="2.95"/>
    <n v="1.1399999999999999"/>
    <x v="1"/>
    <x v="2"/>
    <s v="Moderate"/>
    <n v="18"/>
    <x v="0"/>
  </r>
  <r>
    <x v="703"/>
    <n v="27"/>
    <x v="0"/>
    <x v="1"/>
    <x v="646"/>
    <n v="9.51"/>
    <n v="3.56"/>
    <x v="3"/>
    <x v="1"/>
    <s v="None"/>
    <n v="30"/>
    <x v="0"/>
  </r>
  <r>
    <x v="704"/>
    <n v="60"/>
    <x v="1"/>
    <x v="1"/>
    <x v="647"/>
    <n v="6.87"/>
    <n v="8.48"/>
    <x v="0"/>
    <x v="1"/>
    <s v="None"/>
    <n v="14"/>
    <x v="0"/>
  </r>
  <r>
    <x v="705"/>
    <n v="61"/>
    <x v="0"/>
    <x v="2"/>
    <x v="98"/>
    <n v="10.41"/>
    <n v="7.07"/>
    <x v="3"/>
    <x v="0"/>
    <s v="None"/>
    <n v="34"/>
    <x v="0"/>
  </r>
  <r>
    <x v="706"/>
    <n v="46"/>
    <x v="0"/>
    <x v="1"/>
    <x v="648"/>
    <n v="17.34"/>
    <n v="6.45"/>
    <x v="1"/>
    <x v="1"/>
    <s v="Mild"/>
    <n v="31"/>
    <x v="0"/>
  </r>
  <r>
    <x v="707"/>
    <n v="30"/>
    <x v="0"/>
    <x v="2"/>
    <x v="649"/>
    <n v="5.05"/>
    <n v="26.57"/>
    <x v="3"/>
    <x v="1"/>
    <s v="None"/>
    <n v="29"/>
    <x v="0"/>
  </r>
  <r>
    <x v="708"/>
    <n v="29"/>
    <x v="0"/>
    <x v="2"/>
    <x v="650"/>
    <n v="16"/>
    <n v="3.18"/>
    <x v="3"/>
    <x v="1"/>
    <s v="Mild"/>
    <n v="28"/>
    <x v="0"/>
  </r>
  <r>
    <x v="709"/>
    <n v="48"/>
    <x v="1"/>
    <x v="1"/>
    <x v="651"/>
    <n v="7.57"/>
    <n v="12.28"/>
    <x v="2"/>
    <x v="0"/>
    <s v="Mild"/>
    <n v="5"/>
    <x v="1"/>
  </r>
  <r>
    <x v="710"/>
    <n v="63"/>
    <x v="0"/>
    <x v="3"/>
    <x v="652"/>
    <n v="21.71"/>
    <n v="27.22"/>
    <x v="2"/>
    <x v="2"/>
    <s v="Severe"/>
    <n v="28"/>
    <x v="0"/>
  </r>
  <r>
    <x v="711"/>
    <n v="19"/>
    <x v="0"/>
    <x v="3"/>
    <x v="305"/>
    <n v="5.32"/>
    <n v="15.69"/>
    <x v="0"/>
    <x v="0"/>
    <s v="None"/>
    <n v="3"/>
    <x v="1"/>
  </r>
  <r>
    <x v="712"/>
    <n v="78"/>
    <x v="1"/>
    <x v="3"/>
    <x v="653"/>
    <n v="19.38"/>
    <n v="11.34"/>
    <x v="3"/>
    <x v="0"/>
    <s v="None"/>
    <n v="29"/>
    <x v="0"/>
  </r>
  <r>
    <x v="713"/>
    <n v="68"/>
    <x v="1"/>
    <x v="0"/>
    <x v="654"/>
    <n v="3.27"/>
    <n v="10.4"/>
    <x v="0"/>
    <x v="1"/>
    <s v="None"/>
    <n v="6"/>
    <x v="0"/>
  </r>
  <r>
    <x v="714"/>
    <n v="67"/>
    <x v="1"/>
    <x v="0"/>
    <x v="313"/>
    <n v="11.85"/>
    <n v="6.4"/>
    <x v="1"/>
    <x v="1"/>
    <s v="None"/>
    <n v="21"/>
    <x v="0"/>
  </r>
  <r>
    <x v="715"/>
    <n v="52"/>
    <x v="0"/>
    <x v="2"/>
    <x v="655"/>
    <n v="16.239999999999998"/>
    <n v="6.04"/>
    <x v="0"/>
    <x v="1"/>
    <s v="Moderate"/>
    <n v="24"/>
    <x v="0"/>
  </r>
  <r>
    <x v="716"/>
    <n v="40"/>
    <x v="0"/>
    <x v="2"/>
    <x v="656"/>
    <n v="5.45"/>
    <n v="2.65"/>
    <x v="3"/>
    <x v="1"/>
    <s v="None"/>
    <n v="8"/>
    <x v="0"/>
  </r>
  <r>
    <x v="717"/>
    <n v="34"/>
    <x v="1"/>
    <x v="3"/>
    <x v="657"/>
    <n v="7.06"/>
    <n v="17.03"/>
    <x v="2"/>
    <x v="1"/>
    <s v="Severe"/>
    <n v="11"/>
    <x v="0"/>
  </r>
  <r>
    <x v="718"/>
    <n v="43"/>
    <x v="1"/>
    <x v="0"/>
    <x v="107"/>
    <n v="10.5"/>
    <n v="2.9"/>
    <x v="2"/>
    <x v="1"/>
    <s v="Severe"/>
    <n v="13"/>
    <x v="0"/>
  </r>
  <r>
    <x v="719"/>
    <n v="25"/>
    <x v="1"/>
    <x v="2"/>
    <x v="658"/>
    <n v="8.01"/>
    <n v="8.35"/>
    <x v="0"/>
    <x v="1"/>
    <s v="Mild"/>
    <n v="24"/>
    <x v="0"/>
  </r>
  <r>
    <x v="720"/>
    <n v="46"/>
    <x v="1"/>
    <x v="2"/>
    <x v="659"/>
    <n v="6.52"/>
    <n v="6.92"/>
    <x v="2"/>
    <x v="0"/>
    <s v="None"/>
    <n v="11"/>
    <x v="1"/>
  </r>
  <r>
    <x v="721"/>
    <n v="43"/>
    <x v="1"/>
    <x v="0"/>
    <x v="660"/>
    <n v="18.690000000000001"/>
    <n v="10.050000000000001"/>
    <x v="3"/>
    <x v="2"/>
    <s v="None"/>
    <n v="31"/>
    <x v="0"/>
  </r>
  <r>
    <x v="722"/>
    <n v="27"/>
    <x v="1"/>
    <x v="1"/>
    <x v="661"/>
    <n v="23.23"/>
    <n v="13.43"/>
    <x v="3"/>
    <x v="2"/>
    <s v="None"/>
    <n v="12"/>
    <x v="1"/>
  </r>
  <r>
    <x v="723"/>
    <n v="43"/>
    <x v="0"/>
    <x v="0"/>
    <x v="231"/>
    <n v="22.31"/>
    <n v="6.25"/>
    <x v="1"/>
    <x v="0"/>
    <s v="None"/>
    <n v="33"/>
    <x v="0"/>
  </r>
  <r>
    <x v="724"/>
    <n v="79"/>
    <x v="0"/>
    <x v="1"/>
    <x v="662"/>
    <n v="14.36"/>
    <n v="3.55"/>
    <x v="2"/>
    <x v="1"/>
    <s v="None"/>
    <n v="24"/>
    <x v="0"/>
  </r>
  <r>
    <x v="725"/>
    <n v="51"/>
    <x v="0"/>
    <x v="1"/>
    <x v="663"/>
    <n v="15.77"/>
    <n v="5.1100000000000003"/>
    <x v="2"/>
    <x v="0"/>
    <s v="None"/>
    <n v="6"/>
    <x v="1"/>
  </r>
  <r>
    <x v="726"/>
    <n v="68"/>
    <x v="1"/>
    <x v="1"/>
    <x v="664"/>
    <n v="4.68"/>
    <n v="4.16"/>
    <x v="1"/>
    <x v="1"/>
    <s v="Mild"/>
    <n v="4"/>
    <x v="1"/>
  </r>
  <r>
    <x v="727"/>
    <n v="58"/>
    <x v="1"/>
    <x v="0"/>
    <x v="665"/>
    <n v="9.77"/>
    <n v="27.67"/>
    <x v="0"/>
    <x v="0"/>
    <s v="None"/>
    <n v="7"/>
    <x v="1"/>
  </r>
  <r>
    <x v="728"/>
    <n v="24"/>
    <x v="1"/>
    <x v="0"/>
    <x v="666"/>
    <n v="11.16"/>
    <n v="20.16"/>
    <x v="1"/>
    <x v="0"/>
    <s v="None"/>
    <n v="17"/>
    <x v="0"/>
  </r>
  <r>
    <x v="729"/>
    <n v="21"/>
    <x v="1"/>
    <x v="2"/>
    <x v="117"/>
    <n v="12.79"/>
    <n v="2.58"/>
    <x v="2"/>
    <x v="0"/>
    <s v="None"/>
    <n v="21"/>
    <x v="0"/>
  </r>
  <r>
    <x v="730"/>
    <n v="75"/>
    <x v="1"/>
    <x v="2"/>
    <x v="667"/>
    <n v="12.62"/>
    <n v="6.99"/>
    <x v="0"/>
    <x v="2"/>
    <s v="Severe"/>
    <n v="17"/>
    <x v="0"/>
  </r>
  <r>
    <x v="731"/>
    <n v="70"/>
    <x v="1"/>
    <x v="3"/>
    <x v="668"/>
    <n v="10.52"/>
    <n v="4.01"/>
    <x v="3"/>
    <x v="0"/>
    <s v="Mild"/>
    <n v="10"/>
    <x v="0"/>
  </r>
  <r>
    <x v="732"/>
    <n v="67"/>
    <x v="0"/>
    <x v="0"/>
    <x v="669"/>
    <n v="14.24"/>
    <n v="5.2"/>
    <x v="3"/>
    <x v="0"/>
    <s v="None"/>
    <n v="22"/>
    <x v="1"/>
  </r>
  <r>
    <x v="733"/>
    <n v="62"/>
    <x v="0"/>
    <x v="3"/>
    <x v="670"/>
    <n v="12.22"/>
    <n v="5.76"/>
    <x v="1"/>
    <x v="1"/>
    <s v="Mild"/>
    <n v="14"/>
    <x v="0"/>
  </r>
  <r>
    <x v="734"/>
    <n v="28"/>
    <x v="1"/>
    <x v="3"/>
    <x v="671"/>
    <n v="12.2"/>
    <n v="4.3899999999999997"/>
    <x v="3"/>
    <x v="2"/>
    <s v="Mild"/>
    <n v="6"/>
    <x v="1"/>
  </r>
  <r>
    <x v="735"/>
    <n v="46"/>
    <x v="0"/>
    <x v="1"/>
    <x v="672"/>
    <n v="5.77"/>
    <n v="16.04"/>
    <x v="2"/>
    <x v="1"/>
    <s v="Moderate"/>
    <n v="17"/>
    <x v="0"/>
  </r>
  <r>
    <x v="736"/>
    <n v="73"/>
    <x v="1"/>
    <x v="2"/>
    <x v="673"/>
    <n v="3.74"/>
    <n v="11.09"/>
    <x v="1"/>
    <x v="2"/>
    <s v="None"/>
    <n v="3"/>
    <x v="0"/>
  </r>
  <r>
    <x v="737"/>
    <n v="53"/>
    <x v="0"/>
    <x v="2"/>
    <x v="674"/>
    <n v="12.83"/>
    <n v="10.5"/>
    <x v="2"/>
    <x v="1"/>
    <s v="Moderate"/>
    <n v="33"/>
    <x v="0"/>
  </r>
  <r>
    <x v="738"/>
    <n v="42"/>
    <x v="1"/>
    <x v="3"/>
    <x v="19"/>
    <n v="7.32"/>
    <n v="21.6"/>
    <x v="2"/>
    <x v="1"/>
    <s v="None"/>
    <n v="11"/>
    <x v="1"/>
  </r>
  <r>
    <x v="739"/>
    <n v="38"/>
    <x v="1"/>
    <x v="1"/>
    <x v="675"/>
    <n v="6"/>
    <n v="15.31"/>
    <x v="0"/>
    <x v="2"/>
    <s v="Moderate"/>
    <n v="25"/>
    <x v="1"/>
  </r>
  <r>
    <x v="740"/>
    <n v="78"/>
    <x v="0"/>
    <x v="0"/>
    <x v="676"/>
    <n v="16.53"/>
    <n v="8.92"/>
    <x v="0"/>
    <x v="1"/>
    <s v="None"/>
    <n v="28"/>
    <x v="0"/>
  </r>
  <r>
    <x v="741"/>
    <n v="74"/>
    <x v="0"/>
    <x v="1"/>
    <x v="677"/>
    <n v="9.85"/>
    <n v="10.65"/>
    <x v="0"/>
    <x v="2"/>
    <s v="Moderate"/>
    <n v="20"/>
    <x v="0"/>
  </r>
  <r>
    <x v="742"/>
    <n v="53"/>
    <x v="1"/>
    <x v="2"/>
    <x v="678"/>
    <n v="25.53"/>
    <n v="16.989999999999998"/>
    <x v="3"/>
    <x v="1"/>
    <s v="Severe"/>
    <n v="35"/>
    <x v="0"/>
  </r>
  <r>
    <x v="743"/>
    <n v="27"/>
    <x v="1"/>
    <x v="0"/>
    <x v="679"/>
    <n v="15.32"/>
    <n v="16.27"/>
    <x v="0"/>
    <x v="2"/>
    <s v="None"/>
    <n v="16"/>
    <x v="0"/>
  </r>
  <r>
    <x v="744"/>
    <n v="54"/>
    <x v="0"/>
    <x v="3"/>
    <x v="680"/>
    <n v="5.46"/>
    <n v="0.9"/>
    <x v="2"/>
    <x v="0"/>
    <s v="Severe"/>
    <n v="3"/>
    <x v="0"/>
  </r>
  <r>
    <x v="745"/>
    <n v="26"/>
    <x v="0"/>
    <x v="1"/>
    <x v="681"/>
    <n v="16.670000000000002"/>
    <n v="11.96"/>
    <x v="1"/>
    <x v="0"/>
    <s v="None"/>
    <n v="15"/>
    <x v="0"/>
  </r>
  <r>
    <x v="746"/>
    <n v="41"/>
    <x v="1"/>
    <x v="2"/>
    <x v="682"/>
    <n v="13.76"/>
    <n v="9.4700000000000006"/>
    <x v="1"/>
    <x v="1"/>
    <s v="None"/>
    <n v="17"/>
    <x v="0"/>
  </r>
  <r>
    <x v="747"/>
    <n v="52"/>
    <x v="0"/>
    <x v="0"/>
    <x v="683"/>
    <n v="5.29"/>
    <n v="13.91"/>
    <x v="2"/>
    <x v="1"/>
    <s v="None"/>
    <n v="7"/>
    <x v="0"/>
  </r>
  <r>
    <x v="748"/>
    <n v="66"/>
    <x v="1"/>
    <x v="3"/>
    <x v="684"/>
    <n v="6.61"/>
    <n v="1.63"/>
    <x v="3"/>
    <x v="2"/>
    <s v="Severe"/>
    <n v="16"/>
    <x v="1"/>
  </r>
  <r>
    <x v="749"/>
    <n v="52"/>
    <x v="1"/>
    <x v="0"/>
    <x v="138"/>
    <n v="16.13"/>
    <n v="17.98"/>
    <x v="1"/>
    <x v="1"/>
    <s v="None"/>
    <n v="16"/>
    <x v="0"/>
  </r>
  <r>
    <x v="750"/>
    <n v="65"/>
    <x v="1"/>
    <x v="1"/>
    <x v="685"/>
    <n v="1.85"/>
    <n v="14.46"/>
    <x v="2"/>
    <x v="1"/>
    <s v="Mild"/>
    <n v="7"/>
    <x v="0"/>
  </r>
  <r>
    <x v="751"/>
    <n v="53"/>
    <x v="1"/>
    <x v="3"/>
    <x v="686"/>
    <n v="1.1299999999999999"/>
    <n v="6.69"/>
    <x v="2"/>
    <x v="0"/>
    <s v="Mild"/>
    <n v="13"/>
    <x v="0"/>
  </r>
  <r>
    <x v="752"/>
    <n v="35"/>
    <x v="0"/>
    <x v="2"/>
    <x v="687"/>
    <n v="11.7"/>
    <n v="25.17"/>
    <x v="2"/>
    <x v="0"/>
    <s v="Severe"/>
    <n v="34"/>
    <x v="1"/>
  </r>
  <r>
    <x v="753"/>
    <n v="66"/>
    <x v="0"/>
    <x v="0"/>
    <x v="688"/>
    <n v="11.06"/>
    <n v="3.51"/>
    <x v="1"/>
    <x v="1"/>
    <s v="Mild"/>
    <n v="7"/>
    <x v="0"/>
  </r>
  <r>
    <x v="754"/>
    <n v="56"/>
    <x v="0"/>
    <x v="1"/>
    <x v="689"/>
    <n v="12.47"/>
    <n v="10.210000000000001"/>
    <x v="1"/>
    <x v="1"/>
    <s v="None"/>
    <n v="17"/>
    <x v="0"/>
  </r>
  <r>
    <x v="755"/>
    <n v="49"/>
    <x v="0"/>
    <x v="0"/>
    <x v="690"/>
    <n v="11.09"/>
    <n v="5.69"/>
    <x v="0"/>
    <x v="1"/>
    <s v="None"/>
    <n v="9"/>
    <x v="0"/>
  </r>
  <r>
    <x v="756"/>
    <n v="41"/>
    <x v="0"/>
    <x v="3"/>
    <x v="691"/>
    <n v="14.11"/>
    <n v="4.76"/>
    <x v="0"/>
    <x v="2"/>
    <s v="None"/>
    <n v="7"/>
    <x v="0"/>
  </r>
  <r>
    <x v="757"/>
    <n v="40"/>
    <x v="0"/>
    <x v="3"/>
    <x v="692"/>
    <n v="23.44"/>
    <n v="8.2899999999999991"/>
    <x v="2"/>
    <x v="1"/>
    <s v="Mild"/>
    <n v="32"/>
    <x v="0"/>
  </r>
  <r>
    <x v="758"/>
    <n v="79"/>
    <x v="0"/>
    <x v="1"/>
    <x v="693"/>
    <n v="10.35"/>
    <n v="1.79"/>
    <x v="2"/>
    <x v="2"/>
    <s v="None"/>
    <n v="17"/>
    <x v="0"/>
  </r>
  <r>
    <x v="759"/>
    <n v="49"/>
    <x v="1"/>
    <x v="0"/>
    <x v="694"/>
    <n v="2.71"/>
    <n v="14.46"/>
    <x v="2"/>
    <x v="1"/>
    <s v="None"/>
    <n v="32"/>
    <x v="0"/>
  </r>
  <r>
    <x v="760"/>
    <n v="54"/>
    <x v="0"/>
    <x v="1"/>
    <x v="695"/>
    <n v="1.61"/>
    <n v="37.67"/>
    <x v="2"/>
    <x v="1"/>
    <s v="Moderate"/>
    <n v="16"/>
    <x v="0"/>
  </r>
  <r>
    <x v="761"/>
    <n v="29"/>
    <x v="0"/>
    <x v="1"/>
    <x v="696"/>
    <n v="7.85"/>
    <n v="3.4"/>
    <x v="1"/>
    <x v="0"/>
    <s v="None"/>
    <n v="26"/>
    <x v="1"/>
  </r>
  <r>
    <x v="762"/>
    <n v="66"/>
    <x v="1"/>
    <x v="1"/>
    <x v="697"/>
    <n v="8.01"/>
    <n v="21.39"/>
    <x v="0"/>
    <x v="1"/>
    <s v="Mild"/>
    <n v="26"/>
    <x v="0"/>
  </r>
  <r>
    <x v="763"/>
    <n v="72"/>
    <x v="0"/>
    <x v="0"/>
    <x v="698"/>
    <n v="3.2"/>
    <n v="17.309999999999999"/>
    <x v="3"/>
    <x v="0"/>
    <s v="None"/>
    <n v="7"/>
    <x v="0"/>
  </r>
  <r>
    <x v="764"/>
    <n v="30"/>
    <x v="0"/>
    <x v="2"/>
    <x v="253"/>
    <n v="0.87"/>
    <n v="2.2999999999999998"/>
    <x v="2"/>
    <x v="2"/>
    <s v="None"/>
    <n v="14"/>
    <x v="1"/>
  </r>
  <r>
    <x v="765"/>
    <n v="40"/>
    <x v="1"/>
    <x v="2"/>
    <x v="699"/>
    <n v="7.39"/>
    <n v="3.2"/>
    <x v="0"/>
    <x v="1"/>
    <s v="None"/>
    <n v="22"/>
    <x v="0"/>
  </r>
  <r>
    <x v="766"/>
    <n v="42"/>
    <x v="0"/>
    <x v="1"/>
    <x v="700"/>
    <n v="30.41"/>
    <n v="10.07"/>
    <x v="2"/>
    <x v="0"/>
    <s v="None"/>
    <n v="7"/>
    <x v="0"/>
  </r>
  <r>
    <x v="767"/>
    <n v="52"/>
    <x v="0"/>
    <x v="2"/>
    <x v="701"/>
    <n v="13.7"/>
    <n v="13.89"/>
    <x v="1"/>
    <x v="1"/>
    <s v="Moderate"/>
    <n v="23"/>
    <x v="0"/>
  </r>
  <r>
    <x v="768"/>
    <n v="58"/>
    <x v="0"/>
    <x v="3"/>
    <x v="702"/>
    <n v="12.86"/>
    <n v="18.28"/>
    <x v="3"/>
    <x v="1"/>
    <s v="None"/>
    <n v="5"/>
    <x v="0"/>
  </r>
  <r>
    <x v="769"/>
    <n v="47"/>
    <x v="1"/>
    <x v="0"/>
    <x v="703"/>
    <n v="9.0399999999999991"/>
    <n v="8.5"/>
    <x v="0"/>
    <x v="1"/>
    <s v="None"/>
    <n v="31"/>
    <x v="0"/>
  </r>
  <r>
    <x v="770"/>
    <n v="34"/>
    <x v="0"/>
    <x v="0"/>
    <x v="704"/>
    <n v="7.84"/>
    <n v="9.2100000000000009"/>
    <x v="0"/>
    <x v="2"/>
    <s v="Mild"/>
    <n v="27"/>
    <x v="0"/>
  </r>
  <r>
    <x v="771"/>
    <n v="66"/>
    <x v="0"/>
    <x v="1"/>
    <x v="9"/>
    <n v="14.7"/>
    <n v="2.59"/>
    <x v="3"/>
    <x v="1"/>
    <s v="Mild"/>
    <n v="29"/>
    <x v="0"/>
  </r>
  <r>
    <x v="772"/>
    <n v="79"/>
    <x v="1"/>
    <x v="2"/>
    <x v="705"/>
    <n v="3.58"/>
    <n v="21.5"/>
    <x v="1"/>
    <x v="2"/>
    <s v="Mild"/>
    <n v="24"/>
    <x v="0"/>
  </r>
  <r>
    <x v="773"/>
    <n v="37"/>
    <x v="0"/>
    <x v="1"/>
    <x v="706"/>
    <n v="35.69"/>
    <n v="17.55"/>
    <x v="3"/>
    <x v="0"/>
    <s v="Severe"/>
    <n v="3"/>
    <x v="0"/>
  </r>
  <r>
    <x v="774"/>
    <n v="65"/>
    <x v="1"/>
    <x v="3"/>
    <x v="707"/>
    <n v="3.84"/>
    <n v="12.54"/>
    <x v="0"/>
    <x v="1"/>
    <s v="Mild"/>
    <n v="5"/>
    <x v="1"/>
  </r>
  <r>
    <x v="775"/>
    <n v="42"/>
    <x v="1"/>
    <x v="1"/>
    <x v="708"/>
    <n v="15.65"/>
    <n v="8.74"/>
    <x v="3"/>
    <x v="0"/>
    <s v="None"/>
    <n v="26"/>
    <x v="0"/>
  </r>
  <r>
    <x v="776"/>
    <n v="39"/>
    <x v="0"/>
    <x v="1"/>
    <x v="709"/>
    <n v="4.18"/>
    <n v="21.35"/>
    <x v="1"/>
    <x v="2"/>
    <s v="Moderate"/>
    <n v="10"/>
    <x v="0"/>
  </r>
  <r>
    <x v="777"/>
    <n v="30"/>
    <x v="1"/>
    <x v="3"/>
    <x v="361"/>
    <n v="11.29"/>
    <n v="3.34"/>
    <x v="1"/>
    <x v="0"/>
    <s v="None"/>
    <n v="20"/>
    <x v="1"/>
  </r>
  <r>
    <x v="778"/>
    <n v="76"/>
    <x v="1"/>
    <x v="2"/>
    <x v="710"/>
    <n v="16.829999999999998"/>
    <n v="10.63"/>
    <x v="2"/>
    <x v="0"/>
    <s v="None"/>
    <n v="5"/>
    <x v="1"/>
  </r>
  <r>
    <x v="779"/>
    <n v="36"/>
    <x v="0"/>
    <x v="1"/>
    <x v="55"/>
    <n v="2.19"/>
    <n v="28.17"/>
    <x v="3"/>
    <x v="2"/>
    <s v="None"/>
    <n v="20"/>
    <x v="1"/>
  </r>
  <r>
    <x v="780"/>
    <n v="66"/>
    <x v="1"/>
    <x v="2"/>
    <x v="711"/>
    <n v="4.62"/>
    <n v="3.29"/>
    <x v="3"/>
    <x v="1"/>
    <s v="None"/>
    <n v="18"/>
    <x v="0"/>
  </r>
  <r>
    <x v="781"/>
    <n v="53"/>
    <x v="1"/>
    <x v="3"/>
    <x v="334"/>
    <n v="4.9000000000000004"/>
    <n v="32.56"/>
    <x v="0"/>
    <x v="2"/>
    <s v="None"/>
    <n v="34"/>
    <x v="0"/>
  </r>
  <r>
    <x v="782"/>
    <n v="29"/>
    <x v="0"/>
    <x v="1"/>
    <x v="82"/>
    <n v="8.3699999999999992"/>
    <n v="16.73"/>
    <x v="1"/>
    <x v="2"/>
    <s v="None"/>
    <n v="3"/>
    <x v="1"/>
  </r>
  <r>
    <x v="783"/>
    <n v="78"/>
    <x v="0"/>
    <x v="2"/>
    <x v="440"/>
    <n v="12.35"/>
    <n v="14.24"/>
    <x v="3"/>
    <x v="0"/>
    <s v="None"/>
    <n v="28"/>
    <x v="0"/>
  </r>
  <r>
    <x v="784"/>
    <n v="58"/>
    <x v="0"/>
    <x v="1"/>
    <x v="283"/>
    <n v="30.82"/>
    <n v="21"/>
    <x v="0"/>
    <x v="2"/>
    <s v="Moderate"/>
    <n v="14"/>
    <x v="0"/>
  </r>
  <r>
    <x v="785"/>
    <n v="36"/>
    <x v="1"/>
    <x v="3"/>
    <x v="712"/>
    <n v="6.56"/>
    <n v="18.48"/>
    <x v="2"/>
    <x v="0"/>
    <s v="Moderate"/>
    <n v="23"/>
    <x v="1"/>
  </r>
  <r>
    <x v="786"/>
    <n v="29"/>
    <x v="0"/>
    <x v="2"/>
    <x v="713"/>
    <n v="29.53"/>
    <n v="2.2799999999999998"/>
    <x v="3"/>
    <x v="0"/>
    <s v="Mild"/>
    <n v="15"/>
    <x v="0"/>
  </r>
  <r>
    <x v="787"/>
    <n v="26"/>
    <x v="1"/>
    <x v="1"/>
    <x v="714"/>
    <n v="13.36"/>
    <n v="2.2000000000000002"/>
    <x v="3"/>
    <x v="0"/>
    <s v="Moderate"/>
    <n v="14"/>
    <x v="0"/>
  </r>
  <r>
    <x v="788"/>
    <n v="24"/>
    <x v="1"/>
    <x v="1"/>
    <x v="327"/>
    <n v="3.72"/>
    <n v="5.87"/>
    <x v="0"/>
    <x v="1"/>
    <s v="None"/>
    <n v="15"/>
    <x v="0"/>
  </r>
  <r>
    <x v="789"/>
    <n v="45"/>
    <x v="1"/>
    <x v="3"/>
    <x v="715"/>
    <n v="9.07"/>
    <n v="11.36"/>
    <x v="0"/>
    <x v="0"/>
    <s v="Moderate"/>
    <n v="20"/>
    <x v="0"/>
  </r>
  <r>
    <x v="790"/>
    <n v="31"/>
    <x v="1"/>
    <x v="0"/>
    <x v="716"/>
    <n v="2.76"/>
    <n v="19.21"/>
    <x v="1"/>
    <x v="1"/>
    <s v="None"/>
    <n v="21"/>
    <x v="0"/>
  </r>
  <r>
    <x v="791"/>
    <n v="48"/>
    <x v="1"/>
    <x v="2"/>
    <x v="717"/>
    <n v="7.85"/>
    <n v="7.47"/>
    <x v="1"/>
    <x v="1"/>
    <s v="None"/>
    <n v="21"/>
    <x v="1"/>
  </r>
  <r>
    <x v="792"/>
    <n v="69"/>
    <x v="1"/>
    <x v="2"/>
    <x v="718"/>
    <n v="7.42"/>
    <n v="4.8"/>
    <x v="1"/>
    <x v="1"/>
    <s v="None"/>
    <n v="8"/>
    <x v="0"/>
  </r>
  <r>
    <x v="793"/>
    <n v="36"/>
    <x v="1"/>
    <x v="2"/>
    <x v="719"/>
    <n v="11.43"/>
    <n v="16.059999999999999"/>
    <x v="3"/>
    <x v="1"/>
    <s v="None"/>
    <n v="9"/>
    <x v="0"/>
  </r>
  <r>
    <x v="794"/>
    <n v="75"/>
    <x v="0"/>
    <x v="1"/>
    <x v="720"/>
    <n v="15.68"/>
    <n v="7.24"/>
    <x v="0"/>
    <x v="1"/>
    <s v="None"/>
    <n v="9"/>
    <x v="0"/>
  </r>
  <r>
    <x v="795"/>
    <n v="64"/>
    <x v="0"/>
    <x v="3"/>
    <x v="721"/>
    <n v="9.6300000000000008"/>
    <n v="11.85"/>
    <x v="1"/>
    <x v="2"/>
    <s v="None"/>
    <n v="30"/>
    <x v="0"/>
  </r>
  <r>
    <x v="796"/>
    <n v="33"/>
    <x v="1"/>
    <x v="2"/>
    <x v="722"/>
    <n v="4.13"/>
    <n v="9.11"/>
    <x v="3"/>
    <x v="1"/>
    <s v="None"/>
    <n v="30"/>
    <x v="0"/>
  </r>
  <r>
    <x v="797"/>
    <n v="70"/>
    <x v="1"/>
    <x v="1"/>
    <x v="723"/>
    <n v="25.46"/>
    <n v="5.03"/>
    <x v="1"/>
    <x v="0"/>
    <s v="None"/>
    <n v="21"/>
    <x v="0"/>
  </r>
  <r>
    <x v="798"/>
    <n v="22"/>
    <x v="0"/>
    <x v="1"/>
    <x v="565"/>
    <n v="32.130000000000003"/>
    <n v="5.22"/>
    <x v="2"/>
    <x v="1"/>
    <s v="None"/>
    <n v="18"/>
    <x v="0"/>
  </r>
  <r>
    <x v="799"/>
    <n v="52"/>
    <x v="1"/>
    <x v="1"/>
    <x v="724"/>
    <n v="8.92"/>
    <n v="3.3"/>
    <x v="3"/>
    <x v="1"/>
    <s v="Severe"/>
    <n v="19"/>
    <x v="0"/>
  </r>
  <r>
    <x v="800"/>
    <n v="29"/>
    <x v="0"/>
    <x v="3"/>
    <x v="725"/>
    <n v="12.94"/>
    <n v="19.78"/>
    <x v="1"/>
    <x v="1"/>
    <s v="None"/>
    <n v="24"/>
    <x v="0"/>
  </r>
  <r>
    <x v="801"/>
    <n v="42"/>
    <x v="0"/>
    <x v="0"/>
    <x v="726"/>
    <n v="8.5399999999999991"/>
    <n v="6.58"/>
    <x v="1"/>
    <x v="1"/>
    <s v="None"/>
    <n v="21"/>
    <x v="0"/>
  </r>
  <r>
    <x v="802"/>
    <n v="69"/>
    <x v="0"/>
    <x v="1"/>
    <x v="727"/>
    <n v="11.5"/>
    <n v="4.87"/>
    <x v="2"/>
    <x v="0"/>
    <s v="Mild"/>
    <n v="31"/>
    <x v="0"/>
  </r>
  <r>
    <x v="803"/>
    <n v="76"/>
    <x v="1"/>
    <x v="3"/>
    <x v="728"/>
    <n v="11.96"/>
    <n v="1.62"/>
    <x v="2"/>
    <x v="0"/>
    <s v="Moderate"/>
    <n v="21"/>
    <x v="0"/>
  </r>
  <r>
    <x v="804"/>
    <n v="38"/>
    <x v="1"/>
    <x v="1"/>
    <x v="729"/>
    <n v="3.25"/>
    <n v="1.3"/>
    <x v="1"/>
    <x v="1"/>
    <s v="None"/>
    <n v="27"/>
    <x v="0"/>
  </r>
  <r>
    <x v="805"/>
    <n v="53"/>
    <x v="0"/>
    <x v="0"/>
    <x v="730"/>
    <n v="7.97"/>
    <n v="3.5"/>
    <x v="1"/>
    <x v="0"/>
    <s v="Moderate"/>
    <n v="22"/>
    <x v="0"/>
  </r>
  <r>
    <x v="806"/>
    <n v="70"/>
    <x v="0"/>
    <x v="1"/>
    <x v="731"/>
    <n v="20.55"/>
    <n v="11.73"/>
    <x v="0"/>
    <x v="2"/>
    <s v="None"/>
    <n v="21"/>
    <x v="0"/>
  </r>
  <r>
    <x v="807"/>
    <n v="40"/>
    <x v="0"/>
    <x v="3"/>
    <x v="732"/>
    <n v="19.350000000000001"/>
    <n v="9.3800000000000008"/>
    <x v="1"/>
    <x v="1"/>
    <s v="None"/>
    <n v="15"/>
    <x v="0"/>
  </r>
  <r>
    <x v="808"/>
    <n v="33"/>
    <x v="0"/>
    <x v="2"/>
    <x v="733"/>
    <n v="7.85"/>
    <n v="7.1"/>
    <x v="1"/>
    <x v="1"/>
    <s v="None"/>
    <n v="14"/>
    <x v="1"/>
  </r>
  <r>
    <x v="809"/>
    <n v="74"/>
    <x v="0"/>
    <x v="2"/>
    <x v="141"/>
    <n v="12.12"/>
    <n v="3.52"/>
    <x v="0"/>
    <x v="0"/>
    <s v="Mild"/>
    <n v="17"/>
    <x v="0"/>
  </r>
  <r>
    <x v="810"/>
    <n v="56"/>
    <x v="1"/>
    <x v="3"/>
    <x v="734"/>
    <n v="8.33"/>
    <n v="1.46"/>
    <x v="0"/>
    <x v="1"/>
    <s v="None"/>
    <n v="6"/>
    <x v="0"/>
  </r>
  <r>
    <x v="811"/>
    <n v="62"/>
    <x v="0"/>
    <x v="1"/>
    <x v="170"/>
    <n v="16.11"/>
    <n v="4.93"/>
    <x v="1"/>
    <x v="2"/>
    <s v="Mild"/>
    <n v="17"/>
    <x v="1"/>
  </r>
  <r>
    <x v="812"/>
    <n v="70"/>
    <x v="1"/>
    <x v="3"/>
    <x v="735"/>
    <n v="2.17"/>
    <n v="7.18"/>
    <x v="0"/>
    <x v="0"/>
    <s v="None"/>
    <n v="19"/>
    <x v="0"/>
  </r>
  <r>
    <x v="813"/>
    <n v="59"/>
    <x v="0"/>
    <x v="1"/>
    <x v="736"/>
    <n v="14.73"/>
    <n v="14.69"/>
    <x v="3"/>
    <x v="0"/>
    <s v="Mild"/>
    <n v="29"/>
    <x v="1"/>
  </r>
  <r>
    <x v="814"/>
    <n v="75"/>
    <x v="1"/>
    <x v="1"/>
    <x v="179"/>
    <n v="26.59"/>
    <n v="2.36"/>
    <x v="2"/>
    <x v="1"/>
    <s v="None"/>
    <n v="13"/>
    <x v="1"/>
  </r>
  <r>
    <x v="815"/>
    <n v="56"/>
    <x v="1"/>
    <x v="3"/>
    <x v="737"/>
    <n v="5.71"/>
    <n v="6.74"/>
    <x v="3"/>
    <x v="0"/>
    <s v="None"/>
    <n v="25"/>
    <x v="0"/>
  </r>
  <r>
    <x v="816"/>
    <n v="31"/>
    <x v="1"/>
    <x v="1"/>
    <x v="738"/>
    <n v="24.23"/>
    <n v="3.38"/>
    <x v="2"/>
    <x v="1"/>
    <s v="Mild"/>
    <n v="17"/>
    <x v="0"/>
  </r>
  <r>
    <x v="817"/>
    <n v="48"/>
    <x v="1"/>
    <x v="1"/>
    <x v="78"/>
    <n v="12.57"/>
    <n v="5.73"/>
    <x v="2"/>
    <x v="2"/>
    <s v="Mild"/>
    <n v="33"/>
    <x v="0"/>
  </r>
  <r>
    <x v="818"/>
    <n v="75"/>
    <x v="1"/>
    <x v="2"/>
    <x v="329"/>
    <n v="9.61"/>
    <n v="31.42"/>
    <x v="1"/>
    <x v="0"/>
    <s v="None"/>
    <n v="28"/>
    <x v="1"/>
  </r>
  <r>
    <x v="819"/>
    <n v="22"/>
    <x v="1"/>
    <x v="0"/>
    <x v="739"/>
    <n v="7.8"/>
    <n v="4.13"/>
    <x v="2"/>
    <x v="1"/>
    <s v="Moderate"/>
    <n v="9"/>
    <x v="1"/>
  </r>
  <r>
    <x v="820"/>
    <n v="52"/>
    <x v="0"/>
    <x v="2"/>
    <x v="740"/>
    <n v="24.8"/>
    <n v="3.49"/>
    <x v="3"/>
    <x v="0"/>
    <s v="Mild"/>
    <n v="15"/>
    <x v="0"/>
  </r>
  <r>
    <x v="821"/>
    <n v="40"/>
    <x v="1"/>
    <x v="1"/>
    <x v="741"/>
    <n v="8.35"/>
    <n v="44.5"/>
    <x v="1"/>
    <x v="1"/>
    <s v="None"/>
    <n v="15"/>
    <x v="0"/>
  </r>
  <r>
    <x v="822"/>
    <n v="46"/>
    <x v="0"/>
    <x v="1"/>
    <x v="742"/>
    <n v="29.26"/>
    <n v="13.48"/>
    <x v="0"/>
    <x v="1"/>
    <s v="Severe"/>
    <n v="22"/>
    <x v="1"/>
  </r>
  <r>
    <x v="823"/>
    <n v="60"/>
    <x v="1"/>
    <x v="0"/>
    <x v="743"/>
    <n v="27.07"/>
    <n v="12.82"/>
    <x v="3"/>
    <x v="0"/>
    <s v="Mild"/>
    <n v="12"/>
    <x v="0"/>
  </r>
  <r>
    <x v="824"/>
    <n v="28"/>
    <x v="1"/>
    <x v="1"/>
    <x v="744"/>
    <n v="6.93"/>
    <n v="4.3099999999999996"/>
    <x v="1"/>
    <x v="0"/>
    <s v="None"/>
    <n v="29"/>
    <x v="0"/>
  </r>
  <r>
    <x v="825"/>
    <n v="35"/>
    <x v="0"/>
    <x v="1"/>
    <x v="745"/>
    <n v="8.85"/>
    <n v="31.03"/>
    <x v="2"/>
    <x v="0"/>
    <s v="None"/>
    <n v="18"/>
    <x v="0"/>
  </r>
  <r>
    <x v="826"/>
    <n v="64"/>
    <x v="1"/>
    <x v="3"/>
    <x v="746"/>
    <n v="1.5"/>
    <n v="2.5099999999999998"/>
    <x v="3"/>
    <x v="1"/>
    <s v="None"/>
    <n v="23"/>
    <x v="0"/>
  </r>
  <r>
    <x v="827"/>
    <n v="29"/>
    <x v="0"/>
    <x v="2"/>
    <x v="747"/>
    <n v="9.85"/>
    <n v="18.36"/>
    <x v="2"/>
    <x v="0"/>
    <s v="None"/>
    <n v="18"/>
    <x v="1"/>
  </r>
  <r>
    <x v="828"/>
    <n v="26"/>
    <x v="0"/>
    <x v="2"/>
    <x v="748"/>
    <n v="10.81"/>
    <n v="20.03"/>
    <x v="1"/>
    <x v="1"/>
    <s v="None"/>
    <n v="19"/>
    <x v="0"/>
  </r>
  <r>
    <x v="829"/>
    <n v="27"/>
    <x v="0"/>
    <x v="1"/>
    <x v="749"/>
    <n v="22.04"/>
    <n v="22.98"/>
    <x v="1"/>
    <x v="0"/>
    <s v="None"/>
    <n v="17"/>
    <x v="0"/>
  </r>
  <r>
    <x v="830"/>
    <n v="75"/>
    <x v="0"/>
    <x v="1"/>
    <x v="657"/>
    <n v="28.04"/>
    <n v="24.74"/>
    <x v="0"/>
    <x v="0"/>
    <s v="Mild"/>
    <n v="15"/>
    <x v="0"/>
  </r>
  <r>
    <x v="831"/>
    <n v="61"/>
    <x v="1"/>
    <x v="0"/>
    <x v="750"/>
    <n v="17.18"/>
    <n v="7.43"/>
    <x v="0"/>
    <x v="0"/>
    <s v="None"/>
    <n v="35"/>
    <x v="0"/>
  </r>
  <r>
    <x v="832"/>
    <n v="34"/>
    <x v="1"/>
    <x v="1"/>
    <x v="751"/>
    <n v="20.83"/>
    <n v="11.16"/>
    <x v="3"/>
    <x v="2"/>
    <s v="Moderate"/>
    <n v="7"/>
    <x v="0"/>
  </r>
  <r>
    <x v="833"/>
    <n v="78"/>
    <x v="0"/>
    <x v="2"/>
    <x v="752"/>
    <n v="8.84"/>
    <n v="9.39"/>
    <x v="0"/>
    <x v="2"/>
    <s v="None"/>
    <n v="29"/>
    <x v="0"/>
  </r>
  <r>
    <x v="834"/>
    <n v="55"/>
    <x v="1"/>
    <x v="2"/>
    <x v="753"/>
    <n v="3.45"/>
    <n v="3.77"/>
    <x v="2"/>
    <x v="2"/>
    <s v="None"/>
    <n v="3"/>
    <x v="1"/>
  </r>
  <r>
    <x v="835"/>
    <n v="24"/>
    <x v="1"/>
    <x v="2"/>
    <x v="754"/>
    <n v="12.55"/>
    <n v="7.07"/>
    <x v="2"/>
    <x v="2"/>
    <s v="Mild"/>
    <n v="32"/>
    <x v="0"/>
  </r>
  <r>
    <x v="836"/>
    <n v="63"/>
    <x v="0"/>
    <x v="1"/>
    <x v="755"/>
    <n v="21.79"/>
    <n v="20.059999999999999"/>
    <x v="0"/>
    <x v="0"/>
    <s v="Mild"/>
    <n v="25"/>
    <x v="0"/>
  </r>
  <r>
    <x v="837"/>
    <n v="30"/>
    <x v="1"/>
    <x v="1"/>
    <x v="756"/>
    <n v="0.43"/>
    <n v="2.67"/>
    <x v="0"/>
    <x v="2"/>
    <s v="None"/>
    <n v="17"/>
    <x v="1"/>
  </r>
  <r>
    <x v="838"/>
    <n v="57"/>
    <x v="0"/>
    <x v="3"/>
    <x v="757"/>
    <n v="11.2"/>
    <n v="15.75"/>
    <x v="0"/>
    <x v="2"/>
    <s v="None"/>
    <n v="21"/>
    <x v="0"/>
  </r>
  <r>
    <x v="839"/>
    <n v="59"/>
    <x v="0"/>
    <x v="0"/>
    <x v="684"/>
    <n v="1.76"/>
    <n v="16.260000000000002"/>
    <x v="3"/>
    <x v="0"/>
    <s v="None"/>
    <n v="32"/>
    <x v="0"/>
  </r>
  <r>
    <x v="840"/>
    <n v="26"/>
    <x v="1"/>
    <x v="0"/>
    <x v="288"/>
    <n v="5.32"/>
    <n v="9.6999999999999993"/>
    <x v="3"/>
    <x v="1"/>
    <s v="Mild"/>
    <n v="18"/>
    <x v="0"/>
  </r>
  <r>
    <x v="841"/>
    <n v="67"/>
    <x v="1"/>
    <x v="1"/>
    <x v="758"/>
    <n v="11.53"/>
    <n v="16.87"/>
    <x v="2"/>
    <x v="1"/>
    <s v="None"/>
    <n v="20"/>
    <x v="0"/>
  </r>
  <r>
    <x v="842"/>
    <n v="44"/>
    <x v="1"/>
    <x v="1"/>
    <x v="759"/>
    <n v="28.34"/>
    <n v="3.87"/>
    <x v="3"/>
    <x v="2"/>
    <s v="Mild"/>
    <n v="28"/>
    <x v="1"/>
  </r>
  <r>
    <x v="843"/>
    <n v="75"/>
    <x v="0"/>
    <x v="0"/>
    <x v="760"/>
    <n v="10.37"/>
    <n v="3.32"/>
    <x v="3"/>
    <x v="0"/>
    <s v="Mild"/>
    <n v="19"/>
    <x v="1"/>
  </r>
  <r>
    <x v="844"/>
    <n v="19"/>
    <x v="0"/>
    <x v="2"/>
    <x v="761"/>
    <n v="16.399999999999999"/>
    <n v="6.51"/>
    <x v="1"/>
    <x v="2"/>
    <s v="None"/>
    <n v="13"/>
    <x v="0"/>
  </r>
  <r>
    <x v="845"/>
    <n v="22"/>
    <x v="1"/>
    <x v="0"/>
    <x v="762"/>
    <n v="12.47"/>
    <n v="11.44"/>
    <x v="2"/>
    <x v="1"/>
    <s v="None"/>
    <n v="31"/>
    <x v="0"/>
  </r>
  <r>
    <x v="846"/>
    <n v="46"/>
    <x v="1"/>
    <x v="1"/>
    <x v="340"/>
    <n v="5.61"/>
    <n v="29.57"/>
    <x v="2"/>
    <x v="1"/>
    <s v="None"/>
    <n v="11"/>
    <x v="0"/>
  </r>
  <r>
    <x v="847"/>
    <n v="54"/>
    <x v="1"/>
    <x v="3"/>
    <x v="763"/>
    <n v="14.29"/>
    <n v="9.66"/>
    <x v="0"/>
    <x v="0"/>
    <s v="None"/>
    <n v="19"/>
    <x v="0"/>
  </r>
  <r>
    <x v="848"/>
    <n v="55"/>
    <x v="1"/>
    <x v="2"/>
    <x v="764"/>
    <n v="3.36"/>
    <n v="6.57"/>
    <x v="1"/>
    <x v="2"/>
    <s v="None"/>
    <n v="29"/>
    <x v="1"/>
  </r>
  <r>
    <x v="849"/>
    <n v="36"/>
    <x v="0"/>
    <x v="2"/>
    <x v="765"/>
    <n v="10.26"/>
    <n v="19.57"/>
    <x v="0"/>
    <x v="1"/>
    <s v="None"/>
    <n v="24"/>
    <x v="0"/>
  </r>
  <r>
    <x v="850"/>
    <n v="25"/>
    <x v="1"/>
    <x v="3"/>
    <x v="556"/>
    <n v="24.48"/>
    <n v="2.86"/>
    <x v="3"/>
    <x v="2"/>
    <s v="Mild"/>
    <n v="10"/>
    <x v="1"/>
  </r>
  <r>
    <x v="851"/>
    <n v="65"/>
    <x v="0"/>
    <x v="1"/>
    <x v="766"/>
    <n v="11.77"/>
    <n v="2.36"/>
    <x v="2"/>
    <x v="0"/>
    <s v="None"/>
    <n v="5"/>
    <x v="0"/>
  </r>
  <r>
    <x v="852"/>
    <n v="62"/>
    <x v="0"/>
    <x v="3"/>
    <x v="767"/>
    <n v="12.47"/>
    <n v="29.93"/>
    <x v="3"/>
    <x v="1"/>
    <s v="Moderate"/>
    <n v="34"/>
    <x v="1"/>
  </r>
  <r>
    <x v="853"/>
    <n v="18"/>
    <x v="1"/>
    <x v="1"/>
    <x v="450"/>
    <n v="7.84"/>
    <n v="4.82"/>
    <x v="3"/>
    <x v="1"/>
    <s v="None"/>
    <n v="10"/>
    <x v="0"/>
  </r>
  <r>
    <x v="854"/>
    <n v="39"/>
    <x v="1"/>
    <x v="3"/>
    <x v="768"/>
    <n v="2.35"/>
    <n v="23.33"/>
    <x v="1"/>
    <x v="1"/>
    <s v="None"/>
    <n v="29"/>
    <x v="0"/>
  </r>
  <r>
    <x v="855"/>
    <n v="69"/>
    <x v="1"/>
    <x v="0"/>
    <x v="769"/>
    <n v="8.58"/>
    <n v="21.5"/>
    <x v="1"/>
    <x v="1"/>
    <s v="Mild"/>
    <n v="34"/>
    <x v="1"/>
  </r>
  <r>
    <x v="856"/>
    <n v="34"/>
    <x v="0"/>
    <x v="3"/>
    <x v="770"/>
    <n v="18.68"/>
    <n v="17.38"/>
    <x v="2"/>
    <x v="0"/>
    <s v="Moderate"/>
    <n v="27"/>
    <x v="0"/>
  </r>
  <r>
    <x v="857"/>
    <n v="24"/>
    <x v="1"/>
    <x v="0"/>
    <x v="771"/>
    <n v="13.64"/>
    <n v="19.510000000000002"/>
    <x v="2"/>
    <x v="1"/>
    <s v="None"/>
    <n v="33"/>
    <x v="0"/>
  </r>
  <r>
    <x v="858"/>
    <n v="42"/>
    <x v="1"/>
    <x v="1"/>
    <x v="772"/>
    <n v="3.56"/>
    <n v="19.05"/>
    <x v="1"/>
    <x v="1"/>
    <s v="Mild"/>
    <n v="15"/>
    <x v="0"/>
  </r>
  <r>
    <x v="859"/>
    <n v="62"/>
    <x v="0"/>
    <x v="2"/>
    <x v="193"/>
    <n v="1.66"/>
    <n v="1.02"/>
    <x v="1"/>
    <x v="2"/>
    <s v="Moderate"/>
    <n v="17"/>
    <x v="0"/>
  </r>
  <r>
    <x v="860"/>
    <n v="21"/>
    <x v="1"/>
    <x v="0"/>
    <x v="773"/>
    <n v="5.55"/>
    <n v="11.71"/>
    <x v="1"/>
    <x v="0"/>
    <s v="Mild"/>
    <n v="15"/>
    <x v="0"/>
  </r>
  <r>
    <x v="861"/>
    <n v="53"/>
    <x v="0"/>
    <x v="1"/>
    <x v="157"/>
    <n v="8.64"/>
    <n v="9.99"/>
    <x v="1"/>
    <x v="0"/>
    <s v="None"/>
    <n v="35"/>
    <x v="0"/>
  </r>
  <r>
    <x v="862"/>
    <n v="23"/>
    <x v="1"/>
    <x v="1"/>
    <x v="774"/>
    <n v="9.14"/>
    <n v="5.89"/>
    <x v="2"/>
    <x v="1"/>
    <s v="Moderate"/>
    <n v="33"/>
    <x v="0"/>
  </r>
  <r>
    <x v="863"/>
    <n v="77"/>
    <x v="0"/>
    <x v="3"/>
    <x v="775"/>
    <n v="9.23"/>
    <n v="7.21"/>
    <x v="2"/>
    <x v="2"/>
    <s v="Mild"/>
    <n v="27"/>
    <x v="0"/>
  </r>
  <r>
    <x v="864"/>
    <n v="48"/>
    <x v="1"/>
    <x v="1"/>
    <x v="73"/>
    <n v="10.29"/>
    <n v="8.4600000000000009"/>
    <x v="3"/>
    <x v="2"/>
    <s v="Mild"/>
    <n v="25"/>
    <x v="0"/>
  </r>
  <r>
    <x v="865"/>
    <n v="36"/>
    <x v="1"/>
    <x v="2"/>
    <x v="776"/>
    <n v="13.97"/>
    <n v="7.36"/>
    <x v="3"/>
    <x v="0"/>
    <s v="Mild"/>
    <n v="5"/>
    <x v="0"/>
  </r>
  <r>
    <x v="866"/>
    <n v="78"/>
    <x v="0"/>
    <x v="0"/>
    <x v="777"/>
    <n v="7.42"/>
    <n v="21.09"/>
    <x v="3"/>
    <x v="2"/>
    <s v="Severe"/>
    <n v="18"/>
    <x v="1"/>
  </r>
  <r>
    <x v="867"/>
    <n v="61"/>
    <x v="0"/>
    <x v="3"/>
    <x v="778"/>
    <n v="4.54"/>
    <n v="7.4"/>
    <x v="2"/>
    <x v="2"/>
    <s v="None"/>
    <n v="4"/>
    <x v="1"/>
  </r>
  <r>
    <x v="868"/>
    <n v="71"/>
    <x v="1"/>
    <x v="1"/>
    <x v="753"/>
    <n v="15.13"/>
    <n v="43.42"/>
    <x v="0"/>
    <x v="0"/>
    <s v="None"/>
    <n v="25"/>
    <x v="0"/>
  </r>
  <r>
    <x v="869"/>
    <n v="56"/>
    <x v="0"/>
    <x v="3"/>
    <x v="779"/>
    <n v="18.989999999999998"/>
    <n v="5.35"/>
    <x v="3"/>
    <x v="0"/>
    <s v="None"/>
    <n v="32"/>
    <x v="0"/>
  </r>
  <r>
    <x v="870"/>
    <n v="44"/>
    <x v="0"/>
    <x v="2"/>
    <x v="780"/>
    <n v="6.49"/>
    <n v="6.6"/>
    <x v="0"/>
    <x v="1"/>
    <s v="None"/>
    <n v="12"/>
    <x v="0"/>
  </r>
  <r>
    <x v="871"/>
    <n v="27"/>
    <x v="0"/>
    <x v="1"/>
    <x v="781"/>
    <n v="35.85"/>
    <n v="7.95"/>
    <x v="0"/>
    <x v="1"/>
    <s v="None"/>
    <n v="3"/>
    <x v="0"/>
  </r>
  <r>
    <x v="872"/>
    <n v="43"/>
    <x v="0"/>
    <x v="3"/>
    <x v="782"/>
    <n v="27.34"/>
    <n v="4.76"/>
    <x v="0"/>
    <x v="1"/>
    <s v="Mild"/>
    <n v="24"/>
    <x v="0"/>
  </r>
  <r>
    <x v="873"/>
    <n v="36"/>
    <x v="1"/>
    <x v="2"/>
    <x v="783"/>
    <n v="3.81"/>
    <n v="7.92"/>
    <x v="1"/>
    <x v="1"/>
    <s v="None"/>
    <n v="35"/>
    <x v="1"/>
  </r>
  <r>
    <x v="874"/>
    <n v="56"/>
    <x v="1"/>
    <x v="2"/>
    <x v="784"/>
    <n v="1.81"/>
    <n v="5.75"/>
    <x v="2"/>
    <x v="1"/>
    <s v="Mild"/>
    <n v="27"/>
    <x v="0"/>
  </r>
  <r>
    <x v="875"/>
    <n v="79"/>
    <x v="0"/>
    <x v="1"/>
    <x v="785"/>
    <n v="8.94"/>
    <n v="15.82"/>
    <x v="2"/>
    <x v="2"/>
    <s v="Moderate"/>
    <n v="24"/>
    <x v="1"/>
  </r>
  <r>
    <x v="876"/>
    <n v="20"/>
    <x v="0"/>
    <x v="2"/>
    <x v="786"/>
    <n v="12.53"/>
    <n v="6.43"/>
    <x v="3"/>
    <x v="1"/>
    <s v="None"/>
    <n v="18"/>
    <x v="0"/>
  </r>
  <r>
    <x v="877"/>
    <n v="62"/>
    <x v="0"/>
    <x v="1"/>
    <x v="787"/>
    <n v="35.51"/>
    <n v="4.25"/>
    <x v="3"/>
    <x v="2"/>
    <s v="Moderate"/>
    <n v="32"/>
    <x v="0"/>
  </r>
  <r>
    <x v="878"/>
    <n v="30"/>
    <x v="0"/>
    <x v="1"/>
    <x v="788"/>
    <n v="34.729999999999997"/>
    <n v="7.01"/>
    <x v="2"/>
    <x v="0"/>
    <s v="None"/>
    <n v="20"/>
    <x v="0"/>
  </r>
  <r>
    <x v="879"/>
    <n v="67"/>
    <x v="1"/>
    <x v="0"/>
    <x v="616"/>
    <n v="16.43"/>
    <n v="8.94"/>
    <x v="1"/>
    <x v="1"/>
    <s v="Moderate"/>
    <n v="26"/>
    <x v="0"/>
  </r>
  <r>
    <x v="880"/>
    <n v="45"/>
    <x v="1"/>
    <x v="2"/>
    <x v="789"/>
    <n v="7.54"/>
    <n v="7.6"/>
    <x v="2"/>
    <x v="0"/>
    <s v="Moderate"/>
    <n v="7"/>
    <x v="0"/>
  </r>
  <r>
    <x v="881"/>
    <n v="79"/>
    <x v="0"/>
    <x v="1"/>
    <x v="790"/>
    <n v="22.69"/>
    <n v="44.52"/>
    <x v="0"/>
    <x v="1"/>
    <s v="None"/>
    <n v="25"/>
    <x v="0"/>
  </r>
  <r>
    <x v="882"/>
    <n v="75"/>
    <x v="0"/>
    <x v="1"/>
    <x v="791"/>
    <n v="11.25"/>
    <n v="13.11"/>
    <x v="2"/>
    <x v="2"/>
    <s v="None"/>
    <n v="29"/>
    <x v="0"/>
  </r>
  <r>
    <x v="883"/>
    <n v="37"/>
    <x v="0"/>
    <x v="1"/>
    <x v="792"/>
    <n v="3.06"/>
    <n v="3.17"/>
    <x v="1"/>
    <x v="2"/>
    <s v="None"/>
    <n v="14"/>
    <x v="0"/>
  </r>
  <r>
    <x v="884"/>
    <n v="45"/>
    <x v="1"/>
    <x v="1"/>
    <x v="793"/>
    <n v="3.18"/>
    <n v="14.57"/>
    <x v="2"/>
    <x v="1"/>
    <s v="Moderate"/>
    <n v="12"/>
    <x v="1"/>
  </r>
  <r>
    <x v="885"/>
    <n v="25"/>
    <x v="0"/>
    <x v="1"/>
    <x v="542"/>
    <n v="7.58"/>
    <n v="11.45"/>
    <x v="2"/>
    <x v="2"/>
    <s v="Moderate"/>
    <n v="35"/>
    <x v="0"/>
  </r>
  <r>
    <x v="886"/>
    <n v="78"/>
    <x v="1"/>
    <x v="1"/>
    <x v="794"/>
    <n v="20.190000000000001"/>
    <n v="13.44"/>
    <x v="2"/>
    <x v="0"/>
    <s v="None"/>
    <n v="18"/>
    <x v="0"/>
  </r>
  <r>
    <x v="887"/>
    <n v="58"/>
    <x v="0"/>
    <x v="3"/>
    <x v="795"/>
    <n v="4.12"/>
    <n v="14.5"/>
    <x v="0"/>
    <x v="1"/>
    <s v="Mild"/>
    <n v="31"/>
    <x v="1"/>
  </r>
  <r>
    <x v="888"/>
    <n v="56"/>
    <x v="1"/>
    <x v="2"/>
    <x v="796"/>
    <n v="7.57"/>
    <n v="22.66"/>
    <x v="3"/>
    <x v="0"/>
    <s v="None"/>
    <n v="20"/>
    <x v="1"/>
  </r>
  <r>
    <x v="889"/>
    <n v="18"/>
    <x v="0"/>
    <x v="2"/>
    <x v="797"/>
    <n v="27.19"/>
    <n v="8.3699999999999992"/>
    <x v="1"/>
    <x v="0"/>
    <s v="None"/>
    <n v="29"/>
    <x v="1"/>
  </r>
  <r>
    <x v="890"/>
    <n v="20"/>
    <x v="1"/>
    <x v="2"/>
    <x v="777"/>
    <n v="13.62"/>
    <n v="9"/>
    <x v="0"/>
    <x v="1"/>
    <s v="Severe"/>
    <n v="9"/>
    <x v="0"/>
  </r>
  <r>
    <x v="891"/>
    <n v="30"/>
    <x v="0"/>
    <x v="1"/>
    <x v="798"/>
    <n v="14.79"/>
    <n v="5.25"/>
    <x v="2"/>
    <x v="0"/>
    <s v="None"/>
    <n v="29"/>
    <x v="0"/>
  </r>
  <r>
    <x v="892"/>
    <n v="45"/>
    <x v="0"/>
    <x v="0"/>
    <x v="799"/>
    <n v="20.69"/>
    <n v="10.9"/>
    <x v="2"/>
    <x v="1"/>
    <s v="Moderate"/>
    <n v="12"/>
    <x v="1"/>
  </r>
  <r>
    <x v="893"/>
    <n v="79"/>
    <x v="0"/>
    <x v="0"/>
    <x v="800"/>
    <n v="7.7"/>
    <n v="4.82"/>
    <x v="3"/>
    <x v="0"/>
    <s v="Moderate"/>
    <n v="12"/>
    <x v="1"/>
  </r>
  <r>
    <x v="894"/>
    <n v="74"/>
    <x v="1"/>
    <x v="0"/>
    <x v="801"/>
    <n v="28.42"/>
    <n v="3.95"/>
    <x v="3"/>
    <x v="1"/>
    <s v="Severe"/>
    <n v="13"/>
    <x v="0"/>
  </r>
  <r>
    <x v="895"/>
    <n v="77"/>
    <x v="0"/>
    <x v="0"/>
    <x v="802"/>
    <n v="16.78"/>
    <n v="28.14"/>
    <x v="3"/>
    <x v="2"/>
    <s v="None"/>
    <n v="32"/>
    <x v="0"/>
  </r>
  <r>
    <x v="896"/>
    <n v="66"/>
    <x v="1"/>
    <x v="0"/>
    <x v="803"/>
    <n v="9.3699999999999992"/>
    <n v="8.85"/>
    <x v="0"/>
    <x v="0"/>
    <s v="None"/>
    <n v="5"/>
    <x v="0"/>
  </r>
  <r>
    <x v="897"/>
    <n v="42"/>
    <x v="1"/>
    <x v="3"/>
    <x v="804"/>
    <n v="24.91"/>
    <n v="13.25"/>
    <x v="1"/>
    <x v="1"/>
    <s v="None"/>
    <n v="31"/>
    <x v="0"/>
  </r>
  <r>
    <x v="898"/>
    <n v="73"/>
    <x v="0"/>
    <x v="1"/>
    <x v="623"/>
    <n v="16.260000000000002"/>
    <n v="5.89"/>
    <x v="3"/>
    <x v="1"/>
    <s v="Mild"/>
    <n v="16"/>
    <x v="1"/>
  </r>
  <r>
    <x v="899"/>
    <n v="50"/>
    <x v="0"/>
    <x v="2"/>
    <x v="805"/>
    <n v="10.11"/>
    <n v="31.91"/>
    <x v="2"/>
    <x v="1"/>
    <s v="Mild"/>
    <n v="15"/>
    <x v="0"/>
  </r>
  <r>
    <x v="900"/>
    <n v="55"/>
    <x v="0"/>
    <x v="2"/>
    <x v="806"/>
    <n v="15.11"/>
    <n v="7.85"/>
    <x v="1"/>
    <x v="0"/>
    <s v="None"/>
    <n v="21"/>
    <x v="0"/>
  </r>
  <r>
    <x v="901"/>
    <n v="70"/>
    <x v="1"/>
    <x v="2"/>
    <x v="807"/>
    <n v="4.93"/>
    <n v="24.81"/>
    <x v="2"/>
    <x v="1"/>
    <s v="Mild"/>
    <n v="27"/>
    <x v="0"/>
  </r>
  <r>
    <x v="902"/>
    <n v="23"/>
    <x v="0"/>
    <x v="3"/>
    <x v="528"/>
    <n v="22.75"/>
    <n v="13.24"/>
    <x v="2"/>
    <x v="2"/>
    <s v="None"/>
    <n v="12"/>
    <x v="1"/>
  </r>
  <r>
    <x v="903"/>
    <n v="75"/>
    <x v="1"/>
    <x v="1"/>
    <x v="808"/>
    <n v="35.11"/>
    <n v="9.86"/>
    <x v="1"/>
    <x v="2"/>
    <s v="None"/>
    <n v="17"/>
    <x v="0"/>
  </r>
  <r>
    <x v="904"/>
    <n v="61"/>
    <x v="1"/>
    <x v="3"/>
    <x v="809"/>
    <n v="2.23"/>
    <n v="11.83"/>
    <x v="0"/>
    <x v="0"/>
    <s v="None"/>
    <n v="30"/>
    <x v="0"/>
  </r>
  <r>
    <x v="905"/>
    <n v="62"/>
    <x v="0"/>
    <x v="0"/>
    <x v="810"/>
    <n v="6.42"/>
    <n v="8.7899999999999991"/>
    <x v="1"/>
    <x v="1"/>
    <s v="None"/>
    <n v="9"/>
    <x v="0"/>
  </r>
  <r>
    <x v="906"/>
    <n v="49"/>
    <x v="0"/>
    <x v="3"/>
    <x v="527"/>
    <n v="5.97"/>
    <n v="8.36"/>
    <x v="3"/>
    <x v="1"/>
    <s v="None"/>
    <n v="16"/>
    <x v="0"/>
  </r>
  <r>
    <x v="907"/>
    <n v="62"/>
    <x v="0"/>
    <x v="3"/>
    <x v="811"/>
    <n v="17.52"/>
    <n v="11.26"/>
    <x v="1"/>
    <x v="0"/>
    <s v="None"/>
    <n v="32"/>
    <x v="0"/>
  </r>
  <r>
    <x v="908"/>
    <n v="78"/>
    <x v="0"/>
    <x v="1"/>
    <x v="671"/>
    <n v="12.05"/>
    <n v="1.54"/>
    <x v="3"/>
    <x v="0"/>
    <s v="Moderate"/>
    <n v="14"/>
    <x v="0"/>
  </r>
  <r>
    <x v="909"/>
    <n v="64"/>
    <x v="0"/>
    <x v="3"/>
    <x v="812"/>
    <n v="7.27"/>
    <n v="5.88"/>
    <x v="3"/>
    <x v="0"/>
    <s v="Mild"/>
    <n v="30"/>
    <x v="0"/>
  </r>
  <r>
    <x v="910"/>
    <n v="38"/>
    <x v="0"/>
    <x v="0"/>
    <x v="177"/>
    <n v="8.1999999999999993"/>
    <n v="15.83"/>
    <x v="1"/>
    <x v="0"/>
    <s v="None"/>
    <n v="16"/>
    <x v="0"/>
  </r>
  <r>
    <x v="911"/>
    <n v="33"/>
    <x v="1"/>
    <x v="2"/>
    <x v="813"/>
    <n v="6.72"/>
    <n v="16.72"/>
    <x v="1"/>
    <x v="1"/>
    <s v="Mild"/>
    <n v="3"/>
    <x v="1"/>
  </r>
  <r>
    <x v="912"/>
    <n v="71"/>
    <x v="1"/>
    <x v="2"/>
    <x v="814"/>
    <n v="16.02"/>
    <n v="38.119999999999997"/>
    <x v="3"/>
    <x v="2"/>
    <s v="Mild"/>
    <n v="6"/>
    <x v="0"/>
  </r>
  <r>
    <x v="913"/>
    <n v="38"/>
    <x v="1"/>
    <x v="3"/>
    <x v="354"/>
    <n v="11.91"/>
    <n v="18.38"/>
    <x v="2"/>
    <x v="1"/>
    <s v="None"/>
    <n v="20"/>
    <x v="0"/>
  </r>
  <r>
    <x v="914"/>
    <n v="28"/>
    <x v="0"/>
    <x v="2"/>
    <x v="775"/>
    <n v="7.88"/>
    <n v="17.489999999999998"/>
    <x v="1"/>
    <x v="0"/>
    <s v="Mild"/>
    <n v="34"/>
    <x v="0"/>
  </r>
  <r>
    <x v="915"/>
    <n v="77"/>
    <x v="1"/>
    <x v="1"/>
    <x v="815"/>
    <n v="6.83"/>
    <n v="12.08"/>
    <x v="0"/>
    <x v="0"/>
    <s v="Mild"/>
    <n v="30"/>
    <x v="0"/>
  </r>
  <r>
    <x v="916"/>
    <n v="54"/>
    <x v="1"/>
    <x v="2"/>
    <x v="816"/>
    <n v="25.21"/>
    <n v="20.73"/>
    <x v="3"/>
    <x v="1"/>
    <s v="Mild"/>
    <n v="30"/>
    <x v="0"/>
  </r>
  <r>
    <x v="917"/>
    <n v="53"/>
    <x v="1"/>
    <x v="3"/>
    <x v="817"/>
    <n v="22.36"/>
    <n v="10.55"/>
    <x v="2"/>
    <x v="0"/>
    <s v="Mild"/>
    <n v="34"/>
    <x v="0"/>
  </r>
  <r>
    <x v="918"/>
    <n v="52"/>
    <x v="1"/>
    <x v="3"/>
    <x v="818"/>
    <n v="16.149999999999999"/>
    <n v="9.83"/>
    <x v="1"/>
    <x v="2"/>
    <s v="Mild"/>
    <n v="10"/>
    <x v="1"/>
  </r>
  <r>
    <x v="919"/>
    <n v="36"/>
    <x v="1"/>
    <x v="2"/>
    <x v="819"/>
    <n v="20.76"/>
    <n v="10.029999999999999"/>
    <x v="1"/>
    <x v="0"/>
    <s v="None"/>
    <n v="27"/>
    <x v="1"/>
  </r>
  <r>
    <x v="920"/>
    <n v="37"/>
    <x v="0"/>
    <x v="0"/>
    <x v="820"/>
    <n v="3.09"/>
    <n v="20.43"/>
    <x v="2"/>
    <x v="1"/>
    <s v="Moderate"/>
    <n v="22"/>
    <x v="0"/>
  </r>
  <r>
    <x v="921"/>
    <n v="74"/>
    <x v="0"/>
    <x v="1"/>
    <x v="821"/>
    <n v="4.09"/>
    <n v="9.94"/>
    <x v="0"/>
    <x v="1"/>
    <s v="None"/>
    <n v="35"/>
    <x v="0"/>
  </r>
  <r>
    <x v="922"/>
    <n v="35"/>
    <x v="1"/>
    <x v="0"/>
    <x v="704"/>
    <n v="3.68"/>
    <n v="13.09"/>
    <x v="3"/>
    <x v="1"/>
    <s v="Moderate"/>
    <n v="32"/>
    <x v="0"/>
  </r>
  <r>
    <x v="923"/>
    <n v="64"/>
    <x v="1"/>
    <x v="1"/>
    <x v="822"/>
    <n v="10.35"/>
    <n v="6.3"/>
    <x v="1"/>
    <x v="1"/>
    <s v="None"/>
    <n v="18"/>
    <x v="0"/>
  </r>
  <r>
    <x v="924"/>
    <n v="58"/>
    <x v="1"/>
    <x v="3"/>
    <x v="823"/>
    <n v="21.23"/>
    <n v="30.44"/>
    <x v="0"/>
    <x v="2"/>
    <s v="None"/>
    <n v="27"/>
    <x v="0"/>
  </r>
  <r>
    <x v="925"/>
    <n v="66"/>
    <x v="0"/>
    <x v="1"/>
    <x v="824"/>
    <n v="7.35"/>
    <n v="7.49"/>
    <x v="3"/>
    <x v="0"/>
    <s v="Mild"/>
    <n v="12"/>
    <x v="0"/>
  </r>
  <r>
    <x v="926"/>
    <n v="31"/>
    <x v="0"/>
    <x v="1"/>
    <x v="825"/>
    <n v="23.25"/>
    <n v="9.65"/>
    <x v="0"/>
    <x v="1"/>
    <s v="None"/>
    <n v="7"/>
    <x v="0"/>
  </r>
  <r>
    <x v="927"/>
    <n v="32"/>
    <x v="1"/>
    <x v="3"/>
    <x v="826"/>
    <n v="6.41"/>
    <n v="17.39"/>
    <x v="3"/>
    <x v="2"/>
    <s v="Moderate"/>
    <n v="10"/>
    <x v="0"/>
  </r>
  <r>
    <x v="928"/>
    <n v="48"/>
    <x v="0"/>
    <x v="1"/>
    <x v="827"/>
    <n v="9.2799999999999994"/>
    <n v="22.54"/>
    <x v="3"/>
    <x v="0"/>
    <s v="None"/>
    <n v="35"/>
    <x v="1"/>
  </r>
  <r>
    <x v="929"/>
    <n v="18"/>
    <x v="0"/>
    <x v="3"/>
    <x v="828"/>
    <n v="7.28"/>
    <n v="10.26"/>
    <x v="0"/>
    <x v="1"/>
    <s v="Mild"/>
    <n v="3"/>
    <x v="0"/>
  </r>
  <r>
    <x v="930"/>
    <n v="70"/>
    <x v="1"/>
    <x v="0"/>
    <x v="159"/>
    <n v="8.73"/>
    <n v="15.81"/>
    <x v="3"/>
    <x v="1"/>
    <s v="None"/>
    <n v="33"/>
    <x v="0"/>
  </r>
  <r>
    <x v="931"/>
    <n v="71"/>
    <x v="0"/>
    <x v="1"/>
    <x v="829"/>
    <n v="9.5"/>
    <n v="4.93"/>
    <x v="1"/>
    <x v="1"/>
    <s v="None"/>
    <n v="9"/>
    <x v="0"/>
  </r>
  <r>
    <x v="932"/>
    <n v="71"/>
    <x v="0"/>
    <x v="2"/>
    <x v="830"/>
    <n v="1.74"/>
    <n v="11.47"/>
    <x v="1"/>
    <x v="2"/>
    <s v="None"/>
    <n v="25"/>
    <x v="0"/>
  </r>
  <r>
    <x v="933"/>
    <n v="20"/>
    <x v="1"/>
    <x v="3"/>
    <x v="297"/>
    <n v="13.35"/>
    <n v="15.67"/>
    <x v="0"/>
    <x v="0"/>
    <s v="Mild"/>
    <n v="26"/>
    <x v="0"/>
  </r>
  <r>
    <x v="934"/>
    <n v="33"/>
    <x v="0"/>
    <x v="2"/>
    <x v="646"/>
    <n v="9.32"/>
    <n v="24.56"/>
    <x v="0"/>
    <x v="2"/>
    <s v="Mild"/>
    <n v="16"/>
    <x v="0"/>
  </r>
  <r>
    <x v="935"/>
    <n v="40"/>
    <x v="0"/>
    <x v="1"/>
    <x v="831"/>
    <n v="28.38"/>
    <n v="3.24"/>
    <x v="3"/>
    <x v="1"/>
    <s v="Mild"/>
    <n v="25"/>
    <x v="0"/>
  </r>
  <r>
    <x v="936"/>
    <n v="74"/>
    <x v="1"/>
    <x v="1"/>
    <x v="284"/>
    <n v="15.59"/>
    <n v="4.26"/>
    <x v="3"/>
    <x v="2"/>
    <s v="Severe"/>
    <n v="11"/>
    <x v="0"/>
  </r>
  <r>
    <x v="937"/>
    <n v="28"/>
    <x v="0"/>
    <x v="1"/>
    <x v="832"/>
    <n v="12.93"/>
    <n v="2.2000000000000002"/>
    <x v="0"/>
    <x v="1"/>
    <s v="Mild"/>
    <n v="10"/>
    <x v="0"/>
  </r>
  <r>
    <x v="938"/>
    <n v="29"/>
    <x v="0"/>
    <x v="1"/>
    <x v="833"/>
    <n v="27.26"/>
    <n v="3.6"/>
    <x v="2"/>
    <x v="2"/>
    <s v="Moderate"/>
    <n v="10"/>
    <x v="1"/>
  </r>
  <r>
    <x v="939"/>
    <n v="27"/>
    <x v="1"/>
    <x v="1"/>
    <x v="834"/>
    <n v="25.44"/>
    <n v="17.25"/>
    <x v="0"/>
    <x v="2"/>
    <s v="None"/>
    <n v="5"/>
    <x v="1"/>
  </r>
  <r>
    <x v="940"/>
    <n v="49"/>
    <x v="1"/>
    <x v="2"/>
    <x v="835"/>
    <n v="29.22"/>
    <n v="11.37"/>
    <x v="2"/>
    <x v="1"/>
    <s v="None"/>
    <n v="34"/>
    <x v="0"/>
  </r>
  <r>
    <x v="941"/>
    <n v="33"/>
    <x v="1"/>
    <x v="0"/>
    <x v="836"/>
    <n v="6.75"/>
    <n v="4.04"/>
    <x v="2"/>
    <x v="0"/>
    <s v="None"/>
    <n v="6"/>
    <x v="0"/>
  </r>
  <r>
    <x v="942"/>
    <n v="25"/>
    <x v="0"/>
    <x v="0"/>
    <x v="837"/>
    <n v="3.59"/>
    <n v="20.77"/>
    <x v="0"/>
    <x v="0"/>
    <s v="None"/>
    <n v="4"/>
    <x v="0"/>
  </r>
  <r>
    <x v="943"/>
    <n v="55"/>
    <x v="1"/>
    <x v="2"/>
    <x v="838"/>
    <n v="1.75"/>
    <n v="9.98"/>
    <x v="0"/>
    <x v="2"/>
    <s v="None"/>
    <n v="11"/>
    <x v="0"/>
  </r>
  <r>
    <x v="944"/>
    <n v="29"/>
    <x v="0"/>
    <x v="1"/>
    <x v="839"/>
    <n v="20.57"/>
    <n v="17.11"/>
    <x v="0"/>
    <x v="1"/>
    <s v="None"/>
    <n v="3"/>
    <x v="0"/>
  </r>
  <r>
    <x v="945"/>
    <n v="41"/>
    <x v="1"/>
    <x v="1"/>
    <x v="840"/>
    <n v="1.44"/>
    <n v="11.64"/>
    <x v="2"/>
    <x v="0"/>
    <s v="Mild"/>
    <n v="13"/>
    <x v="0"/>
  </r>
  <r>
    <x v="946"/>
    <n v="45"/>
    <x v="0"/>
    <x v="1"/>
    <x v="841"/>
    <n v="12.04"/>
    <n v="11.06"/>
    <x v="1"/>
    <x v="2"/>
    <s v="Mild"/>
    <n v="31"/>
    <x v="0"/>
  </r>
  <r>
    <x v="947"/>
    <n v="70"/>
    <x v="1"/>
    <x v="1"/>
    <x v="842"/>
    <n v="2.44"/>
    <n v="10.81"/>
    <x v="1"/>
    <x v="0"/>
    <s v="Severe"/>
    <n v="28"/>
    <x v="0"/>
  </r>
  <r>
    <x v="948"/>
    <n v="25"/>
    <x v="1"/>
    <x v="3"/>
    <x v="689"/>
    <n v="22.65"/>
    <n v="6.39"/>
    <x v="0"/>
    <x v="1"/>
    <s v="Moderate"/>
    <n v="29"/>
    <x v="1"/>
  </r>
  <r>
    <x v="949"/>
    <n v="75"/>
    <x v="1"/>
    <x v="3"/>
    <x v="843"/>
    <n v="14.72"/>
    <n v="20.28"/>
    <x v="0"/>
    <x v="2"/>
    <s v="None"/>
    <n v="31"/>
    <x v="1"/>
  </r>
  <r>
    <x v="950"/>
    <n v="45"/>
    <x v="1"/>
    <x v="3"/>
    <x v="844"/>
    <n v="22.56"/>
    <n v="1.62"/>
    <x v="3"/>
    <x v="1"/>
    <s v="None"/>
    <n v="35"/>
    <x v="1"/>
  </r>
  <r>
    <x v="951"/>
    <n v="53"/>
    <x v="0"/>
    <x v="3"/>
    <x v="845"/>
    <n v="12.23"/>
    <n v="9.58"/>
    <x v="3"/>
    <x v="0"/>
    <s v="None"/>
    <n v="30"/>
    <x v="1"/>
  </r>
  <r>
    <x v="952"/>
    <n v="43"/>
    <x v="1"/>
    <x v="0"/>
    <x v="846"/>
    <n v="4.5199999999999996"/>
    <n v="5.21"/>
    <x v="3"/>
    <x v="1"/>
    <s v="None"/>
    <n v="33"/>
    <x v="0"/>
  </r>
  <r>
    <x v="953"/>
    <n v="25"/>
    <x v="1"/>
    <x v="2"/>
    <x v="847"/>
    <n v="7.13"/>
    <n v="2.56"/>
    <x v="0"/>
    <x v="1"/>
    <s v="None"/>
    <n v="21"/>
    <x v="1"/>
  </r>
  <r>
    <x v="954"/>
    <n v="75"/>
    <x v="0"/>
    <x v="1"/>
    <x v="549"/>
    <n v="19.18"/>
    <n v="10.27"/>
    <x v="1"/>
    <x v="0"/>
    <s v="Mild"/>
    <n v="28"/>
    <x v="0"/>
  </r>
  <r>
    <x v="955"/>
    <n v="77"/>
    <x v="1"/>
    <x v="0"/>
    <x v="848"/>
    <n v="2.21"/>
    <n v="10.46"/>
    <x v="1"/>
    <x v="1"/>
    <s v="None"/>
    <n v="31"/>
    <x v="0"/>
  </r>
  <r>
    <x v="956"/>
    <n v="67"/>
    <x v="0"/>
    <x v="0"/>
    <x v="409"/>
    <n v="6.66"/>
    <n v="5.04"/>
    <x v="0"/>
    <x v="0"/>
    <s v="Mild"/>
    <n v="13"/>
    <x v="1"/>
  </r>
  <r>
    <x v="957"/>
    <n v="45"/>
    <x v="1"/>
    <x v="1"/>
    <x v="849"/>
    <n v="5.89"/>
    <n v="33.83"/>
    <x v="0"/>
    <x v="0"/>
    <s v="Mild"/>
    <n v="34"/>
    <x v="0"/>
  </r>
  <r>
    <x v="958"/>
    <n v="45"/>
    <x v="1"/>
    <x v="3"/>
    <x v="850"/>
    <n v="9.6"/>
    <n v="20.190000000000001"/>
    <x v="2"/>
    <x v="1"/>
    <s v="None"/>
    <n v="23"/>
    <x v="0"/>
  </r>
  <r>
    <x v="959"/>
    <n v="54"/>
    <x v="1"/>
    <x v="3"/>
    <x v="851"/>
    <n v="15.96"/>
    <n v="13.22"/>
    <x v="2"/>
    <x v="1"/>
    <s v="None"/>
    <n v="24"/>
    <x v="0"/>
  </r>
  <r>
    <x v="960"/>
    <n v="58"/>
    <x v="0"/>
    <x v="0"/>
    <x v="852"/>
    <n v="22.17"/>
    <n v="15.62"/>
    <x v="1"/>
    <x v="0"/>
    <s v="Moderate"/>
    <n v="29"/>
    <x v="0"/>
  </r>
  <r>
    <x v="961"/>
    <n v="53"/>
    <x v="1"/>
    <x v="0"/>
    <x v="853"/>
    <n v="2.89"/>
    <n v="7.97"/>
    <x v="3"/>
    <x v="1"/>
    <s v="None"/>
    <n v="10"/>
    <x v="1"/>
  </r>
  <r>
    <x v="962"/>
    <n v="44"/>
    <x v="1"/>
    <x v="1"/>
    <x v="632"/>
    <n v="4.8099999999999996"/>
    <n v="9.8800000000000008"/>
    <x v="1"/>
    <x v="0"/>
    <s v="None"/>
    <n v="33"/>
    <x v="0"/>
  </r>
  <r>
    <x v="963"/>
    <n v="71"/>
    <x v="1"/>
    <x v="3"/>
    <x v="854"/>
    <n v="3.24"/>
    <n v="11.46"/>
    <x v="2"/>
    <x v="0"/>
    <s v="None"/>
    <n v="3"/>
    <x v="0"/>
  </r>
  <r>
    <x v="964"/>
    <n v="34"/>
    <x v="0"/>
    <x v="3"/>
    <x v="855"/>
    <n v="9.9"/>
    <n v="11.64"/>
    <x v="1"/>
    <x v="2"/>
    <s v="None"/>
    <n v="26"/>
    <x v="1"/>
  </r>
  <r>
    <x v="965"/>
    <n v="26"/>
    <x v="0"/>
    <x v="3"/>
    <x v="856"/>
    <n v="3.64"/>
    <n v="18.100000000000001"/>
    <x v="2"/>
    <x v="0"/>
    <s v="None"/>
    <n v="30"/>
    <x v="0"/>
  </r>
  <r>
    <x v="966"/>
    <n v="50"/>
    <x v="1"/>
    <x v="1"/>
    <x v="652"/>
    <n v="13.27"/>
    <n v="13.97"/>
    <x v="2"/>
    <x v="1"/>
    <s v="Moderate"/>
    <n v="6"/>
    <x v="0"/>
  </r>
  <r>
    <x v="967"/>
    <n v="70"/>
    <x v="0"/>
    <x v="0"/>
    <x v="857"/>
    <n v="24.24"/>
    <n v="16.12"/>
    <x v="3"/>
    <x v="2"/>
    <s v="None"/>
    <n v="20"/>
    <x v="1"/>
  </r>
  <r>
    <x v="968"/>
    <n v="37"/>
    <x v="1"/>
    <x v="2"/>
    <x v="858"/>
    <n v="1.83"/>
    <n v="7.69"/>
    <x v="3"/>
    <x v="2"/>
    <s v="None"/>
    <n v="31"/>
    <x v="0"/>
  </r>
  <r>
    <x v="969"/>
    <n v="30"/>
    <x v="1"/>
    <x v="0"/>
    <x v="859"/>
    <n v="4.96"/>
    <n v="9.5399999999999991"/>
    <x v="2"/>
    <x v="0"/>
    <s v="None"/>
    <n v="25"/>
    <x v="1"/>
  </r>
  <r>
    <x v="970"/>
    <n v="45"/>
    <x v="1"/>
    <x v="0"/>
    <x v="860"/>
    <n v="29.43"/>
    <n v="9.7899999999999991"/>
    <x v="0"/>
    <x v="2"/>
    <s v="Mild"/>
    <n v="29"/>
    <x v="0"/>
  </r>
  <r>
    <x v="971"/>
    <n v="65"/>
    <x v="1"/>
    <x v="2"/>
    <x v="861"/>
    <n v="11.79"/>
    <n v="6.65"/>
    <x v="3"/>
    <x v="0"/>
    <s v="None"/>
    <n v="18"/>
    <x v="0"/>
  </r>
  <r>
    <x v="972"/>
    <n v="46"/>
    <x v="1"/>
    <x v="3"/>
    <x v="118"/>
    <n v="6.75"/>
    <n v="1.76"/>
    <x v="2"/>
    <x v="0"/>
    <s v="None"/>
    <n v="29"/>
    <x v="0"/>
  </r>
  <r>
    <x v="973"/>
    <n v="30"/>
    <x v="1"/>
    <x v="2"/>
    <x v="14"/>
    <n v="50.42"/>
    <n v="1.31"/>
    <x v="0"/>
    <x v="1"/>
    <s v="Mild"/>
    <n v="11"/>
    <x v="0"/>
  </r>
  <r>
    <x v="974"/>
    <n v="63"/>
    <x v="1"/>
    <x v="1"/>
    <x v="588"/>
    <n v="8.18"/>
    <n v="3.61"/>
    <x v="0"/>
    <x v="0"/>
    <s v="None"/>
    <n v="7"/>
    <x v="0"/>
  </r>
  <r>
    <x v="975"/>
    <n v="52"/>
    <x v="0"/>
    <x v="2"/>
    <x v="862"/>
    <n v="15.52"/>
    <n v="4.1500000000000004"/>
    <x v="1"/>
    <x v="1"/>
    <s v="None"/>
    <n v="10"/>
    <x v="1"/>
  </r>
  <r>
    <x v="976"/>
    <n v="78"/>
    <x v="0"/>
    <x v="1"/>
    <x v="863"/>
    <n v="5.16"/>
    <n v="5.38"/>
    <x v="1"/>
    <x v="1"/>
    <s v="None"/>
    <n v="20"/>
    <x v="0"/>
  </r>
  <r>
    <x v="977"/>
    <n v="23"/>
    <x v="0"/>
    <x v="2"/>
    <x v="864"/>
    <n v="4.37"/>
    <n v="9.82"/>
    <x v="3"/>
    <x v="1"/>
    <s v="Mild"/>
    <n v="8"/>
    <x v="0"/>
  </r>
  <r>
    <x v="978"/>
    <n v="35"/>
    <x v="0"/>
    <x v="1"/>
    <x v="865"/>
    <n v="16.18"/>
    <n v="19.88"/>
    <x v="0"/>
    <x v="1"/>
    <s v="Severe"/>
    <n v="25"/>
    <x v="0"/>
  </r>
  <r>
    <x v="979"/>
    <n v="68"/>
    <x v="0"/>
    <x v="1"/>
    <x v="866"/>
    <n v="31.22"/>
    <n v="2.4500000000000002"/>
    <x v="3"/>
    <x v="1"/>
    <s v="None"/>
    <n v="28"/>
    <x v="0"/>
  </r>
  <r>
    <x v="980"/>
    <n v="22"/>
    <x v="0"/>
    <x v="1"/>
    <x v="506"/>
    <n v="7"/>
    <n v="7.06"/>
    <x v="2"/>
    <x v="0"/>
    <s v="None"/>
    <n v="26"/>
    <x v="0"/>
  </r>
  <r>
    <x v="981"/>
    <n v="64"/>
    <x v="0"/>
    <x v="1"/>
    <x v="867"/>
    <n v="4.08"/>
    <n v="14"/>
    <x v="3"/>
    <x v="1"/>
    <s v="None"/>
    <n v="12"/>
    <x v="1"/>
  </r>
  <r>
    <x v="982"/>
    <n v="42"/>
    <x v="1"/>
    <x v="2"/>
    <x v="868"/>
    <n v="20.329999999999998"/>
    <n v="15.55"/>
    <x v="0"/>
    <x v="2"/>
    <s v="Mild"/>
    <n v="17"/>
    <x v="0"/>
  </r>
  <r>
    <x v="983"/>
    <n v="19"/>
    <x v="1"/>
    <x v="2"/>
    <x v="869"/>
    <n v="7.06"/>
    <n v="12.48"/>
    <x v="1"/>
    <x v="1"/>
    <s v="Mild"/>
    <n v="22"/>
    <x v="0"/>
  </r>
  <r>
    <x v="984"/>
    <n v="27"/>
    <x v="1"/>
    <x v="3"/>
    <x v="870"/>
    <n v="13.41"/>
    <n v="8.9"/>
    <x v="3"/>
    <x v="1"/>
    <s v="Mild"/>
    <n v="31"/>
    <x v="0"/>
  </r>
  <r>
    <x v="985"/>
    <n v="73"/>
    <x v="1"/>
    <x v="1"/>
    <x v="871"/>
    <n v="6.83"/>
    <n v="13.7"/>
    <x v="1"/>
    <x v="1"/>
    <s v="Mild"/>
    <n v="8"/>
    <x v="0"/>
  </r>
  <r>
    <x v="986"/>
    <n v="47"/>
    <x v="0"/>
    <x v="1"/>
    <x v="399"/>
    <n v="7.81"/>
    <n v="2.8"/>
    <x v="3"/>
    <x v="1"/>
    <s v="Moderate"/>
    <n v="11"/>
    <x v="0"/>
  </r>
  <r>
    <x v="987"/>
    <n v="67"/>
    <x v="0"/>
    <x v="1"/>
    <x v="872"/>
    <n v="4.79"/>
    <n v="13.44"/>
    <x v="2"/>
    <x v="1"/>
    <s v="Moderate"/>
    <n v="7"/>
    <x v="0"/>
  </r>
  <r>
    <x v="988"/>
    <n v="76"/>
    <x v="1"/>
    <x v="1"/>
    <x v="873"/>
    <n v="16.48"/>
    <n v="16.489999999999998"/>
    <x v="0"/>
    <x v="0"/>
    <s v="Mild"/>
    <n v="21"/>
    <x v="0"/>
  </r>
  <r>
    <x v="989"/>
    <n v="62"/>
    <x v="1"/>
    <x v="0"/>
    <x v="874"/>
    <n v="13.7"/>
    <n v="13.83"/>
    <x v="3"/>
    <x v="0"/>
    <s v="None"/>
    <n v="7"/>
    <x v="0"/>
  </r>
  <r>
    <x v="990"/>
    <n v="22"/>
    <x v="0"/>
    <x v="1"/>
    <x v="875"/>
    <n v="13.35"/>
    <n v="8.15"/>
    <x v="2"/>
    <x v="1"/>
    <s v="None"/>
    <n v="22"/>
    <x v="0"/>
  </r>
  <r>
    <x v="991"/>
    <n v="72"/>
    <x v="1"/>
    <x v="3"/>
    <x v="876"/>
    <n v="5.64"/>
    <n v="8.17"/>
    <x v="2"/>
    <x v="1"/>
    <s v="None"/>
    <n v="13"/>
    <x v="1"/>
  </r>
  <r>
    <x v="992"/>
    <n v="73"/>
    <x v="1"/>
    <x v="1"/>
    <x v="877"/>
    <n v="12.84"/>
    <n v="3.31"/>
    <x v="2"/>
    <x v="1"/>
    <s v="None"/>
    <n v="29"/>
    <x v="0"/>
  </r>
  <r>
    <x v="993"/>
    <n v="50"/>
    <x v="1"/>
    <x v="1"/>
    <x v="878"/>
    <n v="34.04"/>
    <n v="8.6999999999999993"/>
    <x v="1"/>
    <x v="2"/>
    <s v="Mild"/>
    <n v="31"/>
    <x v="0"/>
  </r>
  <r>
    <x v="994"/>
    <n v="71"/>
    <x v="1"/>
    <x v="3"/>
    <x v="879"/>
    <n v="4.0999999999999996"/>
    <n v="11.71"/>
    <x v="1"/>
    <x v="0"/>
    <s v="None"/>
    <n v="9"/>
    <x v="0"/>
  </r>
  <r>
    <x v="995"/>
    <n v="18"/>
    <x v="0"/>
    <x v="2"/>
    <x v="880"/>
    <n v="5.19"/>
    <n v="12.8"/>
    <x v="2"/>
    <x v="1"/>
    <s v="Mild"/>
    <n v="5"/>
    <x v="1"/>
  </r>
  <r>
    <x v="996"/>
    <n v="35"/>
    <x v="1"/>
    <x v="1"/>
    <x v="881"/>
    <n v="5.45"/>
    <n v="10.54"/>
    <x v="2"/>
    <x v="1"/>
    <s v="None"/>
    <n v="7"/>
    <x v="0"/>
  </r>
  <r>
    <x v="997"/>
    <n v="49"/>
    <x v="1"/>
    <x v="1"/>
    <x v="319"/>
    <n v="11.04"/>
    <n v="0.21"/>
    <x v="3"/>
    <x v="2"/>
    <s v="Mild"/>
    <n v="15"/>
    <x v="0"/>
  </r>
  <r>
    <x v="998"/>
    <n v="64"/>
    <x v="0"/>
    <x v="3"/>
    <x v="882"/>
    <n v="3.82"/>
    <n v="5.31"/>
    <x v="3"/>
    <x v="1"/>
    <s v="None"/>
    <n v="18"/>
    <x v="0"/>
  </r>
  <r>
    <x v="999"/>
    <n v="66"/>
    <x v="0"/>
    <x v="1"/>
    <x v="423"/>
    <n v="14.74"/>
    <n v="13.28"/>
    <x v="0"/>
    <x v="0"/>
    <s v="None"/>
    <n v="14"/>
    <x v="0"/>
  </r>
  <r>
    <x v="1000"/>
    <n v="28"/>
    <x v="1"/>
    <x v="1"/>
    <x v="883"/>
    <n v="1.6"/>
    <n v="18.2"/>
    <x v="3"/>
    <x v="1"/>
    <s v="None"/>
    <n v="29"/>
    <x v="0"/>
  </r>
  <r>
    <x v="1001"/>
    <n v="38"/>
    <x v="0"/>
    <x v="0"/>
    <x v="855"/>
    <n v="17.91"/>
    <n v="6.12"/>
    <x v="0"/>
    <x v="0"/>
    <s v="Moderate"/>
    <n v="35"/>
    <x v="0"/>
  </r>
  <r>
    <x v="1002"/>
    <n v="43"/>
    <x v="1"/>
    <x v="2"/>
    <x v="65"/>
    <n v="13.17"/>
    <n v="25.5"/>
    <x v="0"/>
    <x v="2"/>
    <s v="None"/>
    <n v="17"/>
    <x v="1"/>
  </r>
  <r>
    <x v="1003"/>
    <n v="42"/>
    <x v="1"/>
    <x v="3"/>
    <x v="154"/>
    <n v="33.520000000000003"/>
    <n v="8.16"/>
    <x v="0"/>
    <x v="2"/>
    <s v="None"/>
    <n v="23"/>
    <x v="1"/>
  </r>
  <r>
    <x v="1004"/>
    <n v="39"/>
    <x v="0"/>
    <x v="3"/>
    <x v="884"/>
    <n v="4.29"/>
    <n v="8.6999999999999993"/>
    <x v="1"/>
    <x v="0"/>
    <s v="None"/>
    <n v="19"/>
    <x v="0"/>
  </r>
  <r>
    <x v="1005"/>
    <n v="76"/>
    <x v="1"/>
    <x v="3"/>
    <x v="885"/>
    <n v="20.89"/>
    <n v="4.43"/>
    <x v="3"/>
    <x v="1"/>
    <s v="Mild"/>
    <n v="17"/>
    <x v="0"/>
  </r>
  <r>
    <x v="1006"/>
    <n v="44"/>
    <x v="1"/>
    <x v="3"/>
    <x v="886"/>
    <n v="9.35"/>
    <n v="6.34"/>
    <x v="2"/>
    <x v="0"/>
    <s v="None"/>
    <n v="22"/>
    <x v="0"/>
  </r>
  <r>
    <x v="1007"/>
    <n v="66"/>
    <x v="1"/>
    <x v="2"/>
    <x v="887"/>
    <n v="7.95"/>
    <n v="2.1"/>
    <x v="0"/>
    <x v="1"/>
    <s v="Severe"/>
    <n v="21"/>
    <x v="0"/>
  </r>
  <r>
    <x v="1008"/>
    <n v="30"/>
    <x v="1"/>
    <x v="2"/>
    <x v="287"/>
    <n v="4.09"/>
    <n v="7.45"/>
    <x v="2"/>
    <x v="2"/>
    <s v="None"/>
    <n v="3"/>
    <x v="1"/>
  </r>
  <r>
    <x v="1009"/>
    <n v="50"/>
    <x v="0"/>
    <x v="1"/>
    <x v="888"/>
    <n v="6.91"/>
    <n v="27.26"/>
    <x v="0"/>
    <x v="0"/>
    <s v="None"/>
    <n v="6"/>
    <x v="0"/>
  </r>
  <r>
    <x v="1010"/>
    <n v="51"/>
    <x v="0"/>
    <x v="3"/>
    <x v="889"/>
    <n v="7.17"/>
    <n v="10.15"/>
    <x v="3"/>
    <x v="1"/>
    <s v="Mild"/>
    <n v="5"/>
    <x v="1"/>
  </r>
  <r>
    <x v="1011"/>
    <n v="58"/>
    <x v="1"/>
    <x v="3"/>
    <x v="890"/>
    <n v="2.46"/>
    <n v="2.78"/>
    <x v="0"/>
    <x v="1"/>
    <s v="None"/>
    <n v="10"/>
    <x v="0"/>
  </r>
  <r>
    <x v="1012"/>
    <n v="52"/>
    <x v="0"/>
    <x v="0"/>
    <x v="871"/>
    <n v="13.07"/>
    <n v="8.73"/>
    <x v="3"/>
    <x v="0"/>
    <s v="Moderate"/>
    <n v="7"/>
    <x v="0"/>
  </r>
  <r>
    <x v="1013"/>
    <n v="18"/>
    <x v="1"/>
    <x v="2"/>
    <x v="891"/>
    <n v="11.85"/>
    <n v="12"/>
    <x v="2"/>
    <x v="2"/>
    <s v="None"/>
    <n v="11"/>
    <x v="0"/>
  </r>
  <r>
    <x v="1014"/>
    <n v="38"/>
    <x v="1"/>
    <x v="3"/>
    <x v="402"/>
    <n v="15.47"/>
    <n v="8.5500000000000007"/>
    <x v="3"/>
    <x v="0"/>
    <s v="Severe"/>
    <n v="3"/>
    <x v="0"/>
  </r>
  <r>
    <x v="1015"/>
    <n v="65"/>
    <x v="1"/>
    <x v="1"/>
    <x v="283"/>
    <n v="6.18"/>
    <n v="3.15"/>
    <x v="2"/>
    <x v="1"/>
    <s v="Mild"/>
    <n v="32"/>
    <x v="0"/>
  </r>
  <r>
    <x v="1016"/>
    <n v="72"/>
    <x v="1"/>
    <x v="2"/>
    <x v="892"/>
    <n v="18.39"/>
    <n v="8.6300000000000008"/>
    <x v="3"/>
    <x v="1"/>
    <s v="Moderate"/>
    <n v="9"/>
    <x v="0"/>
  </r>
  <r>
    <x v="1017"/>
    <n v="23"/>
    <x v="1"/>
    <x v="1"/>
    <x v="9"/>
    <n v="25.11"/>
    <n v="10.79"/>
    <x v="0"/>
    <x v="1"/>
    <s v="None"/>
    <n v="24"/>
    <x v="0"/>
  </r>
  <r>
    <x v="1018"/>
    <n v="45"/>
    <x v="0"/>
    <x v="1"/>
    <x v="430"/>
    <n v="8.44"/>
    <n v="15.71"/>
    <x v="0"/>
    <x v="2"/>
    <s v="None"/>
    <n v="22"/>
    <x v="0"/>
  </r>
  <r>
    <x v="1019"/>
    <n v="34"/>
    <x v="1"/>
    <x v="1"/>
    <x v="893"/>
    <n v="4.37"/>
    <n v="18.02"/>
    <x v="3"/>
    <x v="2"/>
    <s v="Mild"/>
    <n v="31"/>
    <x v="0"/>
  </r>
  <r>
    <x v="1020"/>
    <n v="22"/>
    <x v="0"/>
    <x v="2"/>
    <x v="564"/>
    <n v="10.61"/>
    <n v="13.16"/>
    <x v="2"/>
    <x v="2"/>
    <s v="Mild"/>
    <n v="29"/>
    <x v="0"/>
  </r>
  <r>
    <x v="1021"/>
    <n v="48"/>
    <x v="0"/>
    <x v="1"/>
    <x v="705"/>
    <n v="10.24"/>
    <n v="15.78"/>
    <x v="2"/>
    <x v="0"/>
    <s v="None"/>
    <n v="27"/>
    <x v="0"/>
  </r>
  <r>
    <x v="1022"/>
    <n v="22"/>
    <x v="1"/>
    <x v="3"/>
    <x v="894"/>
    <n v="8.8000000000000007"/>
    <n v="4.67"/>
    <x v="2"/>
    <x v="0"/>
    <s v="None"/>
    <n v="29"/>
    <x v="0"/>
  </r>
  <r>
    <x v="1023"/>
    <n v="55"/>
    <x v="1"/>
    <x v="0"/>
    <x v="895"/>
    <n v="15.5"/>
    <n v="14.28"/>
    <x v="3"/>
    <x v="0"/>
    <s v="None"/>
    <n v="13"/>
    <x v="0"/>
  </r>
  <r>
    <x v="1024"/>
    <n v="20"/>
    <x v="1"/>
    <x v="1"/>
    <x v="843"/>
    <n v="7.64"/>
    <n v="17.54"/>
    <x v="3"/>
    <x v="0"/>
    <s v="Mild"/>
    <n v="19"/>
    <x v="0"/>
  </r>
  <r>
    <x v="1025"/>
    <n v="70"/>
    <x v="1"/>
    <x v="3"/>
    <x v="896"/>
    <n v="4.05"/>
    <n v="3.13"/>
    <x v="3"/>
    <x v="0"/>
    <s v="None"/>
    <n v="33"/>
    <x v="0"/>
  </r>
  <r>
    <x v="1026"/>
    <n v="40"/>
    <x v="1"/>
    <x v="3"/>
    <x v="897"/>
    <n v="11.36"/>
    <n v="15.26"/>
    <x v="3"/>
    <x v="1"/>
    <s v="None"/>
    <n v="20"/>
    <x v="0"/>
  </r>
  <r>
    <x v="1027"/>
    <n v="54"/>
    <x v="0"/>
    <x v="1"/>
    <x v="898"/>
    <n v="16.04"/>
    <n v="19.43"/>
    <x v="2"/>
    <x v="0"/>
    <s v="None"/>
    <n v="21"/>
    <x v="1"/>
  </r>
  <r>
    <x v="1028"/>
    <n v="70"/>
    <x v="1"/>
    <x v="2"/>
    <x v="899"/>
    <n v="16.98"/>
    <n v="14.14"/>
    <x v="2"/>
    <x v="1"/>
    <s v="None"/>
    <n v="31"/>
    <x v="0"/>
  </r>
  <r>
    <x v="1029"/>
    <n v="54"/>
    <x v="1"/>
    <x v="1"/>
    <x v="900"/>
    <n v="7.24"/>
    <n v="6.53"/>
    <x v="1"/>
    <x v="1"/>
    <s v="None"/>
    <n v="17"/>
    <x v="0"/>
  </r>
  <r>
    <x v="1030"/>
    <n v="27"/>
    <x v="0"/>
    <x v="3"/>
    <x v="901"/>
    <n v="12.59"/>
    <n v="15.79"/>
    <x v="3"/>
    <x v="2"/>
    <s v="Severe"/>
    <n v="9"/>
    <x v="0"/>
  </r>
  <r>
    <x v="1031"/>
    <n v="27"/>
    <x v="0"/>
    <x v="3"/>
    <x v="902"/>
    <n v="25.43"/>
    <n v="13.91"/>
    <x v="1"/>
    <x v="2"/>
    <s v="None"/>
    <n v="9"/>
    <x v="0"/>
  </r>
  <r>
    <x v="1032"/>
    <n v="36"/>
    <x v="1"/>
    <x v="2"/>
    <x v="903"/>
    <n v="21.31"/>
    <n v="7.27"/>
    <x v="3"/>
    <x v="0"/>
    <s v="Moderate"/>
    <n v="24"/>
    <x v="0"/>
  </r>
  <r>
    <x v="1033"/>
    <n v="34"/>
    <x v="0"/>
    <x v="2"/>
    <x v="904"/>
    <n v="2.2999999999999998"/>
    <n v="39.700000000000003"/>
    <x v="1"/>
    <x v="1"/>
    <s v="None"/>
    <n v="14"/>
    <x v="0"/>
  </r>
  <r>
    <x v="1034"/>
    <n v="38"/>
    <x v="1"/>
    <x v="1"/>
    <x v="905"/>
    <n v="7.7"/>
    <n v="2.35"/>
    <x v="2"/>
    <x v="2"/>
    <s v="None"/>
    <n v="10"/>
    <x v="1"/>
  </r>
  <r>
    <x v="1035"/>
    <n v="31"/>
    <x v="0"/>
    <x v="1"/>
    <x v="906"/>
    <n v="24.32"/>
    <n v="12.21"/>
    <x v="2"/>
    <x v="0"/>
    <s v="None"/>
    <n v="20"/>
    <x v="0"/>
  </r>
  <r>
    <x v="1036"/>
    <n v="26"/>
    <x v="0"/>
    <x v="2"/>
    <x v="907"/>
    <n v="2.2799999999999998"/>
    <n v="1.35"/>
    <x v="1"/>
    <x v="1"/>
    <s v="Mild"/>
    <n v="30"/>
    <x v="1"/>
  </r>
  <r>
    <x v="1037"/>
    <n v="63"/>
    <x v="1"/>
    <x v="3"/>
    <x v="908"/>
    <n v="9.6199999999999992"/>
    <n v="11.28"/>
    <x v="0"/>
    <x v="0"/>
    <s v="Mild"/>
    <n v="20"/>
    <x v="1"/>
  </r>
  <r>
    <x v="1038"/>
    <n v="18"/>
    <x v="0"/>
    <x v="0"/>
    <x v="909"/>
    <n v="6.09"/>
    <n v="7.37"/>
    <x v="3"/>
    <x v="1"/>
    <s v="None"/>
    <n v="33"/>
    <x v="0"/>
  </r>
  <r>
    <x v="1039"/>
    <n v="68"/>
    <x v="0"/>
    <x v="0"/>
    <x v="910"/>
    <n v="12.79"/>
    <n v="17.46"/>
    <x v="1"/>
    <x v="0"/>
    <s v="None"/>
    <n v="19"/>
    <x v="0"/>
  </r>
  <r>
    <x v="1040"/>
    <n v="62"/>
    <x v="0"/>
    <x v="0"/>
    <x v="911"/>
    <n v="1.02"/>
    <n v="8.52"/>
    <x v="1"/>
    <x v="2"/>
    <s v="Moderate"/>
    <n v="25"/>
    <x v="0"/>
  </r>
  <r>
    <x v="1041"/>
    <n v="30"/>
    <x v="0"/>
    <x v="3"/>
    <x v="630"/>
    <n v="22.76"/>
    <n v="14.37"/>
    <x v="0"/>
    <x v="1"/>
    <s v="Severe"/>
    <n v="13"/>
    <x v="0"/>
  </r>
  <r>
    <x v="1042"/>
    <n v="21"/>
    <x v="0"/>
    <x v="1"/>
    <x v="912"/>
    <n v="9.98"/>
    <n v="8.19"/>
    <x v="2"/>
    <x v="1"/>
    <s v="None"/>
    <n v="17"/>
    <x v="0"/>
  </r>
  <r>
    <x v="1043"/>
    <n v="79"/>
    <x v="0"/>
    <x v="2"/>
    <x v="207"/>
    <n v="3.8"/>
    <n v="12.9"/>
    <x v="1"/>
    <x v="1"/>
    <s v="Mild"/>
    <n v="32"/>
    <x v="0"/>
  </r>
  <r>
    <x v="1044"/>
    <n v="18"/>
    <x v="1"/>
    <x v="3"/>
    <x v="913"/>
    <n v="5.38"/>
    <n v="20.97"/>
    <x v="2"/>
    <x v="1"/>
    <s v="None"/>
    <n v="33"/>
    <x v="0"/>
  </r>
  <r>
    <x v="1045"/>
    <n v="66"/>
    <x v="1"/>
    <x v="1"/>
    <x v="914"/>
    <n v="13.12"/>
    <n v="11.33"/>
    <x v="3"/>
    <x v="1"/>
    <s v="None"/>
    <n v="8"/>
    <x v="1"/>
  </r>
  <r>
    <x v="1046"/>
    <n v="57"/>
    <x v="0"/>
    <x v="0"/>
    <x v="915"/>
    <n v="5.0199999999999996"/>
    <n v="6.13"/>
    <x v="0"/>
    <x v="1"/>
    <s v="None"/>
    <n v="14"/>
    <x v="0"/>
  </r>
  <r>
    <x v="1047"/>
    <n v="49"/>
    <x v="1"/>
    <x v="0"/>
    <x v="916"/>
    <n v="30.55"/>
    <n v="7.51"/>
    <x v="2"/>
    <x v="1"/>
    <s v="None"/>
    <n v="25"/>
    <x v="0"/>
  </r>
  <r>
    <x v="1048"/>
    <n v="51"/>
    <x v="1"/>
    <x v="3"/>
    <x v="220"/>
    <n v="9.1"/>
    <n v="1.5"/>
    <x v="1"/>
    <x v="1"/>
    <s v="Moderate"/>
    <n v="5"/>
    <x v="0"/>
  </r>
  <r>
    <x v="1049"/>
    <n v="45"/>
    <x v="1"/>
    <x v="1"/>
    <x v="917"/>
    <n v="26.91"/>
    <n v="16.399999999999999"/>
    <x v="0"/>
    <x v="1"/>
    <s v="None"/>
    <n v="30"/>
    <x v="1"/>
  </r>
  <r>
    <x v="1050"/>
    <n v="48"/>
    <x v="0"/>
    <x v="3"/>
    <x v="918"/>
    <n v="11.38"/>
    <n v="6.65"/>
    <x v="0"/>
    <x v="1"/>
    <s v="Mild"/>
    <n v="17"/>
    <x v="0"/>
  </r>
  <r>
    <x v="1051"/>
    <n v="25"/>
    <x v="1"/>
    <x v="0"/>
    <x v="919"/>
    <n v="16.48"/>
    <n v="10.69"/>
    <x v="0"/>
    <x v="0"/>
    <s v="Moderate"/>
    <n v="15"/>
    <x v="0"/>
  </r>
  <r>
    <x v="1052"/>
    <n v="56"/>
    <x v="0"/>
    <x v="0"/>
    <x v="920"/>
    <n v="15.79"/>
    <n v="1.19"/>
    <x v="0"/>
    <x v="0"/>
    <s v="None"/>
    <n v="21"/>
    <x v="0"/>
  </r>
  <r>
    <x v="1053"/>
    <n v="43"/>
    <x v="1"/>
    <x v="1"/>
    <x v="327"/>
    <n v="6.75"/>
    <n v="8.9499999999999993"/>
    <x v="0"/>
    <x v="1"/>
    <s v="None"/>
    <n v="20"/>
    <x v="0"/>
  </r>
  <r>
    <x v="1054"/>
    <n v="75"/>
    <x v="0"/>
    <x v="1"/>
    <x v="921"/>
    <n v="16.63"/>
    <n v="20.170000000000002"/>
    <x v="3"/>
    <x v="0"/>
    <s v="Mild"/>
    <n v="33"/>
    <x v="0"/>
  </r>
  <r>
    <x v="1055"/>
    <n v="51"/>
    <x v="0"/>
    <x v="0"/>
    <x v="922"/>
    <n v="7.25"/>
    <n v="11.47"/>
    <x v="3"/>
    <x v="2"/>
    <s v="None"/>
    <n v="23"/>
    <x v="0"/>
  </r>
  <r>
    <x v="1056"/>
    <n v="71"/>
    <x v="1"/>
    <x v="3"/>
    <x v="138"/>
    <n v="2.06"/>
    <n v="41.06"/>
    <x v="0"/>
    <x v="2"/>
    <s v="None"/>
    <n v="7"/>
    <x v="0"/>
  </r>
  <r>
    <x v="1057"/>
    <n v="71"/>
    <x v="1"/>
    <x v="3"/>
    <x v="923"/>
    <n v="8.48"/>
    <n v="6.61"/>
    <x v="1"/>
    <x v="1"/>
    <s v="None"/>
    <n v="19"/>
    <x v="1"/>
  </r>
  <r>
    <x v="1058"/>
    <n v="20"/>
    <x v="0"/>
    <x v="0"/>
    <x v="689"/>
    <n v="3.29"/>
    <n v="11.03"/>
    <x v="1"/>
    <x v="0"/>
    <s v="None"/>
    <n v="21"/>
    <x v="0"/>
  </r>
  <r>
    <x v="1059"/>
    <n v="76"/>
    <x v="1"/>
    <x v="1"/>
    <x v="924"/>
    <n v="7.05"/>
    <n v="9.7100000000000009"/>
    <x v="3"/>
    <x v="1"/>
    <s v="Moderate"/>
    <n v="6"/>
    <x v="0"/>
  </r>
  <r>
    <x v="1060"/>
    <n v="67"/>
    <x v="1"/>
    <x v="2"/>
    <x v="925"/>
    <n v="9.73"/>
    <n v="16.54"/>
    <x v="2"/>
    <x v="1"/>
    <s v="Mild"/>
    <n v="28"/>
    <x v="0"/>
  </r>
  <r>
    <x v="1061"/>
    <n v="29"/>
    <x v="1"/>
    <x v="1"/>
    <x v="926"/>
    <n v="4.49"/>
    <n v="9.43"/>
    <x v="0"/>
    <x v="1"/>
    <s v="None"/>
    <n v="26"/>
    <x v="0"/>
  </r>
  <r>
    <x v="1062"/>
    <n v="18"/>
    <x v="0"/>
    <x v="3"/>
    <x v="927"/>
    <n v="14.98"/>
    <n v="6.29"/>
    <x v="1"/>
    <x v="1"/>
    <s v="None"/>
    <n v="21"/>
    <x v="1"/>
  </r>
  <r>
    <x v="1063"/>
    <n v="71"/>
    <x v="0"/>
    <x v="0"/>
    <x v="928"/>
    <n v="7.18"/>
    <n v="10.43"/>
    <x v="3"/>
    <x v="0"/>
    <s v="Severe"/>
    <n v="32"/>
    <x v="0"/>
  </r>
  <r>
    <x v="1064"/>
    <n v="61"/>
    <x v="1"/>
    <x v="3"/>
    <x v="929"/>
    <n v="3.2"/>
    <n v="11.58"/>
    <x v="3"/>
    <x v="0"/>
    <s v="None"/>
    <n v="28"/>
    <x v="0"/>
  </r>
  <r>
    <x v="1065"/>
    <n v="22"/>
    <x v="1"/>
    <x v="0"/>
    <x v="930"/>
    <n v="4.5599999999999996"/>
    <n v="15.02"/>
    <x v="2"/>
    <x v="0"/>
    <s v="None"/>
    <n v="13"/>
    <x v="1"/>
  </r>
  <r>
    <x v="1066"/>
    <n v="47"/>
    <x v="1"/>
    <x v="3"/>
    <x v="931"/>
    <n v="10.86"/>
    <n v="11.61"/>
    <x v="2"/>
    <x v="1"/>
    <s v="Severe"/>
    <n v="5"/>
    <x v="0"/>
  </r>
  <r>
    <x v="1067"/>
    <n v="47"/>
    <x v="0"/>
    <x v="1"/>
    <x v="932"/>
    <n v="8.19"/>
    <n v="25.55"/>
    <x v="1"/>
    <x v="1"/>
    <s v="Severe"/>
    <n v="24"/>
    <x v="0"/>
  </r>
  <r>
    <x v="1068"/>
    <n v="76"/>
    <x v="0"/>
    <x v="1"/>
    <x v="412"/>
    <n v="12.44"/>
    <n v="33.75"/>
    <x v="2"/>
    <x v="1"/>
    <s v="None"/>
    <n v="19"/>
    <x v="0"/>
  </r>
  <r>
    <x v="1069"/>
    <n v="74"/>
    <x v="1"/>
    <x v="3"/>
    <x v="191"/>
    <n v="10.92"/>
    <n v="6.83"/>
    <x v="2"/>
    <x v="1"/>
    <s v="None"/>
    <n v="13"/>
    <x v="0"/>
  </r>
  <r>
    <x v="1070"/>
    <n v="34"/>
    <x v="1"/>
    <x v="3"/>
    <x v="933"/>
    <n v="4.18"/>
    <n v="17.649999999999999"/>
    <x v="0"/>
    <x v="2"/>
    <s v="None"/>
    <n v="29"/>
    <x v="1"/>
  </r>
  <r>
    <x v="1071"/>
    <n v="65"/>
    <x v="1"/>
    <x v="1"/>
    <x v="934"/>
    <n v="5.97"/>
    <n v="15.14"/>
    <x v="3"/>
    <x v="0"/>
    <s v="None"/>
    <n v="31"/>
    <x v="0"/>
  </r>
  <r>
    <x v="1072"/>
    <n v="64"/>
    <x v="1"/>
    <x v="3"/>
    <x v="783"/>
    <n v="18.28"/>
    <n v="1.6"/>
    <x v="3"/>
    <x v="2"/>
    <s v="Mild"/>
    <n v="14"/>
    <x v="0"/>
  </r>
  <r>
    <x v="1073"/>
    <n v="40"/>
    <x v="1"/>
    <x v="3"/>
    <x v="842"/>
    <n v="4.8499999999999996"/>
    <n v="22.38"/>
    <x v="2"/>
    <x v="0"/>
    <s v="None"/>
    <n v="15"/>
    <x v="0"/>
  </r>
  <r>
    <x v="1074"/>
    <n v="32"/>
    <x v="1"/>
    <x v="2"/>
    <x v="405"/>
    <n v="27.34"/>
    <n v="5.18"/>
    <x v="3"/>
    <x v="1"/>
    <s v="None"/>
    <n v="13"/>
    <x v="1"/>
  </r>
  <r>
    <x v="1075"/>
    <n v="54"/>
    <x v="0"/>
    <x v="2"/>
    <x v="935"/>
    <n v="2.54"/>
    <n v="4.97"/>
    <x v="3"/>
    <x v="1"/>
    <s v="None"/>
    <n v="33"/>
    <x v="0"/>
  </r>
  <r>
    <x v="1076"/>
    <n v="38"/>
    <x v="1"/>
    <x v="2"/>
    <x v="936"/>
    <n v="17.87"/>
    <n v="11.37"/>
    <x v="1"/>
    <x v="0"/>
    <s v="Severe"/>
    <n v="13"/>
    <x v="0"/>
  </r>
  <r>
    <x v="1077"/>
    <n v="31"/>
    <x v="0"/>
    <x v="1"/>
    <x v="937"/>
    <n v="9.2200000000000006"/>
    <n v="14.6"/>
    <x v="3"/>
    <x v="1"/>
    <s v="None"/>
    <n v="4"/>
    <x v="0"/>
  </r>
  <r>
    <x v="1078"/>
    <n v="19"/>
    <x v="1"/>
    <x v="1"/>
    <x v="938"/>
    <n v="4.2"/>
    <n v="14.31"/>
    <x v="2"/>
    <x v="2"/>
    <s v="None"/>
    <n v="25"/>
    <x v="1"/>
  </r>
  <r>
    <x v="1079"/>
    <n v="28"/>
    <x v="1"/>
    <x v="2"/>
    <x v="939"/>
    <n v="10.63"/>
    <n v="10.32"/>
    <x v="1"/>
    <x v="0"/>
    <s v="Severe"/>
    <n v="16"/>
    <x v="0"/>
  </r>
  <r>
    <x v="1080"/>
    <n v="68"/>
    <x v="0"/>
    <x v="3"/>
    <x v="575"/>
    <n v="4.99"/>
    <n v="9.7200000000000006"/>
    <x v="3"/>
    <x v="1"/>
    <s v="None"/>
    <n v="29"/>
    <x v="0"/>
  </r>
  <r>
    <x v="1081"/>
    <n v="56"/>
    <x v="0"/>
    <x v="1"/>
    <x v="940"/>
    <n v="6.3"/>
    <n v="9.6199999999999992"/>
    <x v="3"/>
    <x v="0"/>
    <s v="None"/>
    <n v="14"/>
    <x v="0"/>
  </r>
  <r>
    <x v="1082"/>
    <n v="55"/>
    <x v="0"/>
    <x v="0"/>
    <x v="941"/>
    <n v="7.33"/>
    <n v="9.84"/>
    <x v="1"/>
    <x v="2"/>
    <s v="None"/>
    <n v="31"/>
    <x v="0"/>
  </r>
  <r>
    <x v="1083"/>
    <n v="77"/>
    <x v="0"/>
    <x v="2"/>
    <x v="942"/>
    <n v="16.899999999999999"/>
    <n v="12.2"/>
    <x v="1"/>
    <x v="1"/>
    <s v="None"/>
    <n v="8"/>
    <x v="1"/>
  </r>
  <r>
    <x v="1084"/>
    <n v="51"/>
    <x v="1"/>
    <x v="3"/>
    <x v="943"/>
    <n v="5.89"/>
    <n v="18.05"/>
    <x v="3"/>
    <x v="0"/>
    <s v="None"/>
    <n v="25"/>
    <x v="0"/>
  </r>
  <r>
    <x v="1085"/>
    <n v="55"/>
    <x v="0"/>
    <x v="1"/>
    <x v="944"/>
    <n v="11.89"/>
    <n v="16.22"/>
    <x v="0"/>
    <x v="1"/>
    <s v="None"/>
    <n v="12"/>
    <x v="0"/>
  </r>
  <r>
    <x v="1086"/>
    <n v="67"/>
    <x v="1"/>
    <x v="2"/>
    <x v="945"/>
    <n v="17.36"/>
    <n v="17.2"/>
    <x v="0"/>
    <x v="0"/>
    <s v="None"/>
    <n v="14"/>
    <x v="1"/>
  </r>
  <r>
    <x v="1087"/>
    <n v="51"/>
    <x v="0"/>
    <x v="3"/>
    <x v="946"/>
    <n v="10.41"/>
    <n v="13.46"/>
    <x v="3"/>
    <x v="1"/>
    <s v="None"/>
    <n v="34"/>
    <x v="0"/>
  </r>
  <r>
    <x v="1088"/>
    <n v="35"/>
    <x v="1"/>
    <x v="2"/>
    <x v="947"/>
    <n v="13.25"/>
    <n v="15.08"/>
    <x v="3"/>
    <x v="1"/>
    <s v="None"/>
    <n v="28"/>
    <x v="0"/>
  </r>
  <r>
    <x v="1089"/>
    <n v="47"/>
    <x v="1"/>
    <x v="2"/>
    <x v="948"/>
    <n v="9.69"/>
    <n v="11.33"/>
    <x v="1"/>
    <x v="0"/>
    <s v="None"/>
    <n v="9"/>
    <x v="0"/>
  </r>
  <r>
    <x v="1090"/>
    <n v="32"/>
    <x v="1"/>
    <x v="0"/>
    <x v="949"/>
    <n v="14.76"/>
    <n v="15.26"/>
    <x v="1"/>
    <x v="1"/>
    <s v="None"/>
    <n v="34"/>
    <x v="0"/>
  </r>
  <r>
    <x v="1091"/>
    <n v="44"/>
    <x v="1"/>
    <x v="3"/>
    <x v="950"/>
    <n v="3.11"/>
    <n v="12.15"/>
    <x v="3"/>
    <x v="0"/>
    <s v="None"/>
    <n v="35"/>
    <x v="0"/>
  </r>
  <r>
    <x v="1092"/>
    <n v="68"/>
    <x v="1"/>
    <x v="1"/>
    <x v="197"/>
    <n v="25.72"/>
    <n v="1.64"/>
    <x v="3"/>
    <x v="2"/>
    <s v="Moderate"/>
    <n v="20"/>
    <x v="0"/>
  </r>
  <r>
    <x v="1093"/>
    <n v="51"/>
    <x v="1"/>
    <x v="2"/>
    <x v="951"/>
    <n v="5.58"/>
    <n v="3.04"/>
    <x v="3"/>
    <x v="1"/>
    <s v="None"/>
    <n v="22"/>
    <x v="0"/>
  </r>
  <r>
    <x v="1094"/>
    <n v="69"/>
    <x v="0"/>
    <x v="2"/>
    <x v="569"/>
    <n v="9.2899999999999991"/>
    <n v="10.08"/>
    <x v="3"/>
    <x v="0"/>
    <s v="None"/>
    <n v="33"/>
    <x v="1"/>
  </r>
  <r>
    <x v="1095"/>
    <n v="74"/>
    <x v="1"/>
    <x v="2"/>
    <x v="29"/>
    <n v="1.41"/>
    <n v="3.58"/>
    <x v="0"/>
    <x v="0"/>
    <s v="Mild"/>
    <n v="7"/>
    <x v="0"/>
  </r>
  <r>
    <x v="1096"/>
    <n v="55"/>
    <x v="0"/>
    <x v="1"/>
    <x v="665"/>
    <n v="6.56"/>
    <n v="11.03"/>
    <x v="1"/>
    <x v="1"/>
    <s v="None"/>
    <n v="34"/>
    <x v="0"/>
  </r>
  <r>
    <x v="1097"/>
    <n v="50"/>
    <x v="0"/>
    <x v="1"/>
    <x v="952"/>
    <n v="12.26"/>
    <n v="13.95"/>
    <x v="2"/>
    <x v="0"/>
    <s v="Mild"/>
    <n v="21"/>
    <x v="1"/>
  </r>
  <r>
    <x v="1098"/>
    <n v="41"/>
    <x v="1"/>
    <x v="0"/>
    <x v="774"/>
    <n v="28.08"/>
    <n v="14.7"/>
    <x v="3"/>
    <x v="0"/>
    <s v="Mild"/>
    <n v="3"/>
    <x v="1"/>
  </r>
  <r>
    <x v="1099"/>
    <n v="32"/>
    <x v="0"/>
    <x v="2"/>
    <x v="160"/>
    <n v="15.24"/>
    <n v="9.92"/>
    <x v="3"/>
    <x v="0"/>
    <s v="Mild"/>
    <n v="9"/>
    <x v="0"/>
  </r>
  <r>
    <x v="1100"/>
    <n v="77"/>
    <x v="1"/>
    <x v="0"/>
    <x v="953"/>
    <n v="6.99"/>
    <n v="14.04"/>
    <x v="3"/>
    <x v="2"/>
    <s v="Mild"/>
    <n v="24"/>
    <x v="1"/>
  </r>
  <r>
    <x v="1101"/>
    <n v="47"/>
    <x v="0"/>
    <x v="2"/>
    <x v="334"/>
    <n v="2.3199999999999998"/>
    <n v="17.600000000000001"/>
    <x v="2"/>
    <x v="0"/>
    <s v="None"/>
    <n v="12"/>
    <x v="0"/>
  </r>
  <r>
    <x v="1102"/>
    <n v="72"/>
    <x v="1"/>
    <x v="3"/>
    <x v="954"/>
    <n v="23.76"/>
    <n v="18.690000000000001"/>
    <x v="1"/>
    <x v="2"/>
    <s v="Mild"/>
    <n v="28"/>
    <x v="0"/>
  </r>
  <r>
    <x v="1103"/>
    <n v="59"/>
    <x v="0"/>
    <x v="2"/>
    <x v="955"/>
    <n v="6.72"/>
    <n v="17.96"/>
    <x v="1"/>
    <x v="0"/>
    <s v="None"/>
    <n v="34"/>
    <x v="0"/>
  </r>
  <r>
    <x v="1104"/>
    <n v="68"/>
    <x v="1"/>
    <x v="0"/>
    <x v="956"/>
    <n v="12.23"/>
    <n v="12.26"/>
    <x v="3"/>
    <x v="1"/>
    <s v="None"/>
    <n v="29"/>
    <x v="1"/>
  </r>
  <r>
    <x v="1105"/>
    <n v="34"/>
    <x v="1"/>
    <x v="3"/>
    <x v="957"/>
    <n v="7.01"/>
    <n v="5.65"/>
    <x v="3"/>
    <x v="0"/>
    <s v="Moderate"/>
    <n v="14"/>
    <x v="0"/>
  </r>
  <r>
    <x v="1106"/>
    <n v="22"/>
    <x v="1"/>
    <x v="2"/>
    <x v="958"/>
    <n v="13.36"/>
    <n v="2.95"/>
    <x v="1"/>
    <x v="1"/>
    <s v="None"/>
    <n v="25"/>
    <x v="0"/>
  </r>
  <r>
    <x v="1107"/>
    <n v="46"/>
    <x v="1"/>
    <x v="1"/>
    <x v="729"/>
    <n v="23.05"/>
    <n v="9.91"/>
    <x v="2"/>
    <x v="0"/>
    <s v="Severe"/>
    <n v="16"/>
    <x v="0"/>
  </r>
  <r>
    <x v="1108"/>
    <n v="21"/>
    <x v="0"/>
    <x v="3"/>
    <x v="959"/>
    <n v="16.760000000000002"/>
    <n v="9.2799999999999994"/>
    <x v="3"/>
    <x v="0"/>
    <s v="None"/>
    <n v="19"/>
    <x v="0"/>
  </r>
  <r>
    <x v="1109"/>
    <n v="27"/>
    <x v="1"/>
    <x v="2"/>
    <x v="960"/>
    <n v="8.07"/>
    <n v="17.73"/>
    <x v="2"/>
    <x v="0"/>
    <s v="None"/>
    <n v="8"/>
    <x v="1"/>
  </r>
  <r>
    <x v="1110"/>
    <n v="73"/>
    <x v="0"/>
    <x v="1"/>
    <x v="244"/>
    <n v="24.14"/>
    <n v="6.37"/>
    <x v="2"/>
    <x v="1"/>
    <s v="None"/>
    <n v="29"/>
    <x v="1"/>
  </r>
  <r>
    <x v="1111"/>
    <n v="34"/>
    <x v="0"/>
    <x v="1"/>
    <x v="961"/>
    <n v="32.229999999999997"/>
    <n v="12.57"/>
    <x v="1"/>
    <x v="0"/>
    <s v="Mild"/>
    <n v="10"/>
    <x v="0"/>
  </r>
  <r>
    <x v="1112"/>
    <n v="27"/>
    <x v="0"/>
    <x v="1"/>
    <x v="962"/>
    <n v="19.8"/>
    <n v="1.63"/>
    <x v="3"/>
    <x v="1"/>
    <s v="None"/>
    <n v="35"/>
    <x v="1"/>
  </r>
  <r>
    <x v="1113"/>
    <n v="34"/>
    <x v="1"/>
    <x v="1"/>
    <x v="963"/>
    <n v="7.19"/>
    <n v="9.41"/>
    <x v="0"/>
    <x v="0"/>
    <s v="None"/>
    <n v="19"/>
    <x v="0"/>
  </r>
  <r>
    <x v="1114"/>
    <n v="77"/>
    <x v="0"/>
    <x v="1"/>
    <x v="964"/>
    <n v="17.899999999999999"/>
    <n v="9.5500000000000007"/>
    <x v="1"/>
    <x v="0"/>
    <s v="None"/>
    <n v="28"/>
    <x v="0"/>
  </r>
  <r>
    <x v="1115"/>
    <n v="37"/>
    <x v="0"/>
    <x v="3"/>
    <x v="965"/>
    <n v="19.66"/>
    <n v="6.23"/>
    <x v="1"/>
    <x v="2"/>
    <s v="Mild"/>
    <n v="9"/>
    <x v="0"/>
  </r>
  <r>
    <x v="1116"/>
    <n v="41"/>
    <x v="0"/>
    <x v="0"/>
    <x v="966"/>
    <n v="8.19"/>
    <n v="2.04"/>
    <x v="0"/>
    <x v="1"/>
    <s v="None"/>
    <n v="26"/>
    <x v="0"/>
  </r>
  <r>
    <x v="1117"/>
    <n v="22"/>
    <x v="1"/>
    <x v="3"/>
    <x v="967"/>
    <n v="32.229999999999997"/>
    <n v="6"/>
    <x v="3"/>
    <x v="0"/>
    <s v="Moderate"/>
    <n v="27"/>
    <x v="0"/>
  </r>
  <r>
    <x v="1118"/>
    <n v="51"/>
    <x v="1"/>
    <x v="1"/>
    <x v="968"/>
    <n v="22.35"/>
    <n v="25.88"/>
    <x v="2"/>
    <x v="0"/>
    <s v="None"/>
    <n v="28"/>
    <x v="0"/>
  </r>
  <r>
    <x v="1119"/>
    <n v="23"/>
    <x v="0"/>
    <x v="1"/>
    <x v="969"/>
    <n v="8.52"/>
    <n v="5.91"/>
    <x v="2"/>
    <x v="2"/>
    <s v="None"/>
    <n v="7"/>
    <x v="0"/>
  </r>
  <r>
    <x v="1120"/>
    <n v="70"/>
    <x v="1"/>
    <x v="2"/>
    <x v="919"/>
    <n v="7.18"/>
    <n v="32.840000000000003"/>
    <x v="2"/>
    <x v="0"/>
    <s v="None"/>
    <n v="32"/>
    <x v="0"/>
  </r>
  <r>
    <x v="1121"/>
    <n v="19"/>
    <x v="1"/>
    <x v="3"/>
    <x v="61"/>
    <n v="19.36"/>
    <n v="6.7"/>
    <x v="3"/>
    <x v="1"/>
    <s v="Severe"/>
    <n v="27"/>
    <x v="1"/>
  </r>
  <r>
    <x v="1122"/>
    <n v="30"/>
    <x v="0"/>
    <x v="0"/>
    <x v="684"/>
    <n v="38.020000000000003"/>
    <n v="2.79"/>
    <x v="1"/>
    <x v="1"/>
    <s v="None"/>
    <n v="26"/>
    <x v="1"/>
  </r>
  <r>
    <x v="1123"/>
    <n v="79"/>
    <x v="0"/>
    <x v="2"/>
    <x v="970"/>
    <n v="3.33"/>
    <n v="6.12"/>
    <x v="1"/>
    <x v="0"/>
    <s v="None"/>
    <n v="32"/>
    <x v="1"/>
  </r>
  <r>
    <x v="1124"/>
    <n v="60"/>
    <x v="1"/>
    <x v="2"/>
    <x v="971"/>
    <n v="13.83"/>
    <n v="6.2"/>
    <x v="1"/>
    <x v="0"/>
    <s v="Mild"/>
    <n v="22"/>
    <x v="1"/>
  </r>
  <r>
    <x v="1125"/>
    <n v="60"/>
    <x v="0"/>
    <x v="1"/>
    <x v="848"/>
    <n v="17.670000000000002"/>
    <n v="3.42"/>
    <x v="1"/>
    <x v="2"/>
    <s v="None"/>
    <n v="5"/>
    <x v="0"/>
  </r>
  <r>
    <x v="1126"/>
    <n v="65"/>
    <x v="1"/>
    <x v="2"/>
    <x v="596"/>
    <n v="22.9"/>
    <n v="8.4"/>
    <x v="1"/>
    <x v="1"/>
    <s v="Mild"/>
    <n v="34"/>
    <x v="0"/>
  </r>
  <r>
    <x v="1127"/>
    <n v="28"/>
    <x v="1"/>
    <x v="1"/>
    <x v="972"/>
    <n v="17.79"/>
    <n v="4.34"/>
    <x v="0"/>
    <x v="2"/>
    <s v="None"/>
    <n v="10"/>
    <x v="0"/>
  </r>
  <r>
    <x v="1128"/>
    <n v="68"/>
    <x v="1"/>
    <x v="0"/>
    <x v="973"/>
    <n v="6.8"/>
    <n v="9.86"/>
    <x v="2"/>
    <x v="1"/>
    <s v="None"/>
    <n v="25"/>
    <x v="0"/>
  </r>
  <r>
    <x v="1129"/>
    <n v="64"/>
    <x v="1"/>
    <x v="2"/>
    <x v="176"/>
    <n v="2.97"/>
    <n v="5.86"/>
    <x v="2"/>
    <x v="2"/>
    <s v="None"/>
    <n v="18"/>
    <x v="0"/>
  </r>
  <r>
    <x v="1130"/>
    <n v="74"/>
    <x v="1"/>
    <x v="1"/>
    <x v="248"/>
    <n v="7.84"/>
    <n v="25.32"/>
    <x v="3"/>
    <x v="2"/>
    <s v="None"/>
    <n v="27"/>
    <x v="1"/>
  </r>
  <r>
    <x v="1131"/>
    <n v="40"/>
    <x v="1"/>
    <x v="1"/>
    <x v="974"/>
    <n v="17.38"/>
    <n v="27.32"/>
    <x v="0"/>
    <x v="0"/>
    <s v="Mild"/>
    <n v="17"/>
    <x v="0"/>
  </r>
  <r>
    <x v="1132"/>
    <n v="72"/>
    <x v="0"/>
    <x v="1"/>
    <x v="975"/>
    <n v="6.21"/>
    <n v="46.53"/>
    <x v="1"/>
    <x v="0"/>
    <s v="Mild"/>
    <n v="10"/>
    <x v="0"/>
  </r>
  <r>
    <x v="1133"/>
    <n v="33"/>
    <x v="0"/>
    <x v="2"/>
    <x v="976"/>
    <n v="25.36"/>
    <n v="13.31"/>
    <x v="1"/>
    <x v="1"/>
    <s v="None"/>
    <n v="27"/>
    <x v="0"/>
  </r>
  <r>
    <x v="1134"/>
    <n v="48"/>
    <x v="1"/>
    <x v="1"/>
    <x v="402"/>
    <n v="9.06"/>
    <n v="14.82"/>
    <x v="1"/>
    <x v="1"/>
    <s v="Moderate"/>
    <n v="21"/>
    <x v="1"/>
  </r>
  <r>
    <x v="1135"/>
    <n v="28"/>
    <x v="1"/>
    <x v="3"/>
    <x v="977"/>
    <n v="5.88"/>
    <n v="11.03"/>
    <x v="0"/>
    <x v="1"/>
    <s v="None"/>
    <n v="15"/>
    <x v="0"/>
  </r>
  <r>
    <x v="1136"/>
    <n v="71"/>
    <x v="1"/>
    <x v="1"/>
    <x v="605"/>
    <n v="14.95"/>
    <n v="6.29"/>
    <x v="3"/>
    <x v="1"/>
    <s v="None"/>
    <n v="14"/>
    <x v="0"/>
  </r>
  <r>
    <x v="1137"/>
    <n v="33"/>
    <x v="0"/>
    <x v="2"/>
    <x v="978"/>
    <n v="8.35"/>
    <n v="11.66"/>
    <x v="0"/>
    <x v="0"/>
    <s v="Mild"/>
    <n v="17"/>
    <x v="0"/>
  </r>
  <r>
    <x v="1138"/>
    <n v="25"/>
    <x v="1"/>
    <x v="0"/>
    <x v="979"/>
    <n v="7.02"/>
    <n v="17.98"/>
    <x v="3"/>
    <x v="1"/>
    <s v="Mild"/>
    <n v="25"/>
    <x v="1"/>
  </r>
  <r>
    <x v="1139"/>
    <n v="21"/>
    <x v="0"/>
    <x v="2"/>
    <x v="980"/>
    <n v="35.020000000000003"/>
    <n v="15.97"/>
    <x v="2"/>
    <x v="2"/>
    <s v="None"/>
    <n v="4"/>
    <x v="0"/>
  </r>
  <r>
    <x v="1140"/>
    <n v="57"/>
    <x v="1"/>
    <x v="2"/>
    <x v="198"/>
    <n v="6.18"/>
    <n v="9.83"/>
    <x v="3"/>
    <x v="1"/>
    <s v="Mild"/>
    <n v="25"/>
    <x v="0"/>
  </r>
  <r>
    <x v="1141"/>
    <n v="21"/>
    <x v="1"/>
    <x v="1"/>
    <x v="981"/>
    <n v="7.62"/>
    <n v="10.79"/>
    <x v="2"/>
    <x v="0"/>
    <s v="None"/>
    <n v="7"/>
    <x v="0"/>
  </r>
  <r>
    <x v="1142"/>
    <n v="73"/>
    <x v="0"/>
    <x v="1"/>
    <x v="982"/>
    <n v="15.11"/>
    <n v="3.73"/>
    <x v="3"/>
    <x v="0"/>
    <s v="Mild"/>
    <n v="12"/>
    <x v="0"/>
  </r>
  <r>
    <x v="1143"/>
    <n v="42"/>
    <x v="0"/>
    <x v="2"/>
    <x v="983"/>
    <n v="25.1"/>
    <n v="10.54"/>
    <x v="2"/>
    <x v="1"/>
    <s v="Moderate"/>
    <n v="29"/>
    <x v="0"/>
  </r>
  <r>
    <x v="1144"/>
    <n v="20"/>
    <x v="1"/>
    <x v="3"/>
    <x v="984"/>
    <n v="14.1"/>
    <n v="4.72"/>
    <x v="2"/>
    <x v="1"/>
    <s v="Mild"/>
    <n v="6"/>
    <x v="0"/>
  </r>
  <r>
    <x v="1145"/>
    <n v="49"/>
    <x v="1"/>
    <x v="3"/>
    <x v="985"/>
    <n v="10.82"/>
    <n v="15.62"/>
    <x v="1"/>
    <x v="1"/>
    <s v="None"/>
    <n v="6"/>
    <x v="0"/>
  </r>
  <r>
    <x v="1146"/>
    <n v="20"/>
    <x v="1"/>
    <x v="1"/>
    <x v="368"/>
    <n v="37.729999999999997"/>
    <n v="15.36"/>
    <x v="3"/>
    <x v="0"/>
    <s v="Mild"/>
    <n v="10"/>
    <x v="0"/>
  </r>
  <r>
    <x v="1147"/>
    <n v="44"/>
    <x v="0"/>
    <x v="1"/>
    <x v="986"/>
    <n v="7.33"/>
    <n v="22.35"/>
    <x v="1"/>
    <x v="0"/>
    <s v="Mild"/>
    <n v="8"/>
    <x v="1"/>
  </r>
  <r>
    <x v="1148"/>
    <n v="46"/>
    <x v="0"/>
    <x v="1"/>
    <x v="987"/>
    <n v="7.36"/>
    <n v="6.42"/>
    <x v="2"/>
    <x v="1"/>
    <s v="None"/>
    <n v="27"/>
    <x v="1"/>
  </r>
  <r>
    <x v="1149"/>
    <n v="49"/>
    <x v="0"/>
    <x v="0"/>
    <x v="988"/>
    <n v="6.25"/>
    <n v="1.39"/>
    <x v="1"/>
    <x v="2"/>
    <s v="None"/>
    <n v="29"/>
    <x v="1"/>
  </r>
  <r>
    <x v="1150"/>
    <n v="67"/>
    <x v="0"/>
    <x v="1"/>
    <x v="989"/>
    <n v="13.48"/>
    <n v="12.06"/>
    <x v="0"/>
    <x v="1"/>
    <s v="Severe"/>
    <n v="22"/>
    <x v="1"/>
  </r>
  <r>
    <x v="1151"/>
    <n v="78"/>
    <x v="0"/>
    <x v="3"/>
    <x v="990"/>
    <n v="4.78"/>
    <n v="14.11"/>
    <x v="1"/>
    <x v="0"/>
    <s v="None"/>
    <n v="29"/>
    <x v="0"/>
  </r>
  <r>
    <x v="1152"/>
    <n v="75"/>
    <x v="0"/>
    <x v="1"/>
    <x v="781"/>
    <n v="3.74"/>
    <n v="13.44"/>
    <x v="3"/>
    <x v="1"/>
    <s v="None"/>
    <n v="9"/>
    <x v="0"/>
  </r>
  <r>
    <x v="1153"/>
    <n v="68"/>
    <x v="1"/>
    <x v="2"/>
    <x v="524"/>
    <n v="7.6"/>
    <n v="2.4700000000000002"/>
    <x v="1"/>
    <x v="0"/>
    <s v="None"/>
    <n v="25"/>
    <x v="0"/>
  </r>
  <r>
    <x v="1154"/>
    <n v="36"/>
    <x v="1"/>
    <x v="1"/>
    <x v="991"/>
    <n v="2.21"/>
    <n v="29.1"/>
    <x v="0"/>
    <x v="2"/>
    <s v="Mild"/>
    <n v="22"/>
    <x v="0"/>
  </r>
  <r>
    <x v="1155"/>
    <n v="38"/>
    <x v="0"/>
    <x v="0"/>
    <x v="992"/>
    <n v="12.23"/>
    <n v="16.12"/>
    <x v="1"/>
    <x v="0"/>
    <s v="Moderate"/>
    <n v="31"/>
    <x v="0"/>
  </r>
  <r>
    <x v="1156"/>
    <n v="22"/>
    <x v="1"/>
    <x v="0"/>
    <x v="993"/>
    <n v="13.5"/>
    <n v="15.84"/>
    <x v="2"/>
    <x v="1"/>
    <s v="Mild"/>
    <n v="7"/>
    <x v="0"/>
  </r>
  <r>
    <x v="1157"/>
    <n v="35"/>
    <x v="1"/>
    <x v="1"/>
    <x v="994"/>
    <n v="15.21"/>
    <n v="16.260000000000002"/>
    <x v="2"/>
    <x v="1"/>
    <s v="None"/>
    <n v="29"/>
    <x v="0"/>
  </r>
  <r>
    <x v="1158"/>
    <n v="45"/>
    <x v="0"/>
    <x v="0"/>
    <x v="585"/>
    <n v="18.440000000000001"/>
    <n v="7.81"/>
    <x v="2"/>
    <x v="2"/>
    <s v="Mild"/>
    <n v="14"/>
    <x v="0"/>
  </r>
  <r>
    <x v="1159"/>
    <n v="59"/>
    <x v="1"/>
    <x v="0"/>
    <x v="995"/>
    <n v="7.77"/>
    <n v="1.43"/>
    <x v="3"/>
    <x v="0"/>
    <s v="Mild"/>
    <n v="19"/>
    <x v="0"/>
  </r>
  <r>
    <x v="1160"/>
    <n v="78"/>
    <x v="0"/>
    <x v="0"/>
    <x v="996"/>
    <n v="23.18"/>
    <n v="13.53"/>
    <x v="1"/>
    <x v="1"/>
    <s v="Mild"/>
    <n v="32"/>
    <x v="0"/>
  </r>
  <r>
    <x v="1161"/>
    <n v="39"/>
    <x v="0"/>
    <x v="0"/>
    <x v="997"/>
    <n v="21.64"/>
    <n v="9.86"/>
    <x v="2"/>
    <x v="0"/>
    <s v="None"/>
    <n v="8"/>
    <x v="1"/>
  </r>
  <r>
    <x v="1162"/>
    <n v="38"/>
    <x v="1"/>
    <x v="1"/>
    <x v="998"/>
    <n v="4.2"/>
    <n v="19.690000000000001"/>
    <x v="1"/>
    <x v="1"/>
    <s v="Mild"/>
    <n v="34"/>
    <x v="0"/>
  </r>
  <r>
    <x v="1163"/>
    <n v="23"/>
    <x v="0"/>
    <x v="3"/>
    <x v="200"/>
    <n v="9.7100000000000009"/>
    <n v="12.68"/>
    <x v="0"/>
    <x v="1"/>
    <s v="None"/>
    <n v="34"/>
    <x v="0"/>
  </r>
  <r>
    <x v="1164"/>
    <n v="18"/>
    <x v="0"/>
    <x v="1"/>
    <x v="999"/>
    <n v="0.81"/>
    <n v="0.49"/>
    <x v="0"/>
    <x v="2"/>
    <s v="None"/>
    <n v="11"/>
    <x v="1"/>
  </r>
  <r>
    <x v="1165"/>
    <n v="22"/>
    <x v="0"/>
    <x v="1"/>
    <x v="1000"/>
    <n v="23.4"/>
    <n v="6"/>
    <x v="3"/>
    <x v="0"/>
    <s v="None"/>
    <n v="24"/>
    <x v="0"/>
  </r>
  <r>
    <x v="1166"/>
    <n v="58"/>
    <x v="0"/>
    <x v="0"/>
    <x v="1001"/>
    <n v="18.22"/>
    <n v="2.98"/>
    <x v="1"/>
    <x v="1"/>
    <s v="Severe"/>
    <n v="12"/>
    <x v="1"/>
  </r>
  <r>
    <x v="1167"/>
    <n v="29"/>
    <x v="0"/>
    <x v="1"/>
    <x v="1002"/>
    <n v="27.07"/>
    <n v="5.64"/>
    <x v="0"/>
    <x v="0"/>
    <s v="None"/>
    <n v="31"/>
    <x v="0"/>
  </r>
  <r>
    <x v="1168"/>
    <n v="43"/>
    <x v="0"/>
    <x v="2"/>
    <x v="1003"/>
    <n v="2.52"/>
    <n v="18.57"/>
    <x v="3"/>
    <x v="2"/>
    <s v="Severe"/>
    <n v="13"/>
    <x v="0"/>
  </r>
  <r>
    <x v="1169"/>
    <n v="63"/>
    <x v="0"/>
    <x v="0"/>
    <x v="1004"/>
    <n v="14.39"/>
    <n v="15.63"/>
    <x v="3"/>
    <x v="1"/>
    <s v="None"/>
    <n v="30"/>
    <x v="0"/>
  </r>
  <r>
    <x v="1170"/>
    <n v="51"/>
    <x v="0"/>
    <x v="0"/>
    <x v="1005"/>
    <n v="6.61"/>
    <n v="4.2699999999999996"/>
    <x v="2"/>
    <x v="0"/>
    <s v="Mild"/>
    <n v="4"/>
    <x v="0"/>
  </r>
  <r>
    <x v="1171"/>
    <n v="66"/>
    <x v="1"/>
    <x v="0"/>
    <x v="1006"/>
    <n v="1.38"/>
    <n v="5.83"/>
    <x v="0"/>
    <x v="0"/>
    <s v="None"/>
    <n v="23"/>
    <x v="0"/>
  </r>
  <r>
    <x v="1172"/>
    <n v="31"/>
    <x v="1"/>
    <x v="1"/>
    <x v="523"/>
    <n v="20.11"/>
    <n v="15.15"/>
    <x v="1"/>
    <x v="1"/>
    <s v="None"/>
    <n v="33"/>
    <x v="0"/>
  </r>
  <r>
    <x v="1173"/>
    <n v="43"/>
    <x v="1"/>
    <x v="1"/>
    <x v="1007"/>
    <n v="3.39"/>
    <n v="17.489999999999998"/>
    <x v="0"/>
    <x v="0"/>
    <s v="Mild"/>
    <n v="19"/>
    <x v="0"/>
  </r>
  <r>
    <x v="1174"/>
    <n v="62"/>
    <x v="0"/>
    <x v="3"/>
    <x v="713"/>
    <n v="13.08"/>
    <n v="11.36"/>
    <x v="0"/>
    <x v="1"/>
    <s v="Mild"/>
    <n v="29"/>
    <x v="0"/>
  </r>
  <r>
    <x v="1175"/>
    <n v="44"/>
    <x v="0"/>
    <x v="1"/>
    <x v="1008"/>
    <n v="6.55"/>
    <n v="6.81"/>
    <x v="1"/>
    <x v="0"/>
    <s v="Mild"/>
    <n v="32"/>
    <x v="0"/>
  </r>
  <r>
    <x v="1176"/>
    <n v="26"/>
    <x v="1"/>
    <x v="1"/>
    <x v="665"/>
    <n v="11.48"/>
    <n v="24.5"/>
    <x v="1"/>
    <x v="2"/>
    <s v="Mild"/>
    <n v="10"/>
    <x v="0"/>
  </r>
  <r>
    <x v="1177"/>
    <n v="43"/>
    <x v="1"/>
    <x v="3"/>
    <x v="1009"/>
    <n v="18.62"/>
    <n v="14.32"/>
    <x v="2"/>
    <x v="1"/>
    <s v="Mild"/>
    <n v="7"/>
    <x v="0"/>
  </r>
  <r>
    <x v="1178"/>
    <n v="74"/>
    <x v="1"/>
    <x v="2"/>
    <x v="1010"/>
    <n v="11.5"/>
    <n v="2.04"/>
    <x v="3"/>
    <x v="2"/>
    <s v="Moderate"/>
    <n v="28"/>
    <x v="0"/>
  </r>
  <r>
    <x v="1179"/>
    <n v="64"/>
    <x v="0"/>
    <x v="3"/>
    <x v="1011"/>
    <n v="4.6900000000000004"/>
    <n v="31.98"/>
    <x v="1"/>
    <x v="0"/>
    <s v="None"/>
    <n v="8"/>
    <x v="0"/>
  </r>
  <r>
    <x v="1180"/>
    <n v="74"/>
    <x v="1"/>
    <x v="1"/>
    <x v="1012"/>
    <n v="35.590000000000003"/>
    <n v="16.399999999999999"/>
    <x v="1"/>
    <x v="1"/>
    <s v="None"/>
    <n v="18"/>
    <x v="0"/>
  </r>
  <r>
    <x v="1181"/>
    <n v="39"/>
    <x v="1"/>
    <x v="2"/>
    <x v="167"/>
    <n v="7.86"/>
    <n v="11"/>
    <x v="0"/>
    <x v="0"/>
    <s v="None"/>
    <n v="3"/>
    <x v="0"/>
  </r>
  <r>
    <x v="1182"/>
    <n v="64"/>
    <x v="0"/>
    <x v="1"/>
    <x v="270"/>
    <n v="5.54"/>
    <n v="9.36"/>
    <x v="1"/>
    <x v="1"/>
    <s v="None"/>
    <n v="11"/>
    <x v="1"/>
  </r>
  <r>
    <x v="1183"/>
    <n v="73"/>
    <x v="1"/>
    <x v="1"/>
    <x v="1013"/>
    <n v="9.48"/>
    <n v="6.34"/>
    <x v="1"/>
    <x v="2"/>
    <s v="Mild"/>
    <n v="23"/>
    <x v="0"/>
  </r>
  <r>
    <x v="1184"/>
    <n v="47"/>
    <x v="0"/>
    <x v="2"/>
    <x v="1014"/>
    <n v="2.58"/>
    <n v="16.579999999999998"/>
    <x v="0"/>
    <x v="0"/>
    <s v="None"/>
    <n v="9"/>
    <x v="0"/>
  </r>
  <r>
    <x v="1185"/>
    <n v="60"/>
    <x v="0"/>
    <x v="2"/>
    <x v="1015"/>
    <n v="5.97"/>
    <n v="5.34"/>
    <x v="0"/>
    <x v="0"/>
    <s v="None"/>
    <n v="17"/>
    <x v="0"/>
  </r>
  <r>
    <x v="1186"/>
    <n v="65"/>
    <x v="0"/>
    <x v="2"/>
    <x v="84"/>
    <n v="8.25"/>
    <n v="3.5"/>
    <x v="0"/>
    <x v="0"/>
    <s v="None"/>
    <n v="26"/>
    <x v="0"/>
  </r>
  <r>
    <x v="1187"/>
    <n v="78"/>
    <x v="1"/>
    <x v="1"/>
    <x v="1016"/>
    <n v="12.19"/>
    <n v="12.19"/>
    <x v="2"/>
    <x v="0"/>
    <s v="Mild"/>
    <n v="7"/>
    <x v="0"/>
  </r>
  <r>
    <x v="1188"/>
    <n v="34"/>
    <x v="1"/>
    <x v="0"/>
    <x v="1017"/>
    <n v="10.5"/>
    <n v="4.8"/>
    <x v="3"/>
    <x v="2"/>
    <s v="None"/>
    <n v="31"/>
    <x v="1"/>
  </r>
  <r>
    <x v="1189"/>
    <n v="43"/>
    <x v="0"/>
    <x v="2"/>
    <x v="1018"/>
    <n v="14.41"/>
    <n v="5.6"/>
    <x v="1"/>
    <x v="0"/>
    <s v="None"/>
    <n v="13"/>
    <x v="1"/>
  </r>
  <r>
    <x v="1190"/>
    <n v="53"/>
    <x v="1"/>
    <x v="3"/>
    <x v="1019"/>
    <n v="9.7799999999999994"/>
    <n v="17.899999999999999"/>
    <x v="0"/>
    <x v="2"/>
    <s v="Mild"/>
    <n v="6"/>
    <x v="1"/>
  </r>
  <r>
    <x v="1191"/>
    <n v="18"/>
    <x v="1"/>
    <x v="2"/>
    <x v="1020"/>
    <n v="21.47"/>
    <n v="14.59"/>
    <x v="0"/>
    <x v="0"/>
    <s v="Mild"/>
    <n v="12"/>
    <x v="0"/>
  </r>
  <r>
    <x v="1192"/>
    <n v="25"/>
    <x v="1"/>
    <x v="0"/>
    <x v="1021"/>
    <n v="16.21"/>
    <n v="5.16"/>
    <x v="3"/>
    <x v="1"/>
    <s v="None"/>
    <n v="6"/>
    <x v="1"/>
  </r>
  <r>
    <x v="1193"/>
    <n v="66"/>
    <x v="1"/>
    <x v="3"/>
    <x v="1022"/>
    <n v="13.62"/>
    <n v="29.88"/>
    <x v="2"/>
    <x v="2"/>
    <s v="Mild"/>
    <n v="12"/>
    <x v="1"/>
  </r>
  <r>
    <x v="1194"/>
    <n v="52"/>
    <x v="0"/>
    <x v="3"/>
    <x v="1023"/>
    <n v="23.9"/>
    <n v="11.19"/>
    <x v="1"/>
    <x v="0"/>
    <s v="None"/>
    <n v="35"/>
    <x v="1"/>
  </r>
  <r>
    <x v="1195"/>
    <n v="78"/>
    <x v="1"/>
    <x v="0"/>
    <x v="1024"/>
    <n v="23.89"/>
    <n v="7.13"/>
    <x v="2"/>
    <x v="0"/>
    <s v="Moderate"/>
    <n v="20"/>
    <x v="0"/>
  </r>
  <r>
    <x v="1196"/>
    <n v="69"/>
    <x v="0"/>
    <x v="2"/>
    <x v="1025"/>
    <n v="11.08"/>
    <n v="6.42"/>
    <x v="2"/>
    <x v="2"/>
    <s v="None"/>
    <n v="14"/>
    <x v="0"/>
  </r>
  <r>
    <x v="1197"/>
    <n v="32"/>
    <x v="0"/>
    <x v="3"/>
    <x v="1026"/>
    <n v="7.56"/>
    <n v="5.26"/>
    <x v="2"/>
    <x v="1"/>
    <s v="Severe"/>
    <n v="25"/>
    <x v="0"/>
  </r>
  <r>
    <x v="1198"/>
    <n v="64"/>
    <x v="1"/>
    <x v="2"/>
    <x v="1027"/>
    <n v="11.86"/>
    <n v="14.69"/>
    <x v="0"/>
    <x v="1"/>
    <s v="Severe"/>
    <n v="27"/>
    <x v="0"/>
  </r>
  <r>
    <x v="1199"/>
    <n v="73"/>
    <x v="0"/>
    <x v="3"/>
    <x v="1028"/>
    <n v="9.15"/>
    <n v="5.82"/>
    <x v="3"/>
    <x v="1"/>
    <s v="Mild"/>
    <n v="6"/>
    <x v="1"/>
  </r>
  <r>
    <x v="1200"/>
    <n v="39"/>
    <x v="1"/>
    <x v="1"/>
    <x v="1029"/>
    <n v="7.32"/>
    <n v="9.5"/>
    <x v="3"/>
    <x v="0"/>
    <s v="None"/>
    <n v="15"/>
    <x v="0"/>
  </r>
  <r>
    <x v="1201"/>
    <n v="31"/>
    <x v="1"/>
    <x v="3"/>
    <x v="1030"/>
    <n v="11.52"/>
    <n v="9.2200000000000006"/>
    <x v="3"/>
    <x v="2"/>
    <s v="None"/>
    <n v="20"/>
    <x v="1"/>
  </r>
  <r>
    <x v="1202"/>
    <n v="43"/>
    <x v="0"/>
    <x v="0"/>
    <x v="1031"/>
    <n v="13.32"/>
    <n v="5.57"/>
    <x v="2"/>
    <x v="2"/>
    <s v="None"/>
    <n v="31"/>
    <x v="0"/>
  </r>
  <r>
    <x v="1203"/>
    <n v="45"/>
    <x v="0"/>
    <x v="0"/>
    <x v="1032"/>
    <n v="15.67"/>
    <n v="5.72"/>
    <x v="1"/>
    <x v="0"/>
    <s v="Moderate"/>
    <n v="32"/>
    <x v="1"/>
  </r>
  <r>
    <x v="1204"/>
    <n v="40"/>
    <x v="0"/>
    <x v="1"/>
    <x v="1033"/>
    <n v="26.47"/>
    <n v="3.49"/>
    <x v="2"/>
    <x v="0"/>
    <s v="Mild"/>
    <n v="30"/>
    <x v="1"/>
  </r>
  <r>
    <x v="1205"/>
    <n v="31"/>
    <x v="0"/>
    <x v="3"/>
    <x v="1034"/>
    <n v="12.36"/>
    <n v="16.93"/>
    <x v="3"/>
    <x v="2"/>
    <s v="Severe"/>
    <n v="9"/>
    <x v="0"/>
  </r>
  <r>
    <x v="1206"/>
    <n v="41"/>
    <x v="1"/>
    <x v="1"/>
    <x v="90"/>
    <n v="9.9499999999999993"/>
    <n v="13.44"/>
    <x v="0"/>
    <x v="0"/>
    <s v="Mild"/>
    <n v="26"/>
    <x v="0"/>
  </r>
  <r>
    <x v="1207"/>
    <n v="19"/>
    <x v="1"/>
    <x v="0"/>
    <x v="57"/>
    <n v="19.77"/>
    <n v="9.18"/>
    <x v="2"/>
    <x v="1"/>
    <s v="None"/>
    <n v="12"/>
    <x v="1"/>
  </r>
  <r>
    <x v="1208"/>
    <n v="62"/>
    <x v="1"/>
    <x v="0"/>
    <x v="1035"/>
    <n v="5.1100000000000003"/>
    <n v="4.95"/>
    <x v="0"/>
    <x v="0"/>
    <s v="None"/>
    <n v="29"/>
    <x v="0"/>
  </r>
  <r>
    <x v="1209"/>
    <n v="43"/>
    <x v="0"/>
    <x v="2"/>
    <x v="1036"/>
    <n v="2.23"/>
    <n v="15.11"/>
    <x v="3"/>
    <x v="2"/>
    <s v="None"/>
    <n v="23"/>
    <x v="0"/>
  </r>
  <r>
    <x v="1210"/>
    <n v="31"/>
    <x v="0"/>
    <x v="0"/>
    <x v="1037"/>
    <n v="14.24"/>
    <n v="13.98"/>
    <x v="2"/>
    <x v="2"/>
    <s v="None"/>
    <n v="31"/>
    <x v="0"/>
  </r>
  <r>
    <x v="1211"/>
    <n v="76"/>
    <x v="0"/>
    <x v="2"/>
    <x v="1038"/>
    <n v="7.84"/>
    <n v="21.46"/>
    <x v="0"/>
    <x v="0"/>
    <s v="Mild"/>
    <n v="9"/>
    <x v="0"/>
  </r>
  <r>
    <x v="1212"/>
    <n v="73"/>
    <x v="1"/>
    <x v="3"/>
    <x v="874"/>
    <n v="8.32"/>
    <n v="15.65"/>
    <x v="2"/>
    <x v="2"/>
    <s v="Moderate"/>
    <n v="15"/>
    <x v="0"/>
  </r>
  <r>
    <x v="1213"/>
    <n v="68"/>
    <x v="0"/>
    <x v="1"/>
    <x v="1039"/>
    <n v="5.01"/>
    <n v="4.8499999999999996"/>
    <x v="3"/>
    <x v="1"/>
    <s v="Mild"/>
    <n v="25"/>
    <x v="0"/>
  </r>
  <r>
    <x v="1214"/>
    <n v="24"/>
    <x v="1"/>
    <x v="3"/>
    <x v="1040"/>
    <n v="22.52"/>
    <n v="6.62"/>
    <x v="1"/>
    <x v="1"/>
    <s v="Moderate"/>
    <n v="27"/>
    <x v="0"/>
  </r>
  <r>
    <x v="1215"/>
    <n v="20"/>
    <x v="0"/>
    <x v="2"/>
    <x v="1041"/>
    <n v="2.33"/>
    <n v="22.14"/>
    <x v="3"/>
    <x v="2"/>
    <s v="Moderate"/>
    <n v="15"/>
    <x v="1"/>
  </r>
  <r>
    <x v="1216"/>
    <n v="64"/>
    <x v="1"/>
    <x v="2"/>
    <x v="1042"/>
    <n v="15.27"/>
    <n v="3.91"/>
    <x v="1"/>
    <x v="1"/>
    <s v="None"/>
    <n v="32"/>
    <x v="0"/>
  </r>
  <r>
    <x v="1217"/>
    <n v="40"/>
    <x v="1"/>
    <x v="3"/>
    <x v="1043"/>
    <n v="10.050000000000001"/>
    <n v="12.53"/>
    <x v="1"/>
    <x v="1"/>
    <s v="None"/>
    <n v="28"/>
    <x v="0"/>
  </r>
  <r>
    <x v="1218"/>
    <n v="63"/>
    <x v="0"/>
    <x v="0"/>
    <x v="1044"/>
    <n v="27.57"/>
    <n v="15.49"/>
    <x v="3"/>
    <x v="1"/>
    <s v="Mild"/>
    <n v="14"/>
    <x v="0"/>
  </r>
  <r>
    <x v="1219"/>
    <n v="60"/>
    <x v="0"/>
    <x v="1"/>
    <x v="1045"/>
    <n v="19.829999999999998"/>
    <n v="15.2"/>
    <x v="0"/>
    <x v="0"/>
    <s v="None"/>
    <n v="3"/>
    <x v="0"/>
  </r>
  <r>
    <x v="1220"/>
    <n v="64"/>
    <x v="1"/>
    <x v="3"/>
    <x v="1046"/>
    <n v="3.89"/>
    <n v="4.04"/>
    <x v="2"/>
    <x v="0"/>
    <s v="None"/>
    <n v="20"/>
    <x v="0"/>
  </r>
  <r>
    <x v="1221"/>
    <n v="77"/>
    <x v="1"/>
    <x v="2"/>
    <x v="1012"/>
    <n v="16.22"/>
    <n v="9.15"/>
    <x v="2"/>
    <x v="1"/>
    <s v="None"/>
    <n v="23"/>
    <x v="0"/>
  </r>
  <r>
    <x v="1222"/>
    <n v="62"/>
    <x v="0"/>
    <x v="2"/>
    <x v="1047"/>
    <n v="13.95"/>
    <n v="4.0199999999999996"/>
    <x v="2"/>
    <x v="2"/>
    <s v="Severe"/>
    <n v="26"/>
    <x v="0"/>
  </r>
  <r>
    <x v="1223"/>
    <n v="35"/>
    <x v="0"/>
    <x v="2"/>
    <x v="1048"/>
    <n v="9.5"/>
    <n v="6.59"/>
    <x v="1"/>
    <x v="2"/>
    <s v="None"/>
    <n v="19"/>
    <x v="0"/>
  </r>
  <r>
    <x v="1224"/>
    <n v="75"/>
    <x v="1"/>
    <x v="1"/>
    <x v="180"/>
    <n v="15.35"/>
    <n v="9.75"/>
    <x v="1"/>
    <x v="1"/>
    <s v="Mild"/>
    <n v="11"/>
    <x v="0"/>
  </r>
  <r>
    <x v="1225"/>
    <n v="55"/>
    <x v="0"/>
    <x v="1"/>
    <x v="1049"/>
    <n v="5.96"/>
    <n v="16.2"/>
    <x v="3"/>
    <x v="1"/>
    <s v="Moderate"/>
    <n v="30"/>
    <x v="1"/>
  </r>
  <r>
    <x v="1226"/>
    <n v="52"/>
    <x v="1"/>
    <x v="2"/>
    <x v="298"/>
    <n v="10.82"/>
    <n v="14.78"/>
    <x v="0"/>
    <x v="0"/>
    <s v="Mild"/>
    <n v="17"/>
    <x v="0"/>
  </r>
  <r>
    <x v="1227"/>
    <n v="68"/>
    <x v="1"/>
    <x v="3"/>
    <x v="1050"/>
    <n v="10.19"/>
    <n v="10.81"/>
    <x v="3"/>
    <x v="0"/>
    <s v="Mild"/>
    <n v="15"/>
    <x v="1"/>
  </r>
  <r>
    <x v="1228"/>
    <n v="32"/>
    <x v="0"/>
    <x v="1"/>
    <x v="1051"/>
    <n v="5.24"/>
    <n v="8.91"/>
    <x v="3"/>
    <x v="1"/>
    <s v="Mild"/>
    <n v="30"/>
    <x v="0"/>
  </r>
  <r>
    <x v="1229"/>
    <n v="42"/>
    <x v="0"/>
    <x v="2"/>
    <x v="1052"/>
    <n v="7.85"/>
    <n v="11"/>
    <x v="0"/>
    <x v="1"/>
    <s v="None"/>
    <n v="19"/>
    <x v="0"/>
  </r>
  <r>
    <x v="1230"/>
    <n v="72"/>
    <x v="0"/>
    <x v="3"/>
    <x v="1053"/>
    <n v="6.83"/>
    <n v="12.16"/>
    <x v="1"/>
    <x v="1"/>
    <s v="None"/>
    <n v="11"/>
    <x v="0"/>
  </r>
  <r>
    <x v="1231"/>
    <n v="54"/>
    <x v="0"/>
    <x v="2"/>
    <x v="1054"/>
    <n v="13.31"/>
    <n v="8.0500000000000007"/>
    <x v="3"/>
    <x v="1"/>
    <s v="Severe"/>
    <n v="23"/>
    <x v="0"/>
  </r>
  <r>
    <x v="1232"/>
    <n v="45"/>
    <x v="0"/>
    <x v="0"/>
    <x v="1055"/>
    <n v="23.41"/>
    <n v="0.53"/>
    <x v="3"/>
    <x v="0"/>
    <s v="None"/>
    <n v="32"/>
    <x v="0"/>
  </r>
  <r>
    <x v="1233"/>
    <n v="27"/>
    <x v="1"/>
    <x v="1"/>
    <x v="1056"/>
    <n v="3.12"/>
    <n v="6.34"/>
    <x v="1"/>
    <x v="0"/>
    <s v="Mild"/>
    <n v="13"/>
    <x v="0"/>
  </r>
  <r>
    <x v="1234"/>
    <n v="56"/>
    <x v="1"/>
    <x v="1"/>
    <x v="519"/>
    <n v="13.6"/>
    <n v="9.74"/>
    <x v="2"/>
    <x v="0"/>
    <s v="None"/>
    <n v="32"/>
    <x v="0"/>
  </r>
  <r>
    <x v="1235"/>
    <n v="74"/>
    <x v="0"/>
    <x v="2"/>
    <x v="1057"/>
    <n v="6.63"/>
    <n v="15.37"/>
    <x v="0"/>
    <x v="0"/>
    <s v="None"/>
    <n v="27"/>
    <x v="0"/>
  </r>
  <r>
    <x v="1236"/>
    <n v="34"/>
    <x v="0"/>
    <x v="2"/>
    <x v="1058"/>
    <n v="18.989999999999998"/>
    <n v="6.77"/>
    <x v="0"/>
    <x v="1"/>
    <s v="Severe"/>
    <n v="9"/>
    <x v="0"/>
  </r>
  <r>
    <x v="1237"/>
    <n v="56"/>
    <x v="0"/>
    <x v="2"/>
    <x v="1059"/>
    <n v="13.49"/>
    <n v="6.09"/>
    <x v="2"/>
    <x v="0"/>
    <s v="Mild"/>
    <n v="22"/>
    <x v="0"/>
  </r>
  <r>
    <x v="1238"/>
    <n v="39"/>
    <x v="1"/>
    <x v="0"/>
    <x v="1060"/>
    <n v="2.42"/>
    <n v="1.22"/>
    <x v="0"/>
    <x v="1"/>
    <s v="None"/>
    <n v="12"/>
    <x v="0"/>
  </r>
  <r>
    <x v="1239"/>
    <n v="43"/>
    <x v="0"/>
    <x v="0"/>
    <x v="1061"/>
    <n v="11.53"/>
    <n v="10.34"/>
    <x v="2"/>
    <x v="0"/>
    <s v="Severe"/>
    <n v="3"/>
    <x v="1"/>
  </r>
  <r>
    <x v="1240"/>
    <n v="79"/>
    <x v="0"/>
    <x v="0"/>
    <x v="1062"/>
    <n v="9.11"/>
    <n v="10.35"/>
    <x v="3"/>
    <x v="0"/>
    <s v="Mild"/>
    <n v="16"/>
    <x v="0"/>
  </r>
  <r>
    <x v="1241"/>
    <n v="61"/>
    <x v="1"/>
    <x v="3"/>
    <x v="1063"/>
    <n v="3.45"/>
    <n v="3.28"/>
    <x v="0"/>
    <x v="0"/>
    <s v="None"/>
    <n v="7"/>
    <x v="0"/>
  </r>
  <r>
    <x v="1242"/>
    <n v="42"/>
    <x v="1"/>
    <x v="3"/>
    <x v="789"/>
    <n v="6.7"/>
    <n v="14.65"/>
    <x v="0"/>
    <x v="0"/>
    <s v="Mild"/>
    <n v="26"/>
    <x v="1"/>
  </r>
  <r>
    <x v="1243"/>
    <n v="34"/>
    <x v="0"/>
    <x v="3"/>
    <x v="536"/>
    <n v="11.15"/>
    <n v="9.6199999999999992"/>
    <x v="3"/>
    <x v="0"/>
    <s v="None"/>
    <n v="6"/>
    <x v="0"/>
  </r>
  <r>
    <x v="1244"/>
    <n v="30"/>
    <x v="0"/>
    <x v="1"/>
    <x v="1064"/>
    <n v="6.86"/>
    <n v="3.88"/>
    <x v="1"/>
    <x v="2"/>
    <s v="Mild"/>
    <n v="29"/>
    <x v="0"/>
  </r>
  <r>
    <x v="1245"/>
    <n v="37"/>
    <x v="0"/>
    <x v="3"/>
    <x v="910"/>
    <n v="20.5"/>
    <n v="7.27"/>
    <x v="1"/>
    <x v="0"/>
    <s v="None"/>
    <n v="7"/>
    <x v="0"/>
  </r>
  <r>
    <x v="1246"/>
    <n v="42"/>
    <x v="1"/>
    <x v="1"/>
    <x v="1065"/>
    <n v="9.0500000000000007"/>
    <n v="8.92"/>
    <x v="3"/>
    <x v="0"/>
    <s v="None"/>
    <n v="15"/>
    <x v="0"/>
  </r>
  <r>
    <x v="1247"/>
    <n v="21"/>
    <x v="0"/>
    <x v="0"/>
    <x v="1066"/>
    <n v="6.31"/>
    <n v="5.09"/>
    <x v="0"/>
    <x v="2"/>
    <s v="Mild"/>
    <n v="23"/>
    <x v="0"/>
  </r>
  <r>
    <x v="1248"/>
    <n v="27"/>
    <x v="0"/>
    <x v="3"/>
    <x v="345"/>
    <n v="11.62"/>
    <n v="20.79"/>
    <x v="0"/>
    <x v="0"/>
    <s v="Moderate"/>
    <n v="34"/>
    <x v="0"/>
  </r>
  <r>
    <x v="1249"/>
    <n v="20"/>
    <x v="0"/>
    <x v="3"/>
    <x v="306"/>
    <n v="12.74"/>
    <n v="5.81"/>
    <x v="0"/>
    <x v="0"/>
    <s v="Mild"/>
    <n v="33"/>
    <x v="0"/>
  </r>
  <r>
    <x v="1250"/>
    <n v="58"/>
    <x v="1"/>
    <x v="3"/>
    <x v="1016"/>
    <n v="19.11"/>
    <n v="2.13"/>
    <x v="2"/>
    <x v="1"/>
    <s v="None"/>
    <n v="34"/>
    <x v="1"/>
  </r>
  <r>
    <x v="1251"/>
    <n v="62"/>
    <x v="1"/>
    <x v="1"/>
    <x v="1067"/>
    <n v="10.5"/>
    <n v="3.55"/>
    <x v="1"/>
    <x v="1"/>
    <s v="Moderate"/>
    <n v="17"/>
    <x v="1"/>
  </r>
  <r>
    <x v="1252"/>
    <n v="35"/>
    <x v="0"/>
    <x v="1"/>
    <x v="1068"/>
    <n v="12.36"/>
    <n v="11.79"/>
    <x v="0"/>
    <x v="0"/>
    <s v="Mild"/>
    <n v="32"/>
    <x v="1"/>
  </r>
  <r>
    <x v="1253"/>
    <n v="64"/>
    <x v="0"/>
    <x v="3"/>
    <x v="1069"/>
    <n v="15.97"/>
    <n v="14.78"/>
    <x v="1"/>
    <x v="0"/>
    <s v="Mild"/>
    <n v="9"/>
    <x v="0"/>
  </r>
  <r>
    <x v="1254"/>
    <n v="53"/>
    <x v="1"/>
    <x v="1"/>
    <x v="1070"/>
    <n v="5.23"/>
    <n v="11.73"/>
    <x v="1"/>
    <x v="1"/>
    <s v="None"/>
    <n v="33"/>
    <x v="0"/>
  </r>
  <r>
    <x v="1255"/>
    <n v="64"/>
    <x v="1"/>
    <x v="2"/>
    <x v="201"/>
    <n v="18.309999999999999"/>
    <n v="14.38"/>
    <x v="0"/>
    <x v="2"/>
    <s v="Moderate"/>
    <n v="28"/>
    <x v="0"/>
  </r>
  <r>
    <x v="1256"/>
    <n v="39"/>
    <x v="1"/>
    <x v="0"/>
    <x v="1071"/>
    <n v="3.54"/>
    <n v="6.71"/>
    <x v="3"/>
    <x v="1"/>
    <s v="Moderate"/>
    <n v="28"/>
    <x v="0"/>
  </r>
  <r>
    <x v="1257"/>
    <n v="51"/>
    <x v="1"/>
    <x v="0"/>
    <x v="1072"/>
    <n v="11.06"/>
    <n v="1.55"/>
    <x v="3"/>
    <x v="0"/>
    <s v="Mild"/>
    <n v="4"/>
    <x v="1"/>
  </r>
  <r>
    <x v="1258"/>
    <n v="64"/>
    <x v="1"/>
    <x v="2"/>
    <x v="1073"/>
    <n v="11.2"/>
    <n v="31.82"/>
    <x v="1"/>
    <x v="1"/>
    <s v="Moderate"/>
    <n v="11"/>
    <x v="1"/>
  </r>
  <r>
    <x v="1259"/>
    <n v="25"/>
    <x v="1"/>
    <x v="1"/>
    <x v="1074"/>
    <n v="11"/>
    <n v="12.16"/>
    <x v="2"/>
    <x v="0"/>
    <s v="None"/>
    <n v="7"/>
    <x v="0"/>
  </r>
  <r>
    <x v="1260"/>
    <n v="57"/>
    <x v="1"/>
    <x v="0"/>
    <x v="292"/>
    <n v="3.25"/>
    <n v="8.02"/>
    <x v="1"/>
    <x v="2"/>
    <s v="Moderate"/>
    <n v="29"/>
    <x v="1"/>
  </r>
  <r>
    <x v="1261"/>
    <n v="66"/>
    <x v="1"/>
    <x v="0"/>
    <x v="846"/>
    <n v="0.47"/>
    <n v="9.76"/>
    <x v="1"/>
    <x v="1"/>
    <s v="None"/>
    <n v="14"/>
    <x v="1"/>
  </r>
  <r>
    <x v="1262"/>
    <n v="61"/>
    <x v="1"/>
    <x v="1"/>
    <x v="1075"/>
    <n v="8.06"/>
    <n v="30.91"/>
    <x v="3"/>
    <x v="1"/>
    <s v="None"/>
    <n v="31"/>
    <x v="0"/>
  </r>
  <r>
    <x v="1263"/>
    <n v="36"/>
    <x v="0"/>
    <x v="2"/>
    <x v="294"/>
    <n v="13.02"/>
    <n v="5.23"/>
    <x v="0"/>
    <x v="0"/>
    <s v="Mild"/>
    <n v="18"/>
    <x v="0"/>
  </r>
  <r>
    <x v="1264"/>
    <n v="59"/>
    <x v="0"/>
    <x v="1"/>
    <x v="1076"/>
    <n v="25.63"/>
    <n v="8.23"/>
    <x v="0"/>
    <x v="0"/>
    <s v="Mild"/>
    <n v="21"/>
    <x v="1"/>
  </r>
  <r>
    <x v="1265"/>
    <n v="58"/>
    <x v="0"/>
    <x v="0"/>
    <x v="1077"/>
    <n v="13.16"/>
    <n v="15.41"/>
    <x v="2"/>
    <x v="0"/>
    <s v="None"/>
    <n v="29"/>
    <x v="0"/>
  </r>
  <r>
    <x v="1266"/>
    <n v="54"/>
    <x v="1"/>
    <x v="0"/>
    <x v="1078"/>
    <n v="3.49"/>
    <n v="9.83"/>
    <x v="3"/>
    <x v="2"/>
    <s v="None"/>
    <n v="20"/>
    <x v="0"/>
  </r>
  <r>
    <x v="1267"/>
    <n v="23"/>
    <x v="0"/>
    <x v="1"/>
    <x v="1079"/>
    <n v="8.42"/>
    <n v="2.17"/>
    <x v="3"/>
    <x v="1"/>
    <s v="None"/>
    <n v="15"/>
    <x v="1"/>
  </r>
  <r>
    <x v="1268"/>
    <n v="69"/>
    <x v="1"/>
    <x v="0"/>
    <x v="1080"/>
    <n v="8.84"/>
    <n v="26.24"/>
    <x v="1"/>
    <x v="0"/>
    <s v="None"/>
    <n v="32"/>
    <x v="0"/>
  </r>
  <r>
    <x v="1269"/>
    <n v="43"/>
    <x v="1"/>
    <x v="2"/>
    <x v="1070"/>
    <n v="23.24"/>
    <n v="26.65"/>
    <x v="3"/>
    <x v="0"/>
    <s v="None"/>
    <n v="28"/>
    <x v="0"/>
  </r>
  <r>
    <x v="1270"/>
    <n v="51"/>
    <x v="0"/>
    <x v="0"/>
    <x v="1081"/>
    <n v="13.42"/>
    <n v="12.54"/>
    <x v="1"/>
    <x v="2"/>
    <s v="None"/>
    <n v="8"/>
    <x v="1"/>
  </r>
  <r>
    <x v="1271"/>
    <n v="76"/>
    <x v="1"/>
    <x v="3"/>
    <x v="1082"/>
    <n v="4.03"/>
    <n v="34.369999999999997"/>
    <x v="2"/>
    <x v="2"/>
    <s v="None"/>
    <n v="5"/>
    <x v="0"/>
  </r>
  <r>
    <x v="1272"/>
    <n v="73"/>
    <x v="0"/>
    <x v="0"/>
    <x v="1083"/>
    <n v="6.4"/>
    <n v="10.29"/>
    <x v="3"/>
    <x v="0"/>
    <s v="Severe"/>
    <n v="25"/>
    <x v="0"/>
  </r>
  <r>
    <x v="1273"/>
    <n v="76"/>
    <x v="0"/>
    <x v="1"/>
    <x v="1084"/>
    <n v="17.07"/>
    <n v="11.54"/>
    <x v="3"/>
    <x v="0"/>
    <s v="Mild"/>
    <n v="14"/>
    <x v="0"/>
  </r>
  <r>
    <x v="1274"/>
    <n v="62"/>
    <x v="0"/>
    <x v="1"/>
    <x v="1085"/>
    <n v="11.71"/>
    <n v="0.88"/>
    <x v="1"/>
    <x v="1"/>
    <s v="None"/>
    <n v="17"/>
    <x v="0"/>
  </r>
  <r>
    <x v="1275"/>
    <n v="23"/>
    <x v="1"/>
    <x v="1"/>
    <x v="864"/>
    <n v="10.029999999999999"/>
    <n v="9.2200000000000006"/>
    <x v="3"/>
    <x v="1"/>
    <s v="Severe"/>
    <n v="3"/>
    <x v="0"/>
  </r>
  <r>
    <x v="1276"/>
    <n v="54"/>
    <x v="0"/>
    <x v="0"/>
    <x v="637"/>
    <n v="8.39"/>
    <n v="10.69"/>
    <x v="0"/>
    <x v="0"/>
    <s v="Mild"/>
    <n v="10"/>
    <x v="1"/>
  </r>
  <r>
    <x v="1277"/>
    <n v="74"/>
    <x v="1"/>
    <x v="0"/>
    <x v="123"/>
    <n v="16.79"/>
    <n v="19.72"/>
    <x v="2"/>
    <x v="0"/>
    <s v="None"/>
    <n v="33"/>
    <x v="0"/>
  </r>
  <r>
    <x v="1278"/>
    <n v="50"/>
    <x v="0"/>
    <x v="0"/>
    <x v="614"/>
    <n v="7.39"/>
    <n v="9.1999999999999993"/>
    <x v="0"/>
    <x v="0"/>
    <s v="None"/>
    <n v="13"/>
    <x v="0"/>
  </r>
  <r>
    <x v="1279"/>
    <n v="70"/>
    <x v="0"/>
    <x v="0"/>
    <x v="1086"/>
    <n v="6.19"/>
    <n v="7.8"/>
    <x v="1"/>
    <x v="0"/>
    <s v="None"/>
    <n v="19"/>
    <x v="1"/>
  </r>
  <r>
    <x v="1280"/>
    <n v="39"/>
    <x v="0"/>
    <x v="1"/>
    <x v="1087"/>
    <n v="18.84"/>
    <n v="4.53"/>
    <x v="1"/>
    <x v="1"/>
    <s v="None"/>
    <n v="29"/>
    <x v="0"/>
  </r>
  <r>
    <x v="1281"/>
    <n v="38"/>
    <x v="1"/>
    <x v="3"/>
    <x v="1088"/>
    <n v="0.46"/>
    <n v="5.09"/>
    <x v="1"/>
    <x v="0"/>
    <s v="None"/>
    <n v="33"/>
    <x v="1"/>
  </r>
  <r>
    <x v="1282"/>
    <n v="23"/>
    <x v="1"/>
    <x v="1"/>
    <x v="1089"/>
    <n v="3.92"/>
    <n v="3.02"/>
    <x v="2"/>
    <x v="1"/>
    <s v="None"/>
    <n v="29"/>
    <x v="0"/>
  </r>
  <r>
    <x v="1283"/>
    <n v="23"/>
    <x v="1"/>
    <x v="1"/>
    <x v="1090"/>
    <n v="5.38"/>
    <n v="10.14"/>
    <x v="3"/>
    <x v="1"/>
    <s v="None"/>
    <n v="16"/>
    <x v="0"/>
  </r>
  <r>
    <x v="1284"/>
    <n v="72"/>
    <x v="0"/>
    <x v="1"/>
    <x v="1091"/>
    <n v="19.71"/>
    <n v="12.12"/>
    <x v="0"/>
    <x v="1"/>
    <s v="Mild"/>
    <n v="25"/>
    <x v="0"/>
  </r>
  <r>
    <x v="1285"/>
    <n v="65"/>
    <x v="0"/>
    <x v="3"/>
    <x v="1092"/>
    <n v="11.25"/>
    <n v="11.05"/>
    <x v="3"/>
    <x v="2"/>
    <s v="None"/>
    <n v="7"/>
    <x v="0"/>
  </r>
  <r>
    <x v="1286"/>
    <n v="21"/>
    <x v="1"/>
    <x v="1"/>
    <x v="1093"/>
    <n v="3.66"/>
    <n v="6.72"/>
    <x v="1"/>
    <x v="1"/>
    <s v="Mild"/>
    <n v="32"/>
    <x v="0"/>
  </r>
  <r>
    <x v="1287"/>
    <n v="47"/>
    <x v="1"/>
    <x v="1"/>
    <x v="578"/>
    <n v="3.41"/>
    <n v="10.53"/>
    <x v="3"/>
    <x v="2"/>
    <s v="Mild"/>
    <n v="21"/>
    <x v="0"/>
  </r>
  <r>
    <x v="1288"/>
    <n v="28"/>
    <x v="1"/>
    <x v="1"/>
    <x v="1094"/>
    <n v="20.09"/>
    <n v="11.04"/>
    <x v="2"/>
    <x v="1"/>
    <s v="Severe"/>
    <n v="33"/>
    <x v="0"/>
  </r>
  <r>
    <x v="1289"/>
    <n v="79"/>
    <x v="1"/>
    <x v="1"/>
    <x v="1095"/>
    <n v="3.42"/>
    <n v="9.52"/>
    <x v="1"/>
    <x v="0"/>
    <s v="None"/>
    <n v="18"/>
    <x v="1"/>
  </r>
  <r>
    <x v="1290"/>
    <n v="79"/>
    <x v="1"/>
    <x v="0"/>
    <x v="1096"/>
    <n v="5.98"/>
    <n v="10.49"/>
    <x v="3"/>
    <x v="2"/>
    <s v="Moderate"/>
    <n v="29"/>
    <x v="0"/>
  </r>
  <r>
    <x v="1291"/>
    <n v="47"/>
    <x v="1"/>
    <x v="2"/>
    <x v="1097"/>
    <n v="7.21"/>
    <n v="9.39"/>
    <x v="0"/>
    <x v="0"/>
    <s v="Moderate"/>
    <n v="28"/>
    <x v="1"/>
  </r>
  <r>
    <x v="1292"/>
    <n v="48"/>
    <x v="0"/>
    <x v="0"/>
    <x v="1098"/>
    <n v="14.44"/>
    <n v="27.22"/>
    <x v="1"/>
    <x v="1"/>
    <s v="Mild"/>
    <n v="31"/>
    <x v="0"/>
  </r>
  <r>
    <x v="1293"/>
    <n v="41"/>
    <x v="1"/>
    <x v="3"/>
    <x v="241"/>
    <n v="6.7"/>
    <n v="4.47"/>
    <x v="1"/>
    <x v="1"/>
    <s v="Mild"/>
    <n v="31"/>
    <x v="0"/>
  </r>
  <r>
    <x v="1294"/>
    <n v="72"/>
    <x v="0"/>
    <x v="1"/>
    <x v="1099"/>
    <n v="2.9"/>
    <n v="19.68"/>
    <x v="2"/>
    <x v="2"/>
    <s v="None"/>
    <n v="33"/>
    <x v="1"/>
  </r>
  <r>
    <x v="1295"/>
    <n v="26"/>
    <x v="0"/>
    <x v="2"/>
    <x v="1100"/>
    <n v="15.32"/>
    <n v="1.22"/>
    <x v="2"/>
    <x v="1"/>
    <s v="Severe"/>
    <n v="4"/>
    <x v="0"/>
  </r>
  <r>
    <x v="1296"/>
    <n v="72"/>
    <x v="1"/>
    <x v="1"/>
    <x v="1101"/>
    <n v="15.09"/>
    <n v="16.579999999999998"/>
    <x v="0"/>
    <x v="0"/>
    <s v="None"/>
    <n v="8"/>
    <x v="0"/>
  </r>
  <r>
    <x v="1297"/>
    <n v="20"/>
    <x v="1"/>
    <x v="1"/>
    <x v="1102"/>
    <n v="27.55"/>
    <n v="5.62"/>
    <x v="3"/>
    <x v="0"/>
    <s v="Mild"/>
    <n v="11"/>
    <x v="0"/>
  </r>
  <r>
    <x v="1298"/>
    <n v="68"/>
    <x v="0"/>
    <x v="1"/>
    <x v="1103"/>
    <n v="12.04"/>
    <n v="14.93"/>
    <x v="3"/>
    <x v="1"/>
    <s v="None"/>
    <n v="17"/>
    <x v="0"/>
  </r>
  <r>
    <x v="1299"/>
    <n v="48"/>
    <x v="1"/>
    <x v="1"/>
    <x v="1104"/>
    <n v="3.28"/>
    <n v="4.5199999999999996"/>
    <x v="1"/>
    <x v="1"/>
    <s v="None"/>
    <n v="22"/>
    <x v="1"/>
  </r>
  <r>
    <x v="1300"/>
    <n v="57"/>
    <x v="1"/>
    <x v="1"/>
    <x v="1105"/>
    <n v="26.69"/>
    <n v="13.85"/>
    <x v="1"/>
    <x v="0"/>
    <s v="Mild"/>
    <n v="4"/>
    <x v="1"/>
  </r>
  <r>
    <x v="1301"/>
    <n v="54"/>
    <x v="0"/>
    <x v="3"/>
    <x v="1106"/>
    <n v="7.19"/>
    <n v="5.36"/>
    <x v="3"/>
    <x v="0"/>
    <s v="Moderate"/>
    <n v="5"/>
    <x v="0"/>
  </r>
  <r>
    <x v="1302"/>
    <n v="53"/>
    <x v="0"/>
    <x v="2"/>
    <x v="1107"/>
    <n v="17.809999999999999"/>
    <n v="19.14"/>
    <x v="3"/>
    <x v="1"/>
    <s v="None"/>
    <n v="32"/>
    <x v="0"/>
  </r>
  <r>
    <x v="1303"/>
    <n v="41"/>
    <x v="0"/>
    <x v="1"/>
    <x v="1108"/>
    <n v="26.08"/>
    <n v="6.91"/>
    <x v="3"/>
    <x v="0"/>
    <s v="Severe"/>
    <n v="10"/>
    <x v="0"/>
  </r>
  <r>
    <x v="1304"/>
    <n v="48"/>
    <x v="1"/>
    <x v="1"/>
    <x v="458"/>
    <n v="10.64"/>
    <n v="9.3699999999999992"/>
    <x v="1"/>
    <x v="2"/>
    <s v="Mild"/>
    <n v="23"/>
    <x v="1"/>
  </r>
  <r>
    <x v="1305"/>
    <n v="23"/>
    <x v="0"/>
    <x v="0"/>
    <x v="1109"/>
    <n v="9.7100000000000009"/>
    <n v="0.49"/>
    <x v="2"/>
    <x v="2"/>
    <s v="None"/>
    <n v="15"/>
    <x v="0"/>
  </r>
  <r>
    <x v="1306"/>
    <n v="19"/>
    <x v="1"/>
    <x v="1"/>
    <x v="600"/>
    <n v="12.07"/>
    <n v="4.8099999999999996"/>
    <x v="2"/>
    <x v="1"/>
    <s v="None"/>
    <n v="34"/>
    <x v="0"/>
  </r>
  <r>
    <x v="1307"/>
    <n v="37"/>
    <x v="0"/>
    <x v="1"/>
    <x v="1110"/>
    <n v="13.72"/>
    <n v="21.25"/>
    <x v="0"/>
    <x v="1"/>
    <s v="Mild"/>
    <n v="16"/>
    <x v="0"/>
  </r>
  <r>
    <x v="1308"/>
    <n v="45"/>
    <x v="0"/>
    <x v="0"/>
    <x v="884"/>
    <n v="19.84"/>
    <n v="5.33"/>
    <x v="3"/>
    <x v="2"/>
    <s v="None"/>
    <n v="3"/>
    <x v="0"/>
  </r>
  <r>
    <x v="1309"/>
    <n v="28"/>
    <x v="0"/>
    <x v="1"/>
    <x v="1111"/>
    <n v="8.68"/>
    <n v="3.63"/>
    <x v="3"/>
    <x v="1"/>
    <s v="None"/>
    <n v="29"/>
    <x v="1"/>
  </r>
  <r>
    <x v="1310"/>
    <n v="21"/>
    <x v="1"/>
    <x v="1"/>
    <x v="283"/>
    <n v="10.26"/>
    <n v="13.6"/>
    <x v="3"/>
    <x v="1"/>
    <s v="None"/>
    <n v="26"/>
    <x v="0"/>
  </r>
  <r>
    <x v="1311"/>
    <n v="32"/>
    <x v="1"/>
    <x v="3"/>
    <x v="1112"/>
    <n v="6.53"/>
    <n v="10.26"/>
    <x v="0"/>
    <x v="2"/>
    <s v="None"/>
    <n v="24"/>
    <x v="0"/>
  </r>
  <r>
    <x v="1312"/>
    <n v="23"/>
    <x v="0"/>
    <x v="1"/>
    <x v="1113"/>
    <n v="6.5"/>
    <n v="33.11"/>
    <x v="3"/>
    <x v="1"/>
    <s v="Mild"/>
    <n v="16"/>
    <x v="0"/>
  </r>
  <r>
    <x v="1313"/>
    <n v="71"/>
    <x v="0"/>
    <x v="3"/>
    <x v="560"/>
    <n v="4.7699999999999996"/>
    <n v="6.46"/>
    <x v="2"/>
    <x v="1"/>
    <s v="None"/>
    <n v="10"/>
    <x v="0"/>
  </r>
  <r>
    <x v="1314"/>
    <n v="66"/>
    <x v="0"/>
    <x v="0"/>
    <x v="1114"/>
    <n v="6.9"/>
    <n v="12.06"/>
    <x v="3"/>
    <x v="1"/>
    <s v="None"/>
    <n v="29"/>
    <x v="0"/>
  </r>
  <r>
    <x v="1315"/>
    <n v="47"/>
    <x v="1"/>
    <x v="1"/>
    <x v="887"/>
    <n v="4.2699999999999996"/>
    <n v="13.66"/>
    <x v="0"/>
    <x v="2"/>
    <s v="None"/>
    <n v="5"/>
    <x v="1"/>
  </r>
  <r>
    <x v="1316"/>
    <n v="73"/>
    <x v="0"/>
    <x v="3"/>
    <x v="1115"/>
    <n v="18.3"/>
    <n v="5.46"/>
    <x v="1"/>
    <x v="1"/>
    <s v="None"/>
    <n v="35"/>
    <x v="0"/>
  </r>
  <r>
    <x v="1317"/>
    <n v="55"/>
    <x v="1"/>
    <x v="3"/>
    <x v="1116"/>
    <n v="15.69"/>
    <n v="32.479999999999997"/>
    <x v="1"/>
    <x v="2"/>
    <s v="None"/>
    <n v="23"/>
    <x v="1"/>
  </r>
  <r>
    <x v="1318"/>
    <n v="68"/>
    <x v="0"/>
    <x v="1"/>
    <x v="1117"/>
    <n v="9.2200000000000006"/>
    <n v="9.02"/>
    <x v="2"/>
    <x v="0"/>
    <s v="Mild"/>
    <n v="34"/>
    <x v="0"/>
  </r>
  <r>
    <x v="1319"/>
    <n v="79"/>
    <x v="0"/>
    <x v="2"/>
    <x v="1118"/>
    <n v="11.84"/>
    <n v="2.95"/>
    <x v="2"/>
    <x v="0"/>
    <s v="Mild"/>
    <n v="34"/>
    <x v="1"/>
  </r>
  <r>
    <x v="1320"/>
    <n v="74"/>
    <x v="0"/>
    <x v="1"/>
    <x v="1119"/>
    <n v="4.7699999999999996"/>
    <n v="1.03"/>
    <x v="2"/>
    <x v="1"/>
    <s v="None"/>
    <n v="26"/>
    <x v="0"/>
  </r>
  <r>
    <x v="1321"/>
    <n v="19"/>
    <x v="0"/>
    <x v="3"/>
    <x v="862"/>
    <n v="9.67"/>
    <n v="11.63"/>
    <x v="1"/>
    <x v="1"/>
    <s v="None"/>
    <n v="13"/>
    <x v="0"/>
  </r>
  <r>
    <x v="1322"/>
    <n v="32"/>
    <x v="0"/>
    <x v="1"/>
    <x v="136"/>
    <n v="21.67"/>
    <n v="4.43"/>
    <x v="3"/>
    <x v="0"/>
    <s v="None"/>
    <n v="23"/>
    <x v="1"/>
  </r>
  <r>
    <x v="1323"/>
    <n v="28"/>
    <x v="0"/>
    <x v="3"/>
    <x v="1120"/>
    <n v="21.17"/>
    <n v="21.33"/>
    <x v="0"/>
    <x v="1"/>
    <s v="None"/>
    <n v="20"/>
    <x v="0"/>
  </r>
  <r>
    <x v="1324"/>
    <n v="25"/>
    <x v="1"/>
    <x v="1"/>
    <x v="57"/>
    <n v="27.91"/>
    <n v="12.3"/>
    <x v="0"/>
    <x v="2"/>
    <s v="Mild"/>
    <n v="13"/>
    <x v="0"/>
  </r>
  <r>
    <x v="1325"/>
    <n v="43"/>
    <x v="0"/>
    <x v="0"/>
    <x v="1121"/>
    <n v="18.27"/>
    <n v="2.33"/>
    <x v="3"/>
    <x v="0"/>
    <s v="None"/>
    <n v="29"/>
    <x v="1"/>
  </r>
  <r>
    <x v="1326"/>
    <n v="68"/>
    <x v="1"/>
    <x v="1"/>
    <x v="481"/>
    <n v="12.6"/>
    <n v="7.41"/>
    <x v="1"/>
    <x v="0"/>
    <s v="None"/>
    <n v="3"/>
    <x v="1"/>
  </r>
  <r>
    <x v="1327"/>
    <n v="62"/>
    <x v="0"/>
    <x v="3"/>
    <x v="856"/>
    <n v="17.62"/>
    <n v="10.36"/>
    <x v="1"/>
    <x v="1"/>
    <s v="Mild"/>
    <n v="31"/>
    <x v="0"/>
  </r>
  <r>
    <x v="1328"/>
    <n v="61"/>
    <x v="0"/>
    <x v="3"/>
    <x v="348"/>
    <n v="3.53"/>
    <n v="9.1999999999999993"/>
    <x v="0"/>
    <x v="0"/>
    <s v="None"/>
    <n v="23"/>
    <x v="1"/>
  </r>
  <r>
    <x v="1329"/>
    <n v="22"/>
    <x v="1"/>
    <x v="2"/>
    <x v="1122"/>
    <n v="16.72"/>
    <n v="16.600000000000001"/>
    <x v="2"/>
    <x v="1"/>
    <s v="Mild"/>
    <n v="31"/>
    <x v="0"/>
  </r>
  <r>
    <x v="1330"/>
    <n v="23"/>
    <x v="0"/>
    <x v="3"/>
    <x v="1123"/>
    <n v="18.7"/>
    <n v="9.4600000000000009"/>
    <x v="2"/>
    <x v="1"/>
    <s v="None"/>
    <n v="11"/>
    <x v="0"/>
  </r>
  <r>
    <x v="1331"/>
    <n v="43"/>
    <x v="1"/>
    <x v="2"/>
    <x v="1124"/>
    <n v="9.5500000000000007"/>
    <n v="3.72"/>
    <x v="0"/>
    <x v="2"/>
    <s v="None"/>
    <n v="9"/>
    <x v="0"/>
  </r>
  <r>
    <x v="1332"/>
    <n v="71"/>
    <x v="1"/>
    <x v="2"/>
    <x v="1125"/>
    <n v="10.37"/>
    <n v="7.25"/>
    <x v="0"/>
    <x v="0"/>
    <s v="Mild"/>
    <n v="33"/>
    <x v="0"/>
  </r>
  <r>
    <x v="1333"/>
    <n v="21"/>
    <x v="0"/>
    <x v="0"/>
    <x v="1126"/>
    <n v="8.08"/>
    <n v="9.66"/>
    <x v="3"/>
    <x v="0"/>
    <s v="Mild"/>
    <n v="29"/>
    <x v="0"/>
  </r>
  <r>
    <x v="1334"/>
    <n v="36"/>
    <x v="1"/>
    <x v="1"/>
    <x v="1127"/>
    <n v="9.33"/>
    <n v="10.61"/>
    <x v="3"/>
    <x v="0"/>
    <s v="None"/>
    <n v="34"/>
    <x v="0"/>
  </r>
  <r>
    <x v="1335"/>
    <n v="37"/>
    <x v="1"/>
    <x v="3"/>
    <x v="1128"/>
    <n v="11.33"/>
    <n v="4.13"/>
    <x v="3"/>
    <x v="0"/>
    <s v="Mild"/>
    <n v="7"/>
    <x v="0"/>
  </r>
  <r>
    <x v="1336"/>
    <n v="50"/>
    <x v="0"/>
    <x v="0"/>
    <x v="259"/>
    <n v="12.2"/>
    <n v="10.92"/>
    <x v="3"/>
    <x v="1"/>
    <s v="Moderate"/>
    <n v="35"/>
    <x v="0"/>
  </r>
  <r>
    <x v="1337"/>
    <n v="37"/>
    <x v="1"/>
    <x v="0"/>
    <x v="1129"/>
    <n v="4.84"/>
    <n v="5.22"/>
    <x v="3"/>
    <x v="1"/>
    <s v="Severe"/>
    <n v="17"/>
    <x v="1"/>
  </r>
  <r>
    <x v="1338"/>
    <n v="66"/>
    <x v="0"/>
    <x v="0"/>
    <x v="1130"/>
    <n v="5.63"/>
    <n v="15.36"/>
    <x v="3"/>
    <x v="2"/>
    <s v="Mild"/>
    <n v="7"/>
    <x v="1"/>
  </r>
  <r>
    <x v="1339"/>
    <n v="29"/>
    <x v="0"/>
    <x v="3"/>
    <x v="172"/>
    <n v="15.7"/>
    <n v="17.809999999999999"/>
    <x v="2"/>
    <x v="1"/>
    <s v="Moderate"/>
    <n v="22"/>
    <x v="0"/>
  </r>
  <r>
    <x v="1340"/>
    <n v="64"/>
    <x v="0"/>
    <x v="1"/>
    <x v="460"/>
    <n v="13.03"/>
    <n v="12.77"/>
    <x v="0"/>
    <x v="0"/>
    <s v="None"/>
    <n v="19"/>
    <x v="0"/>
  </r>
  <r>
    <x v="1341"/>
    <n v="18"/>
    <x v="0"/>
    <x v="3"/>
    <x v="320"/>
    <n v="5.2"/>
    <n v="15.81"/>
    <x v="1"/>
    <x v="1"/>
    <s v="None"/>
    <n v="6"/>
    <x v="0"/>
  </r>
  <r>
    <x v="1342"/>
    <n v="43"/>
    <x v="1"/>
    <x v="2"/>
    <x v="1131"/>
    <n v="9.01"/>
    <n v="13.39"/>
    <x v="3"/>
    <x v="1"/>
    <s v="None"/>
    <n v="23"/>
    <x v="0"/>
  </r>
  <r>
    <x v="1343"/>
    <n v="31"/>
    <x v="0"/>
    <x v="3"/>
    <x v="1132"/>
    <n v="30.55"/>
    <n v="7.58"/>
    <x v="2"/>
    <x v="1"/>
    <s v="None"/>
    <n v="7"/>
    <x v="0"/>
  </r>
  <r>
    <x v="1344"/>
    <n v="55"/>
    <x v="0"/>
    <x v="3"/>
    <x v="1120"/>
    <n v="1.03"/>
    <n v="4.1500000000000004"/>
    <x v="0"/>
    <x v="0"/>
    <s v="None"/>
    <n v="6"/>
    <x v="0"/>
  </r>
  <r>
    <x v="1345"/>
    <n v="54"/>
    <x v="1"/>
    <x v="0"/>
    <x v="1133"/>
    <n v="0.47"/>
    <n v="11.23"/>
    <x v="0"/>
    <x v="0"/>
    <s v="Mild"/>
    <n v="24"/>
    <x v="0"/>
  </r>
  <r>
    <x v="1346"/>
    <n v="79"/>
    <x v="0"/>
    <x v="3"/>
    <x v="1134"/>
    <n v="1.05"/>
    <n v="11.52"/>
    <x v="0"/>
    <x v="1"/>
    <s v="None"/>
    <n v="16"/>
    <x v="1"/>
  </r>
  <r>
    <x v="1347"/>
    <n v="28"/>
    <x v="0"/>
    <x v="0"/>
    <x v="1135"/>
    <n v="38.479999999999997"/>
    <n v="12.27"/>
    <x v="3"/>
    <x v="1"/>
    <s v="Mild"/>
    <n v="6"/>
    <x v="0"/>
  </r>
  <r>
    <x v="1348"/>
    <n v="53"/>
    <x v="1"/>
    <x v="3"/>
    <x v="923"/>
    <n v="3.94"/>
    <n v="6.69"/>
    <x v="3"/>
    <x v="2"/>
    <s v="None"/>
    <n v="10"/>
    <x v="1"/>
  </r>
  <r>
    <x v="1349"/>
    <n v="30"/>
    <x v="1"/>
    <x v="1"/>
    <x v="1136"/>
    <n v="7.73"/>
    <n v="22.88"/>
    <x v="1"/>
    <x v="1"/>
    <s v="None"/>
    <n v="5"/>
    <x v="0"/>
  </r>
  <r>
    <x v="1350"/>
    <n v="60"/>
    <x v="1"/>
    <x v="3"/>
    <x v="1137"/>
    <n v="14.8"/>
    <n v="14.37"/>
    <x v="3"/>
    <x v="2"/>
    <s v="None"/>
    <n v="31"/>
    <x v="0"/>
  </r>
  <r>
    <x v="1351"/>
    <n v="20"/>
    <x v="1"/>
    <x v="2"/>
    <x v="1138"/>
    <n v="14.12"/>
    <n v="12.4"/>
    <x v="0"/>
    <x v="2"/>
    <s v="None"/>
    <n v="28"/>
    <x v="0"/>
  </r>
  <r>
    <x v="1352"/>
    <n v="50"/>
    <x v="1"/>
    <x v="1"/>
    <x v="1139"/>
    <n v="8.15"/>
    <n v="2.88"/>
    <x v="0"/>
    <x v="2"/>
    <s v="None"/>
    <n v="32"/>
    <x v="0"/>
  </r>
  <r>
    <x v="1353"/>
    <n v="23"/>
    <x v="1"/>
    <x v="1"/>
    <x v="584"/>
    <n v="24.91"/>
    <n v="3.11"/>
    <x v="2"/>
    <x v="2"/>
    <s v="Mild"/>
    <n v="14"/>
    <x v="0"/>
  </r>
  <r>
    <x v="1354"/>
    <n v="67"/>
    <x v="1"/>
    <x v="0"/>
    <x v="1140"/>
    <n v="17.149999999999999"/>
    <n v="16.260000000000002"/>
    <x v="2"/>
    <x v="1"/>
    <s v="None"/>
    <n v="17"/>
    <x v="0"/>
  </r>
  <r>
    <x v="1355"/>
    <n v="73"/>
    <x v="0"/>
    <x v="1"/>
    <x v="76"/>
    <n v="5.86"/>
    <n v="10.97"/>
    <x v="1"/>
    <x v="2"/>
    <s v="None"/>
    <n v="4"/>
    <x v="0"/>
  </r>
  <r>
    <x v="1356"/>
    <n v="27"/>
    <x v="1"/>
    <x v="3"/>
    <x v="1141"/>
    <n v="4.12"/>
    <n v="13.17"/>
    <x v="2"/>
    <x v="2"/>
    <s v="Mild"/>
    <n v="3"/>
    <x v="0"/>
  </r>
  <r>
    <x v="1357"/>
    <n v="22"/>
    <x v="1"/>
    <x v="3"/>
    <x v="1142"/>
    <n v="11.19"/>
    <n v="14.96"/>
    <x v="1"/>
    <x v="2"/>
    <s v="None"/>
    <n v="30"/>
    <x v="0"/>
  </r>
  <r>
    <x v="1358"/>
    <n v="40"/>
    <x v="1"/>
    <x v="3"/>
    <x v="1090"/>
    <n v="17.72"/>
    <n v="10.28"/>
    <x v="2"/>
    <x v="1"/>
    <s v="None"/>
    <n v="6"/>
    <x v="0"/>
  </r>
  <r>
    <x v="1359"/>
    <n v="27"/>
    <x v="0"/>
    <x v="2"/>
    <x v="1143"/>
    <n v="31.02"/>
    <n v="3.48"/>
    <x v="0"/>
    <x v="2"/>
    <s v="None"/>
    <n v="20"/>
    <x v="1"/>
  </r>
  <r>
    <x v="1360"/>
    <n v="61"/>
    <x v="0"/>
    <x v="1"/>
    <x v="1144"/>
    <n v="12.58"/>
    <n v="3.26"/>
    <x v="3"/>
    <x v="0"/>
    <s v="None"/>
    <n v="14"/>
    <x v="0"/>
  </r>
  <r>
    <x v="1361"/>
    <n v="19"/>
    <x v="1"/>
    <x v="3"/>
    <x v="1145"/>
    <n v="7.46"/>
    <n v="12.14"/>
    <x v="3"/>
    <x v="0"/>
    <s v="Mild"/>
    <n v="23"/>
    <x v="0"/>
  </r>
  <r>
    <x v="1362"/>
    <n v="30"/>
    <x v="1"/>
    <x v="3"/>
    <x v="179"/>
    <n v="23.45"/>
    <n v="28.3"/>
    <x v="1"/>
    <x v="1"/>
    <s v="Moderate"/>
    <n v="12"/>
    <x v="0"/>
  </r>
  <r>
    <x v="1363"/>
    <n v="57"/>
    <x v="1"/>
    <x v="2"/>
    <x v="1146"/>
    <n v="21.33"/>
    <n v="5.38"/>
    <x v="3"/>
    <x v="1"/>
    <s v="Mild"/>
    <n v="23"/>
    <x v="0"/>
  </r>
  <r>
    <x v="1364"/>
    <n v="19"/>
    <x v="0"/>
    <x v="1"/>
    <x v="23"/>
    <n v="17.03"/>
    <n v="5.0599999999999996"/>
    <x v="3"/>
    <x v="2"/>
    <s v="None"/>
    <n v="27"/>
    <x v="0"/>
  </r>
  <r>
    <x v="1365"/>
    <n v="37"/>
    <x v="0"/>
    <x v="3"/>
    <x v="1147"/>
    <n v="3.39"/>
    <n v="1.94"/>
    <x v="2"/>
    <x v="0"/>
    <s v="Mild"/>
    <n v="19"/>
    <x v="1"/>
  </r>
  <r>
    <x v="1366"/>
    <n v="18"/>
    <x v="1"/>
    <x v="1"/>
    <x v="1148"/>
    <n v="7.77"/>
    <n v="6.76"/>
    <x v="0"/>
    <x v="1"/>
    <s v="None"/>
    <n v="8"/>
    <x v="1"/>
  </r>
  <r>
    <x v="1367"/>
    <n v="54"/>
    <x v="0"/>
    <x v="1"/>
    <x v="1149"/>
    <n v="8.6"/>
    <n v="17.87"/>
    <x v="3"/>
    <x v="2"/>
    <s v="None"/>
    <n v="16"/>
    <x v="0"/>
  </r>
  <r>
    <x v="1368"/>
    <n v="26"/>
    <x v="1"/>
    <x v="1"/>
    <x v="345"/>
    <n v="17.03"/>
    <n v="5.83"/>
    <x v="0"/>
    <x v="1"/>
    <s v="None"/>
    <n v="20"/>
    <x v="0"/>
  </r>
  <r>
    <x v="1369"/>
    <n v="34"/>
    <x v="0"/>
    <x v="1"/>
    <x v="1150"/>
    <n v="1.53"/>
    <n v="6.99"/>
    <x v="2"/>
    <x v="1"/>
    <s v="Mild"/>
    <n v="32"/>
    <x v="0"/>
  </r>
  <r>
    <x v="1370"/>
    <n v="26"/>
    <x v="0"/>
    <x v="0"/>
    <x v="1151"/>
    <n v="7.29"/>
    <n v="14.23"/>
    <x v="2"/>
    <x v="1"/>
    <s v="Mild"/>
    <n v="11"/>
    <x v="1"/>
  </r>
  <r>
    <x v="1371"/>
    <n v="28"/>
    <x v="1"/>
    <x v="1"/>
    <x v="1152"/>
    <n v="10.14"/>
    <n v="1.85"/>
    <x v="3"/>
    <x v="1"/>
    <s v="Mild"/>
    <n v="16"/>
    <x v="0"/>
  </r>
  <r>
    <x v="1372"/>
    <n v="32"/>
    <x v="1"/>
    <x v="0"/>
    <x v="1153"/>
    <n v="8.36"/>
    <n v="20.27"/>
    <x v="3"/>
    <x v="1"/>
    <s v="Mild"/>
    <n v="19"/>
    <x v="0"/>
  </r>
  <r>
    <x v="1373"/>
    <n v="41"/>
    <x v="1"/>
    <x v="0"/>
    <x v="1154"/>
    <n v="28.88"/>
    <n v="4.38"/>
    <x v="2"/>
    <x v="1"/>
    <s v="None"/>
    <n v="24"/>
    <x v="0"/>
  </r>
  <r>
    <x v="1374"/>
    <n v="55"/>
    <x v="1"/>
    <x v="3"/>
    <x v="1155"/>
    <n v="19.97"/>
    <n v="12.61"/>
    <x v="2"/>
    <x v="1"/>
    <s v="None"/>
    <n v="34"/>
    <x v="1"/>
  </r>
  <r>
    <x v="1375"/>
    <n v="72"/>
    <x v="0"/>
    <x v="1"/>
    <x v="1156"/>
    <n v="19.940000000000001"/>
    <n v="3.9"/>
    <x v="1"/>
    <x v="0"/>
    <s v="Mild"/>
    <n v="14"/>
    <x v="0"/>
  </r>
  <r>
    <x v="1376"/>
    <n v="52"/>
    <x v="0"/>
    <x v="3"/>
    <x v="1157"/>
    <n v="6.86"/>
    <n v="3.37"/>
    <x v="1"/>
    <x v="2"/>
    <s v="Mild"/>
    <n v="18"/>
    <x v="1"/>
  </r>
  <r>
    <x v="1377"/>
    <n v="47"/>
    <x v="0"/>
    <x v="2"/>
    <x v="813"/>
    <n v="11.41"/>
    <n v="11.87"/>
    <x v="0"/>
    <x v="0"/>
    <s v="Mild"/>
    <n v="24"/>
    <x v="1"/>
  </r>
  <r>
    <x v="1378"/>
    <n v="48"/>
    <x v="1"/>
    <x v="3"/>
    <x v="1158"/>
    <n v="4.75"/>
    <n v="6.23"/>
    <x v="2"/>
    <x v="1"/>
    <s v="None"/>
    <n v="4"/>
    <x v="0"/>
  </r>
  <r>
    <x v="1379"/>
    <n v="66"/>
    <x v="0"/>
    <x v="1"/>
    <x v="787"/>
    <n v="4.88"/>
    <n v="22.57"/>
    <x v="0"/>
    <x v="1"/>
    <s v="Mild"/>
    <n v="10"/>
    <x v="1"/>
  </r>
  <r>
    <x v="1380"/>
    <n v="22"/>
    <x v="1"/>
    <x v="3"/>
    <x v="243"/>
    <n v="20.100000000000001"/>
    <n v="6.12"/>
    <x v="2"/>
    <x v="2"/>
    <s v="None"/>
    <n v="3"/>
    <x v="0"/>
  </r>
  <r>
    <x v="1381"/>
    <n v="79"/>
    <x v="0"/>
    <x v="0"/>
    <x v="1159"/>
    <n v="17.84"/>
    <n v="16.170000000000002"/>
    <x v="0"/>
    <x v="2"/>
    <s v="Mild"/>
    <n v="7"/>
    <x v="0"/>
  </r>
  <r>
    <x v="1382"/>
    <n v="77"/>
    <x v="1"/>
    <x v="2"/>
    <x v="1155"/>
    <n v="4.45"/>
    <n v="15.92"/>
    <x v="1"/>
    <x v="1"/>
    <s v="None"/>
    <n v="19"/>
    <x v="0"/>
  </r>
  <r>
    <x v="1383"/>
    <n v="61"/>
    <x v="1"/>
    <x v="1"/>
    <x v="634"/>
    <n v="10.86"/>
    <n v="13.35"/>
    <x v="2"/>
    <x v="1"/>
    <s v="Moderate"/>
    <n v="32"/>
    <x v="0"/>
  </r>
  <r>
    <x v="1384"/>
    <n v="67"/>
    <x v="0"/>
    <x v="2"/>
    <x v="1160"/>
    <n v="2.39"/>
    <n v="7.53"/>
    <x v="2"/>
    <x v="0"/>
    <s v="None"/>
    <n v="17"/>
    <x v="0"/>
  </r>
  <r>
    <x v="1385"/>
    <n v="31"/>
    <x v="1"/>
    <x v="1"/>
    <x v="776"/>
    <n v="14.63"/>
    <n v="10.49"/>
    <x v="0"/>
    <x v="0"/>
    <s v="Mild"/>
    <n v="22"/>
    <x v="0"/>
  </r>
  <r>
    <x v="1386"/>
    <n v="70"/>
    <x v="1"/>
    <x v="1"/>
    <x v="85"/>
    <n v="4.3499999999999996"/>
    <n v="5.79"/>
    <x v="0"/>
    <x v="0"/>
    <s v="Mild"/>
    <n v="4"/>
    <x v="0"/>
  </r>
  <r>
    <x v="1387"/>
    <n v="73"/>
    <x v="0"/>
    <x v="0"/>
    <x v="1161"/>
    <n v="10.88"/>
    <n v="7.23"/>
    <x v="3"/>
    <x v="0"/>
    <s v="None"/>
    <n v="6"/>
    <x v="1"/>
  </r>
  <r>
    <x v="1388"/>
    <n v="28"/>
    <x v="1"/>
    <x v="1"/>
    <x v="523"/>
    <n v="30.38"/>
    <n v="13.44"/>
    <x v="3"/>
    <x v="0"/>
    <s v="None"/>
    <n v="26"/>
    <x v="0"/>
  </r>
  <r>
    <x v="1389"/>
    <n v="26"/>
    <x v="1"/>
    <x v="1"/>
    <x v="1162"/>
    <n v="3.86"/>
    <n v="7.46"/>
    <x v="1"/>
    <x v="2"/>
    <s v="Mild"/>
    <n v="4"/>
    <x v="0"/>
  </r>
  <r>
    <x v="1390"/>
    <n v="51"/>
    <x v="1"/>
    <x v="1"/>
    <x v="1163"/>
    <n v="12.94"/>
    <n v="12.84"/>
    <x v="2"/>
    <x v="1"/>
    <s v="None"/>
    <n v="4"/>
    <x v="1"/>
  </r>
  <r>
    <x v="1391"/>
    <n v="29"/>
    <x v="0"/>
    <x v="0"/>
    <x v="1078"/>
    <n v="9.7200000000000006"/>
    <n v="11.16"/>
    <x v="2"/>
    <x v="2"/>
    <s v="None"/>
    <n v="3"/>
    <x v="0"/>
  </r>
  <r>
    <x v="1392"/>
    <n v="52"/>
    <x v="0"/>
    <x v="2"/>
    <x v="1164"/>
    <n v="3.55"/>
    <n v="2.17"/>
    <x v="0"/>
    <x v="1"/>
    <s v="Severe"/>
    <n v="15"/>
    <x v="0"/>
  </r>
  <r>
    <x v="1393"/>
    <n v="52"/>
    <x v="1"/>
    <x v="2"/>
    <x v="1165"/>
    <n v="5.49"/>
    <n v="17.59"/>
    <x v="1"/>
    <x v="0"/>
    <s v="Mild"/>
    <n v="8"/>
    <x v="1"/>
  </r>
  <r>
    <x v="1394"/>
    <n v="18"/>
    <x v="0"/>
    <x v="2"/>
    <x v="1166"/>
    <n v="13.74"/>
    <n v="2.5499999999999998"/>
    <x v="2"/>
    <x v="0"/>
    <s v="None"/>
    <n v="24"/>
    <x v="1"/>
  </r>
  <r>
    <x v="1395"/>
    <n v="57"/>
    <x v="1"/>
    <x v="1"/>
    <x v="1167"/>
    <n v="8.5"/>
    <n v="8.01"/>
    <x v="1"/>
    <x v="0"/>
    <s v="Mild"/>
    <n v="19"/>
    <x v="0"/>
  </r>
  <r>
    <x v="1396"/>
    <n v="39"/>
    <x v="1"/>
    <x v="3"/>
    <x v="647"/>
    <n v="25.42"/>
    <n v="13.9"/>
    <x v="3"/>
    <x v="0"/>
    <s v="None"/>
    <n v="24"/>
    <x v="0"/>
  </r>
  <r>
    <x v="1397"/>
    <n v="77"/>
    <x v="1"/>
    <x v="3"/>
    <x v="1168"/>
    <n v="14.21"/>
    <n v="7.1"/>
    <x v="0"/>
    <x v="1"/>
    <s v="Moderate"/>
    <n v="8"/>
    <x v="0"/>
  </r>
  <r>
    <x v="1398"/>
    <n v="46"/>
    <x v="1"/>
    <x v="1"/>
    <x v="1169"/>
    <n v="4.13"/>
    <n v="14.9"/>
    <x v="2"/>
    <x v="1"/>
    <s v="Mild"/>
    <n v="5"/>
    <x v="0"/>
  </r>
  <r>
    <x v="1399"/>
    <n v="25"/>
    <x v="1"/>
    <x v="3"/>
    <x v="1170"/>
    <n v="18.34"/>
    <n v="2.4"/>
    <x v="0"/>
    <x v="0"/>
    <s v="Moderate"/>
    <n v="8"/>
    <x v="0"/>
  </r>
  <r>
    <x v="1400"/>
    <n v="28"/>
    <x v="0"/>
    <x v="0"/>
    <x v="952"/>
    <n v="19.89"/>
    <n v="18.23"/>
    <x v="3"/>
    <x v="0"/>
    <s v="None"/>
    <n v="19"/>
    <x v="0"/>
  </r>
  <r>
    <x v="1401"/>
    <n v="58"/>
    <x v="1"/>
    <x v="1"/>
    <x v="1171"/>
    <n v="12.29"/>
    <n v="12.13"/>
    <x v="1"/>
    <x v="1"/>
    <s v="Mild"/>
    <n v="25"/>
    <x v="1"/>
  </r>
  <r>
    <x v="1402"/>
    <n v="54"/>
    <x v="0"/>
    <x v="1"/>
    <x v="12"/>
    <n v="15.06"/>
    <n v="15.4"/>
    <x v="1"/>
    <x v="2"/>
    <s v="None"/>
    <n v="10"/>
    <x v="0"/>
  </r>
  <r>
    <x v="1403"/>
    <n v="31"/>
    <x v="0"/>
    <x v="1"/>
    <x v="213"/>
    <n v="12.17"/>
    <n v="3.59"/>
    <x v="3"/>
    <x v="1"/>
    <s v="None"/>
    <n v="9"/>
    <x v="1"/>
  </r>
  <r>
    <x v="1404"/>
    <n v="77"/>
    <x v="1"/>
    <x v="1"/>
    <x v="1172"/>
    <n v="22.93"/>
    <n v="4.29"/>
    <x v="3"/>
    <x v="1"/>
    <s v="Mild"/>
    <n v="12"/>
    <x v="1"/>
  </r>
  <r>
    <x v="1405"/>
    <n v="47"/>
    <x v="1"/>
    <x v="0"/>
    <x v="1173"/>
    <n v="21.11"/>
    <n v="15.07"/>
    <x v="2"/>
    <x v="1"/>
    <s v="None"/>
    <n v="28"/>
    <x v="0"/>
  </r>
  <r>
    <x v="1406"/>
    <n v="52"/>
    <x v="0"/>
    <x v="3"/>
    <x v="1103"/>
    <n v="2.38"/>
    <n v="3.27"/>
    <x v="2"/>
    <x v="0"/>
    <s v="Mild"/>
    <n v="12"/>
    <x v="0"/>
  </r>
  <r>
    <x v="1407"/>
    <n v="38"/>
    <x v="0"/>
    <x v="3"/>
    <x v="1174"/>
    <n v="2.12"/>
    <n v="14.95"/>
    <x v="2"/>
    <x v="1"/>
    <s v="Moderate"/>
    <n v="21"/>
    <x v="0"/>
  </r>
  <r>
    <x v="1408"/>
    <n v="54"/>
    <x v="0"/>
    <x v="2"/>
    <x v="1175"/>
    <n v="8.6199999999999992"/>
    <n v="0.51"/>
    <x v="2"/>
    <x v="0"/>
    <s v="None"/>
    <n v="25"/>
    <x v="0"/>
  </r>
  <r>
    <x v="1409"/>
    <n v="22"/>
    <x v="1"/>
    <x v="1"/>
    <x v="1080"/>
    <n v="17.559999999999999"/>
    <n v="3.99"/>
    <x v="2"/>
    <x v="1"/>
    <s v="None"/>
    <n v="33"/>
    <x v="0"/>
  </r>
  <r>
    <x v="1410"/>
    <n v="36"/>
    <x v="0"/>
    <x v="3"/>
    <x v="1176"/>
    <n v="22.37"/>
    <n v="22.57"/>
    <x v="1"/>
    <x v="1"/>
    <s v="Mild"/>
    <n v="35"/>
    <x v="0"/>
  </r>
  <r>
    <x v="1411"/>
    <n v="76"/>
    <x v="1"/>
    <x v="3"/>
    <x v="1177"/>
    <n v="7.56"/>
    <n v="7.17"/>
    <x v="2"/>
    <x v="0"/>
    <s v="Moderate"/>
    <n v="4"/>
    <x v="0"/>
  </r>
  <r>
    <x v="1412"/>
    <n v="31"/>
    <x v="1"/>
    <x v="3"/>
    <x v="1178"/>
    <n v="8.44"/>
    <n v="8.09"/>
    <x v="3"/>
    <x v="0"/>
    <s v="Mild"/>
    <n v="30"/>
    <x v="0"/>
  </r>
  <r>
    <x v="1413"/>
    <n v="43"/>
    <x v="1"/>
    <x v="0"/>
    <x v="1179"/>
    <n v="7.91"/>
    <n v="1.97"/>
    <x v="3"/>
    <x v="1"/>
    <s v="Mild"/>
    <n v="34"/>
    <x v="0"/>
  </r>
  <r>
    <x v="1414"/>
    <n v="79"/>
    <x v="0"/>
    <x v="2"/>
    <x v="1180"/>
    <n v="9.4"/>
    <n v="13.03"/>
    <x v="2"/>
    <x v="1"/>
    <s v="None"/>
    <n v="35"/>
    <x v="0"/>
  </r>
  <r>
    <x v="1415"/>
    <n v="21"/>
    <x v="1"/>
    <x v="3"/>
    <x v="1181"/>
    <n v="11.28"/>
    <n v="14.7"/>
    <x v="3"/>
    <x v="2"/>
    <s v="None"/>
    <n v="11"/>
    <x v="0"/>
  </r>
  <r>
    <x v="1416"/>
    <n v="42"/>
    <x v="1"/>
    <x v="0"/>
    <x v="1182"/>
    <n v="6.9"/>
    <n v="8.81"/>
    <x v="0"/>
    <x v="1"/>
    <s v="Mild"/>
    <n v="31"/>
    <x v="1"/>
  </r>
  <r>
    <x v="1417"/>
    <n v="62"/>
    <x v="1"/>
    <x v="1"/>
    <x v="1183"/>
    <n v="7.89"/>
    <n v="5.04"/>
    <x v="1"/>
    <x v="2"/>
    <s v="None"/>
    <n v="17"/>
    <x v="0"/>
  </r>
  <r>
    <x v="1418"/>
    <n v="59"/>
    <x v="1"/>
    <x v="1"/>
    <x v="251"/>
    <n v="13.27"/>
    <n v="25.59"/>
    <x v="1"/>
    <x v="0"/>
    <s v="Moderate"/>
    <n v="20"/>
    <x v="0"/>
  </r>
  <r>
    <x v="1419"/>
    <n v="42"/>
    <x v="1"/>
    <x v="1"/>
    <x v="627"/>
    <n v="3.17"/>
    <n v="6.22"/>
    <x v="2"/>
    <x v="1"/>
    <s v="None"/>
    <n v="20"/>
    <x v="1"/>
  </r>
  <r>
    <x v="1420"/>
    <n v="35"/>
    <x v="0"/>
    <x v="1"/>
    <x v="1040"/>
    <n v="32.340000000000003"/>
    <n v="4.72"/>
    <x v="0"/>
    <x v="0"/>
    <s v="None"/>
    <n v="9"/>
    <x v="1"/>
  </r>
  <r>
    <x v="1421"/>
    <n v="57"/>
    <x v="1"/>
    <x v="3"/>
    <x v="811"/>
    <n v="17.23"/>
    <n v="10.28"/>
    <x v="2"/>
    <x v="2"/>
    <s v="Mild"/>
    <n v="16"/>
    <x v="0"/>
  </r>
  <r>
    <x v="1422"/>
    <n v="25"/>
    <x v="1"/>
    <x v="2"/>
    <x v="1184"/>
    <n v="24.68"/>
    <n v="1.44"/>
    <x v="2"/>
    <x v="1"/>
    <s v="Mild"/>
    <n v="31"/>
    <x v="0"/>
  </r>
  <r>
    <x v="1423"/>
    <n v="56"/>
    <x v="0"/>
    <x v="0"/>
    <x v="894"/>
    <n v="4.6100000000000003"/>
    <n v="17.63"/>
    <x v="3"/>
    <x v="1"/>
    <s v="Mild"/>
    <n v="21"/>
    <x v="1"/>
  </r>
  <r>
    <x v="1424"/>
    <n v="57"/>
    <x v="1"/>
    <x v="3"/>
    <x v="1185"/>
    <n v="6.11"/>
    <n v="4.34"/>
    <x v="1"/>
    <x v="1"/>
    <s v="Moderate"/>
    <n v="7"/>
    <x v="0"/>
  </r>
  <r>
    <x v="1425"/>
    <n v="31"/>
    <x v="0"/>
    <x v="3"/>
    <x v="1186"/>
    <n v="0.72"/>
    <n v="8.9"/>
    <x v="0"/>
    <x v="2"/>
    <s v="Severe"/>
    <n v="7"/>
    <x v="0"/>
  </r>
  <r>
    <x v="1426"/>
    <n v="49"/>
    <x v="1"/>
    <x v="1"/>
    <x v="1187"/>
    <n v="10.38"/>
    <n v="1.82"/>
    <x v="3"/>
    <x v="0"/>
    <s v="Moderate"/>
    <n v="17"/>
    <x v="0"/>
  </r>
  <r>
    <x v="1427"/>
    <n v="68"/>
    <x v="0"/>
    <x v="1"/>
    <x v="937"/>
    <n v="10.62"/>
    <n v="8.77"/>
    <x v="1"/>
    <x v="1"/>
    <s v="Moderate"/>
    <n v="28"/>
    <x v="0"/>
  </r>
  <r>
    <x v="1428"/>
    <n v="78"/>
    <x v="0"/>
    <x v="3"/>
    <x v="869"/>
    <n v="12.31"/>
    <n v="22.4"/>
    <x v="1"/>
    <x v="1"/>
    <s v="Mild"/>
    <n v="26"/>
    <x v="0"/>
  </r>
  <r>
    <x v="1429"/>
    <n v="55"/>
    <x v="1"/>
    <x v="3"/>
    <x v="1188"/>
    <n v="1.95"/>
    <n v="1.32"/>
    <x v="2"/>
    <x v="1"/>
    <s v="Mild"/>
    <n v="21"/>
    <x v="1"/>
  </r>
  <r>
    <x v="1430"/>
    <n v="50"/>
    <x v="1"/>
    <x v="0"/>
    <x v="1189"/>
    <n v="9.76"/>
    <n v="12.02"/>
    <x v="0"/>
    <x v="1"/>
    <s v="None"/>
    <n v="22"/>
    <x v="0"/>
  </r>
  <r>
    <x v="1431"/>
    <n v="40"/>
    <x v="1"/>
    <x v="1"/>
    <x v="948"/>
    <n v="12.82"/>
    <n v="5.47"/>
    <x v="2"/>
    <x v="1"/>
    <s v="None"/>
    <n v="11"/>
    <x v="0"/>
  </r>
  <r>
    <x v="1432"/>
    <n v="32"/>
    <x v="0"/>
    <x v="1"/>
    <x v="1190"/>
    <n v="14.29"/>
    <n v="20.54"/>
    <x v="3"/>
    <x v="0"/>
    <s v="None"/>
    <n v="30"/>
    <x v="0"/>
  </r>
  <r>
    <x v="1433"/>
    <n v="50"/>
    <x v="0"/>
    <x v="3"/>
    <x v="1191"/>
    <n v="6.34"/>
    <n v="3.96"/>
    <x v="2"/>
    <x v="1"/>
    <s v="None"/>
    <n v="18"/>
    <x v="0"/>
  </r>
  <r>
    <x v="1434"/>
    <n v="42"/>
    <x v="0"/>
    <x v="1"/>
    <x v="107"/>
    <n v="35.53"/>
    <n v="12.05"/>
    <x v="2"/>
    <x v="1"/>
    <s v="None"/>
    <n v="13"/>
    <x v="0"/>
  </r>
  <r>
    <x v="1435"/>
    <n v="34"/>
    <x v="1"/>
    <x v="1"/>
    <x v="1192"/>
    <n v="8.3800000000000008"/>
    <n v="9.67"/>
    <x v="1"/>
    <x v="0"/>
    <s v="None"/>
    <n v="27"/>
    <x v="0"/>
  </r>
  <r>
    <x v="1436"/>
    <n v="50"/>
    <x v="0"/>
    <x v="2"/>
    <x v="214"/>
    <n v="11.19"/>
    <n v="18.87"/>
    <x v="1"/>
    <x v="1"/>
    <s v="Moderate"/>
    <n v="23"/>
    <x v="1"/>
  </r>
  <r>
    <x v="1437"/>
    <n v="64"/>
    <x v="0"/>
    <x v="1"/>
    <x v="1193"/>
    <n v="7.63"/>
    <n v="15.92"/>
    <x v="3"/>
    <x v="1"/>
    <s v="Moderate"/>
    <n v="7"/>
    <x v="0"/>
  </r>
  <r>
    <x v="1438"/>
    <n v="72"/>
    <x v="1"/>
    <x v="2"/>
    <x v="1194"/>
    <n v="6.42"/>
    <n v="7.81"/>
    <x v="1"/>
    <x v="1"/>
    <s v="None"/>
    <n v="13"/>
    <x v="1"/>
  </r>
  <r>
    <x v="1439"/>
    <n v="19"/>
    <x v="0"/>
    <x v="1"/>
    <x v="1055"/>
    <n v="16.010000000000002"/>
    <n v="8.26"/>
    <x v="1"/>
    <x v="1"/>
    <s v="None"/>
    <n v="11"/>
    <x v="0"/>
  </r>
  <r>
    <x v="1440"/>
    <n v="31"/>
    <x v="0"/>
    <x v="1"/>
    <x v="36"/>
    <n v="2.0499999999999998"/>
    <n v="14.71"/>
    <x v="1"/>
    <x v="2"/>
    <s v="Moderate"/>
    <n v="13"/>
    <x v="0"/>
  </r>
  <r>
    <x v="1441"/>
    <n v="70"/>
    <x v="1"/>
    <x v="3"/>
    <x v="1195"/>
    <n v="16.7"/>
    <n v="3.08"/>
    <x v="2"/>
    <x v="0"/>
    <s v="Moderate"/>
    <n v="3"/>
    <x v="0"/>
  </r>
  <r>
    <x v="1442"/>
    <n v="57"/>
    <x v="0"/>
    <x v="0"/>
    <x v="1196"/>
    <n v="11"/>
    <n v="8.4"/>
    <x v="0"/>
    <x v="1"/>
    <s v="Moderate"/>
    <n v="28"/>
    <x v="0"/>
  </r>
  <r>
    <x v="1443"/>
    <n v="57"/>
    <x v="1"/>
    <x v="3"/>
    <x v="1197"/>
    <n v="8.74"/>
    <n v="6.04"/>
    <x v="3"/>
    <x v="1"/>
    <s v="Severe"/>
    <n v="12"/>
    <x v="1"/>
  </r>
  <r>
    <x v="1444"/>
    <n v="68"/>
    <x v="1"/>
    <x v="2"/>
    <x v="1198"/>
    <n v="3.37"/>
    <n v="3.19"/>
    <x v="2"/>
    <x v="1"/>
    <s v="Severe"/>
    <n v="21"/>
    <x v="1"/>
  </r>
  <r>
    <x v="1445"/>
    <n v="56"/>
    <x v="1"/>
    <x v="1"/>
    <x v="1199"/>
    <n v="10.33"/>
    <n v="9.98"/>
    <x v="3"/>
    <x v="0"/>
    <s v="None"/>
    <n v="18"/>
    <x v="0"/>
  </r>
  <r>
    <x v="1446"/>
    <n v="68"/>
    <x v="1"/>
    <x v="2"/>
    <x v="928"/>
    <n v="15.89"/>
    <n v="14.75"/>
    <x v="2"/>
    <x v="0"/>
    <s v="None"/>
    <n v="6"/>
    <x v="0"/>
  </r>
  <r>
    <x v="1447"/>
    <n v="23"/>
    <x v="1"/>
    <x v="1"/>
    <x v="1200"/>
    <n v="11.34"/>
    <n v="6"/>
    <x v="3"/>
    <x v="0"/>
    <s v="Mild"/>
    <n v="16"/>
    <x v="0"/>
  </r>
  <r>
    <x v="1448"/>
    <n v="23"/>
    <x v="0"/>
    <x v="2"/>
    <x v="494"/>
    <n v="9.5299999999999994"/>
    <n v="12.97"/>
    <x v="1"/>
    <x v="1"/>
    <s v="None"/>
    <n v="32"/>
    <x v="0"/>
  </r>
  <r>
    <x v="1449"/>
    <n v="20"/>
    <x v="0"/>
    <x v="3"/>
    <x v="1201"/>
    <n v="8.27"/>
    <n v="12.61"/>
    <x v="3"/>
    <x v="1"/>
    <s v="Moderate"/>
    <n v="9"/>
    <x v="0"/>
  </r>
  <r>
    <x v="1450"/>
    <n v="24"/>
    <x v="1"/>
    <x v="0"/>
    <x v="1202"/>
    <n v="7.01"/>
    <n v="14.07"/>
    <x v="0"/>
    <x v="0"/>
    <s v="None"/>
    <n v="14"/>
    <x v="0"/>
  </r>
  <r>
    <x v="1451"/>
    <n v="68"/>
    <x v="1"/>
    <x v="3"/>
    <x v="1078"/>
    <n v="3.62"/>
    <n v="14.28"/>
    <x v="3"/>
    <x v="2"/>
    <s v="Mild"/>
    <n v="26"/>
    <x v="0"/>
  </r>
  <r>
    <x v="1452"/>
    <n v="25"/>
    <x v="0"/>
    <x v="1"/>
    <x v="657"/>
    <n v="15.67"/>
    <n v="19.54"/>
    <x v="0"/>
    <x v="2"/>
    <s v="None"/>
    <n v="24"/>
    <x v="1"/>
  </r>
  <r>
    <x v="1453"/>
    <n v="59"/>
    <x v="1"/>
    <x v="1"/>
    <x v="1203"/>
    <n v="11.92"/>
    <n v="11.74"/>
    <x v="3"/>
    <x v="1"/>
    <s v="None"/>
    <n v="32"/>
    <x v="0"/>
  </r>
  <r>
    <x v="1454"/>
    <n v="69"/>
    <x v="1"/>
    <x v="0"/>
    <x v="1204"/>
    <n v="16.38"/>
    <n v="16.48"/>
    <x v="1"/>
    <x v="0"/>
    <s v="Mild"/>
    <n v="22"/>
    <x v="0"/>
  </r>
  <r>
    <x v="1455"/>
    <n v="32"/>
    <x v="1"/>
    <x v="3"/>
    <x v="1205"/>
    <n v="6.91"/>
    <n v="1.46"/>
    <x v="3"/>
    <x v="0"/>
    <s v="Moderate"/>
    <n v="28"/>
    <x v="0"/>
  </r>
  <r>
    <x v="1456"/>
    <n v="64"/>
    <x v="0"/>
    <x v="2"/>
    <x v="1206"/>
    <n v="8.76"/>
    <n v="21.91"/>
    <x v="2"/>
    <x v="2"/>
    <s v="None"/>
    <n v="7"/>
    <x v="0"/>
  </r>
  <r>
    <x v="1457"/>
    <n v="46"/>
    <x v="0"/>
    <x v="1"/>
    <x v="1207"/>
    <n v="3.42"/>
    <n v="1.75"/>
    <x v="1"/>
    <x v="1"/>
    <s v="Moderate"/>
    <n v="8"/>
    <x v="1"/>
  </r>
  <r>
    <x v="1458"/>
    <n v="50"/>
    <x v="1"/>
    <x v="1"/>
    <x v="1208"/>
    <n v="2.1800000000000002"/>
    <n v="27.85"/>
    <x v="1"/>
    <x v="0"/>
    <s v="Moderate"/>
    <n v="7"/>
    <x v="0"/>
  </r>
  <r>
    <x v="1459"/>
    <n v="69"/>
    <x v="1"/>
    <x v="1"/>
    <x v="1209"/>
    <n v="10.74"/>
    <n v="5.07"/>
    <x v="2"/>
    <x v="1"/>
    <s v="Mild"/>
    <n v="12"/>
    <x v="1"/>
  </r>
  <r>
    <x v="1460"/>
    <n v="47"/>
    <x v="0"/>
    <x v="0"/>
    <x v="1210"/>
    <n v="1.03"/>
    <n v="9.7100000000000009"/>
    <x v="1"/>
    <x v="0"/>
    <s v="Mild"/>
    <n v="30"/>
    <x v="0"/>
  </r>
  <r>
    <x v="1461"/>
    <n v="56"/>
    <x v="0"/>
    <x v="2"/>
    <x v="552"/>
    <n v="12.89"/>
    <n v="4.93"/>
    <x v="1"/>
    <x v="1"/>
    <s v="Mild"/>
    <n v="5"/>
    <x v="0"/>
  </r>
  <r>
    <x v="1462"/>
    <n v="44"/>
    <x v="1"/>
    <x v="0"/>
    <x v="359"/>
    <n v="6.15"/>
    <n v="19.43"/>
    <x v="2"/>
    <x v="0"/>
    <s v="None"/>
    <n v="15"/>
    <x v="0"/>
  </r>
  <r>
    <x v="1463"/>
    <n v="53"/>
    <x v="1"/>
    <x v="1"/>
    <x v="1211"/>
    <n v="39.67"/>
    <n v="9.16"/>
    <x v="1"/>
    <x v="2"/>
    <s v="None"/>
    <n v="4"/>
    <x v="0"/>
  </r>
  <r>
    <x v="1464"/>
    <n v="46"/>
    <x v="0"/>
    <x v="2"/>
    <x v="582"/>
    <n v="10.199999999999999"/>
    <n v="8.08"/>
    <x v="1"/>
    <x v="1"/>
    <s v="Moderate"/>
    <n v="30"/>
    <x v="0"/>
  </r>
  <r>
    <x v="1465"/>
    <n v="55"/>
    <x v="0"/>
    <x v="2"/>
    <x v="1212"/>
    <n v="15.15"/>
    <n v="12.96"/>
    <x v="1"/>
    <x v="0"/>
    <s v="Mild"/>
    <n v="25"/>
    <x v="1"/>
  </r>
  <r>
    <x v="1466"/>
    <n v="74"/>
    <x v="0"/>
    <x v="1"/>
    <x v="1213"/>
    <n v="5.71"/>
    <n v="12.43"/>
    <x v="1"/>
    <x v="1"/>
    <s v="None"/>
    <n v="25"/>
    <x v="0"/>
  </r>
  <r>
    <x v="1467"/>
    <n v="50"/>
    <x v="1"/>
    <x v="0"/>
    <x v="1214"/>
    <n v="21.85"/>
    <n v="5.98"/>
    <x v="3"/>
    <x v="1"/>
    <s v="Mild"/>
    <n v="34"/>
    <x v="0"/>
  </r>
  <r>
    <x v="1468"/>
    <n v="78"/>
    <x v="0"/>
    <x v="0"/>
    <x v="1215"/>
    <n v="23.04"/>
    <n v="10.64"/>
    <x v="1"/>
    <x v="1"/>
    <s v="None"/>
    <n v="4"/>
    <x v="0"/>
  </r>
  <r>
    <x v="1469"/>
    <n v="54"/>
    <x v="1"/>
    <x v="0"/>
    <x v="1216"/>
    <n v="19.489999999999998"/>
    <n v="10.64"/>
    <x v="1"/>
    <x v="1"/>
    <s v="None"/>
    <n v="18"/>
    <x v="0"/>
  </r>
  <r>
    <x v="1470"/>
    <n v="44"/>
    <x v="0"/>
    <x v="2"/>
    <x v="240"/>
    <n v="34.86"/>
    <n v="2.67"/>
    <x v="1"/>
    <x v="2"/>
    <s v="None"/>
    <n v="18"/>
    <x v="1"/>
  </r>
  <r>
    <x v="1471"/>
    <n v="72"/>
    <x v="0"/>
    <x v="1"/>
    <x v="1193"/>
    <n v="3.85"/>
    <n v="8.16"/>
    <x v="3"/>
    <x v="1"/>
    <s v="None"/>
    <n v="5"/>
    <x v="0"/>
  </r>
  <r>
    <x v="1472"/>
    <n v="50"/>
    <x v="0"/>
    <x v="1"/>
    <x v="870"/>
    <n v="15.96"/>
    <n v="22.65"/>
    <x v="0"/>
    <x v="0"/>
    <s v="None"/>
    <n v="30"/>
    <x v="0"/>
  </r>
  <r>
    <x v="1473"/>
    <n v="79"/>
    <x v="0"/>
    <x v="0"/>
    <x v="303"/>
    <n v="5.22"/>
    <n v="13.99"/>
    <x v="1"/>
    <x v="2"/>
    <s v="None"/>
    <n v="31"/>
    <x v="0"/>
  </r>
  <r>
    <x v="1474"/>
    <n v="21"/>
    <x v="1"/>
    <x v="1"/>
    <x v="1217"/>
    <n v="4.0199999999999996"/>
    <n v="4.96"/>
    <x v="0"/>
    <x v="2"/>
    <s v="Mild"/>
    <n v="22"/>
    <x v="0"/>
  </r>
  <r>
    <x v="1475"/>
    <n v="39"/>
    <x v="1"/>
    <x v="2"/>
    <x v="881"/>
    <n v="9.77"/>
    <n v="12.83"/>
    <x v="0"/>
    <x v="0"/>
    <s v="None"/>
    <n v="35"/>
    <x v="0"/>
  </r>
  <r>
    <x v="1476"/>
    <n v="19"/>
    <x v="0"/>
    <x v="2"/>
    <x v="1218"/>
    <n v="11.99"/>
    <n v="15.67"/>
    <x v="2"/>
    <x v="1"/>
    <s v="None"/>
    <n v="24"/>
    <x v="0"/>
  </r>
  <r>
    <x v="1477"/>
    <n v="27"/>
    <x v="1"/>
    <x v="2"/>
    <x v="1219"/>
    <n v="9.24"/>
    <n v="26.67"/>
    <x v="2"/>
    <x v="2"/>
    <s v="None"/>
    <n v="10"/>
    <x v="0"/>
  </r>
  <r>
    <x v="1478"/>
    <n v="22"/>
    <x v="0"/>
    <x v="0"/>
    <x v="1220"/>
    <n v="3.03"/>
    <n v="11.86"/>
    <x v="0"/>
    <x v="1"/>
    <s v="None"/>
    <n v="26"/>
    <x v="1"/>
  </r>
  <r>
    <x v="1479"/>
    <n v="76"/>
    <x v="0"/>
    <x v="1"/>
    <x v="248"/>
    <n v="10.53"/>
    <n v="17.309999999999999"/>
    <x v="3"/>
    <x v="2"/>
    <s v="None"/>
    <n v="22"/>
    <x v="0"/>
  </r>
  <r>
    <x v="1480"/>
    <n v="27"/>
    <x v="0"/>
    <x v="1"/>
    <x v="1221"/>
    <n v="9.8800000000000008"/>
    <n v="19.059999999999999"/>
    <x v="1"/>
    <x v="0"/>
    <s v="None"/>
    <n v="14"/>
    <x v="1"/>
  </r>
  <r>
    <x v="1481"/>
    <n v="50"/>
    <x v="0"/>
    <x v="1"/>
    <x v="1222"/>
    <n v="4.16"/>
    <n v="5.33"/>
    <x v="1"/>
    <x v="0"/>
    <s v="None"/>
    <n v="22"/>
    <x v="0"/>
  </r>
  <r>
    <x v="1482"/>
    <n v="71"/>
    <x v="1"/>
    <x v="3"/>
    <x v="1223"/>
    <n v="26.03"/>
    <n v="4.54"/>
    <x v="1"/>
    <x v="1"/>
    <s v="Moderate"/>
    <n v="22"/>
    <x v="0"/>
  </r>
  <r>
    <x v="1483"/>
    <n v="55"/>
    <x v="0"/>
    <x v="1"/>
    <x v="1139"/>
    <n v="32.79"/>
    <n v="3.09"/>
    <x v="2"/>
    <x v="0"/>
    <s v="None"/>
    <n v="6"/>
    <x v="0"/>
  </r>
  <r>
    <x v="1484"/>
    <n v="30"/>
    <x v="0"/>
    <x v="1"/>
    <x v="1224"/>
    <n v="11.05"/>
    <n v="13.35"/>
    <x v="2"/>
    <x v="2"/>
    <s v="None"/>
    <n v="32"/>
    <x v="0"/>
  </r>
  <r>
    <x v="1485"/>
    <n v="48"/>
    <x v="1"/>
    <x v="0"/>
    <x v="1225"/>
    <n v="0.5"/>
    <n v="3.96"/>
    <x v="1"/>
    <x v="2"/>
    <s v="None"/>
    <n v="33"/>
    <x v="0"/>
  </r>
  <r>
    <x v="1486"/>
    <n v="64"/>
    <x v="0"/>
    <x v="0"/>
    <x v="1226"/>
    <n v="9.9700000000000006"/>
    <n v="4.8899999999999997"/>
    <x v="0"/>
    <x v="1"/>
    <s v="None"/>
    <n v="24"/>
    <x v="0"/>
  </r>
  <r>
    <x v="1487"/>
    <n v="53"/>
    <x v="0"/>
    <x v="1"/>
    <x v="313"/>
    <n v="21.08"/>
    <n v="14.69"/>
    <x v="2"/>
    <x v="2"/>
    <s v="Mild"/>
    <n v="17"/>
    <x v="0"/>
  </r>
  <r>
    <x v="1488"/>
    <n v="62"/>
    <x v="0"/>
    <x v="3"/>
    <x v="5"/>
    <n v="10.15"/>
    <n v="7.29"/>
    <x v="1"/>
    <x v="1"/>
    <s v="None"/>
    <n v="30"/>
    <x v="1"/>
  </r>
  <r>
    <x v="1489"/>
    <n v="41"/>
    <x v="1"/>
    <x v="0"/>
    <x v="1227"/>
    <n v="9.18"/>
    <n v="15.35"/>
    <x v="0"/>
    <x v="0"/>
    <s v="None"/>
    <n v="13"/>
    <x v="0"/>
  </r>
  <r>
    <x v="1490"/>
    <n v="69"/>
    <x v="0"/>
    <x v="1"/>
    <x v="1228"/>
    <n v="16.16"/>
    <n v="17.22"/>
    <x v="1"/>
    <x v="0"/>
    <s v="None"/>
    <n v="16"/>
    <x v="0"/>
  </r>
  <r>
    <x v="1491"/>
    <n v="73"/>
    <x v="1"/>
    <x v="1"/>
    <x v="1229"/>
    <n v="39.99"/>
    <n v="4.0599999999999996"/>
    <x v="2"/>
    <x v="1"/>
    <s v="Mild"/>
    <n v="13"/>
    <x v="0"/>
  </r>
  <r>
    <x v="1492"/>
    <n v="32"/>
    <x v="0"/>
    <x v="1"/>
    <x v="1230"/>
    <n v="12.83"/>
    <n v="8.5399999999999991"/>
    <x v="3"/>
    <x v="1"/>
    <s v="None"/>
    <n v="11"/>
    <x v="0"/>
  </r>
  <r>
    <x v="1493"/>
    <n v="46"/>
    <x v="0"/>
    <x v="3"/>
    <x v="1231"/>
    <n v="11.14"/>
    <n v="17.87"/>
    <x v="3"/>
    <x v="0"/>
    <s v="Mild"/>
    <n v="26"/>
    <x v="0"/>
  </r>
  <r>
    <x v="1494"/>
    <n v="25"/>
    <x v="1"/>
    <x v="1"/>
    <x v="1232"/>
    <n v="24.27"/>
    <n v="9.81"/>
    <x v="2"/>
    <x v="1"/>
    <s v="None"/>
    <n v="12"/>
    <x v="1"/>
  </r>
  <r>
    <x v="1495"/>
    <n v="22"/>
    <x v="0"/>
    <x v="0"/>
    <x v="194"/>
    <n v="14"/>
    <n v="28.62"/>
    <x v="0"/>
    <x v="1"/>
    <s v="None"/>
    <n v="34"/>
    <x v="0"/>
  </r>
  <r>
    <x v="1496"/>
    <n v="46"/>
    <x v="0"/>
    <x v="3"/>
    <x v="1233"/>
    <n v="30.2"/>
    <n v="15.5"/>
    <x v="1"/>
    <x v="0"/>
    <s v="Mild"/>
    <n v="22"/>
    <x v="0"/>
  </r>
  <r>
    <x v="1497"/>
    <n v="64"/>
    <x v="1"/>
    <x v="3"/>
    <x v="1234"/>
    <n v="4.09"/>
    <n v="5.79"/>
    <x v="2"/>
    <x v="2"/>
    <s v="Mild"/>
    <n v="16"/>
    <x v="0"/>
  </r>
  <r>
    <x v="1498"/>
    <n v="21"/>
    <x v="1"/>
    <x v="1"/>
    <x v="1235"/>
    <n v="4.1399999999999997"/>
    <n v="18.52"/>
    <x v="0"/>
    <x v="0"/>
    <s v="Mild"/>
    <n v="6"/>
    <x v="0"/>
  </r>
  <r>
    <x v="1499"/>
    <n v="29"/>
    <x v="1"/>
    <x v="3"/>
    <x v="207"/>
    <n v="4.91"/>
    <n v="16.850000000000001"/>
    <x v="1"/>
    <x v="1"/>
    <s v="None"/>
    <n v="26"/>
    <x v="0"/>
  </r>
  <r>
    <x v="1500"/>
    <n v="62"/>
    <x v="1"/>
    <x v="2"/>
    <x v="1236"/>
    <n v="18.600000000000001"/>
    <n v="8.44"/>
    <x v="1"/>
    <x v="1"/>
    <s v="None"/>
    <n v="34"/>
    <x v="0"/>
  </r>
  <r>
    <x v="1501"/>
    <n v="19"/>
    <x v="1"/>
    <x v="2"/>
    <x v="1237"/>
    <n v="12.88"/>
    <n v="18.11"/>
    <x v="2"/>
    <x v="0"/>
    <s v="None"/>
    <n v="12"/>
    <x v="1"/>
  </r>
  <r>
    <x v="1502"/>
    <n v="44"/>
    <x v="0"/>
    <x v="2"/>
    <x v="180"/>
    <n v="8.17"/>
    <n v="16.84"/>
    <x v="1"/>
    <x v="0"/>
    <s v="Mild"/>
    <n v="18"/>
    <x v="0"/>
  </r>
  <r>
    <x v="1503"/>
    <n v="48"/>
    <x v="1"/>
    <x v="3"/>
    <x v="1238"/>
    <n v="12.95"/>
    <n v="12.71"/>
    <x v="3"/>
    <x v="0"/>
    <s v="Mild"/>
    <n v="34"/>
    <x v="0"/>
  </r>
  <r>
    <x v="1504"/>
    <n v="68"/>
    <x v="0"/>
    <x v="0"/>
    <x v="1239"/>
    <n v="20.54"/>
    <n v="13.02"/>
    <x v="3"/>
    <x v="2"/>
    <s v="None"/>
    <n v="20"/>
    <x v="0"/>
  </r>
  <r>
    <x v="1505"/>
    <n v="68"/>
    <x v="0"/>
    <x v="0"/>
    <x v="1149"/>
    <n v="7.83"/>
    <n v="12.84"/>
    <x v="1"/>
    <x v="1"/>
    <s v="Mild"/>
    <n v="27"/>
    <x v="0"/>
  </r>
  <r>
    <x v="1506"/>
    <n v="53"/>
    <x v="0"/>
    <x v="2"/>
    <x v="692"/>
    <n v="17.079999999999998"/>
    <n v="15.44"/>
    <x v="2"/>
    <x v="1"/>
    <s v="Mild"/>
    <n v="9"/>
    <x v="1"/>
  </r>
  <r>
    <x v="1507"/>
    <n v="53"/>
    <x v="1"/>
    <x v="1"/>
    <x v="1240"/>
    <n v="7.08"/>
    <n v="11.71"/>
    <x v="1"/>
    <x v="2"/>
    <s v="None"/>
    <n v="20"/>
    <x v="0"/>
  </r>
  <r>
    <x v="1508"/>
    <n v="43"/>
    <x v="1"/>
    <x v="1"/>
    <x v="353"/>
    <n v="2.31"/>
    <n v="4.79"/>
    <x v="2"/>
    <x v="0"/>
    <s v="Moderate"/>
    <n v="20"/>
    <x v="0"/>
  </r>
  <r>
    <x v="1509"/>
    <n v="60"/>
    <x v="0"/>
    <x v="1"/>
    <x v="1107"/>
    <n v="10.16"/>
    <n v="8.59"/>
    <x v="2"/>
    <x v="0"/>
    <s v="Moderate"/>
    <n v="5"/>
    <x v="0"/>
  </r>
  <r>
    <x v="1510"/>
    <n v="44"/>
    <x v="1"/>
    <x v="2"/>
    <x v="1241"/>
    <n v="2.0099999999999998"/>
    <n v="5.0199999999999996"/>
    <x v="3"/>
    <x v="2"/>
    <s v="None"/>
    <n v="3"/>
    <x v="0"/>
  </r>
  <r>
    <x v="1511"/>
    <n v="22"/>
    <x v="1"/>
    <x v="3"/>
    <x v="33"/>
    <n v="7.73"/>
    <n v="14.48"/>
    <x v="3"/>
    <x v="2"/>
    <s v="Moderate"/>
    <n v="35"/>
    <x v="1"/>
  </r>
  <r>
    <x v="1512"/>
    <n v="37"/>
    <x v="1"/>
    <x v="3"/>
    <x v="135"/>
    <n v="11.22"/>
    <n v="11.83"/>
    <x v="0"/>
    <x v="0"/>
    <s v="None"/>
    <n v="9"/>
    <x v="0"/>
  </r>
  <r>
    <x v="1513"/>
    <n v="28"/>
    <x v="1"/>
    <x v="0"/>
    <x v="1242"/>
    <n v="4.95"/>
    <n v="18.87"/>
    <x v="2"/>
    <x v="1"/>
    <s v="Mild"/>
    <n v="12"/>
    <x v="0"/>
  </r>
  <r>
    <x v="1514"/>
    <n v="79"/>
    <x v="0"/>
    <x v="0"/>
    <x v="1243"/>
    <n v="15.23"/>
    <n v="3.42"/>
    <x v="1"/>
    <x v="2"/>
    <s v="Moderate"/>
    <n v="10"/>
    <x v="0"/>
  </r>
  <r>
    <x v="1515"/>
    <n v="27"/>
    <x v="0"/>
    <x v="0"/>
    <x v="1161"/>
    <n v="8.33"/>
    <n v="20.239999999999998"/>
    <x v="2"/>
    <x v="0"/>
    <s v="None"/>
    <n v="34"/>
    <x v="0"/>
  </r>
  <r>
    <x v="1516"/>
    <n v="57"/>
    <x v="1"/>
    <x v="1"/>
    <x v="409"/>
    <n v="15.57"/>
    <n v="0.97"/>
    <x v="3"/>
    <x v="1"/>
    <s v="None"/>
    <n v="25"/>
    <x v="0"/>
  </r>
  <r>
    <x v="1517"/>
    <n v="55"/>
    <x v="0"/>
    <x v="2"/>
    <x v="1244"/>
    <n v="9.89"/>
    <n v="4.21"/>
    <x v="2"/>
    <x v="0"/>
    <s v="Moderate"/>
    <n v="19"/>
    <x v="0"/>
  </r>
  <r>
    <x v="1518"/>
    <n v="23"/>
    <x v="1"/>
    <x v="1"/>
    <x v="293"/>
    <n v="8.5500000000000007"/>
    <n v="3.92"/>
    <x v="0"/>
    <x v="1"/>
    <s v="None"/>
    <n v="16"/>
    <x v="0"/>
  </r>
  <r>
    <x v="1519"/>
    <n v="25"/>
    <x v="1"/>
    <x v="1"/>
    <x v="1245"/>
    <n v="4.9800000000000004"/>
    <n v="10.8"/>
    <x v="1"/>
    <x v="2"/>
    <s v="None"/>
    <n v="19"/>
    <x v="1"/>
  </r>
  <r>
    <x v="1520"/>
    <n v="40"/>
    <x v="0"/>
    <x v="1"/>
    <x v="1246"/>
    <n v="10.27"/>
    <n v="6.15"/>
    <x v="2"/>
    <x v="0"/>
    <s v="None"/>
    <n v="27"/>
    <x v="1"/>
  </r>
  <r>
    <x v="1521"/>
    <n v="64"/>
    <x v="0"/>
    <x v="1"/>
    <x v="549"/>
    <n v="11.29"/>
    <n v="9.59"/>
    <x v="1"/>
    <x v="2"/>
    <s v="Moderate"/>
    <n v="23"/>
    <x v="0"/>
  </r>
  <r>
    <x v="1522"/>
    <n v="43"/>
    <x v="0"/>
    <x v="3"/>
    <x v="1247"/>
    <n v="13.09"/>
    <n v="3.78"/>
    <x v="1"/>
    <x v="2"/>
    <s v="Moderate"/>
    <n v="8"/>
    <x v="0"/>
  </r>
  <r>
    <x v="1523"/>
    <n v="63"/>
    <x v="1"/>
    <x v="0"/>
    <x v="1248"/>
    <n v="12.19"/>
    <n v="11.04"/>
    <x v="3"/>
    <x v="2"/>
    <s v="None"/>
    <n v="22"/>
    <x v="0"/>
  </r>
  <r>
    <x v="1524"/>
    <n v="60"/>
    <x v="0"/>
    <x v="1"/>
    <x v="878"/>
    <n v="2.99"/>
    <n v="4.59"/>
    <x v="2"/>
    <x v="0"/>
    <s v="Moderate"/>
    <n v="22"/>
    <x v="0"/>
  </r>
  <r>
    <x v="1525"/>
    <n v="29"/>
    <x v="1"/>
    <x v="2"/>
    <x v="1249"/>
    <n v="19.940000000000001"/>
    <n v="11.33"/>
    <x v="1"/>
    <x v="2"/>
    <s v="None"/>
    <n v="28"/>
    <x v="1"/>
  </r>
  <r>
    <x v="1526"/>
    <n v="43"/>
    <x v="0"/>
    <x v="3"/>
    <x v="1250"/>
    <n v="13.43"/>
    <n v="9.49"/>
    <x v="3"/>
    <x v="1"/>
    <s v="Severe"/>
    <n v="34"/>
    <x v="0"/>
  </r>
  <r>
    <x v="1527"/>
    <n v="30"/>
    <x v="0"/>
    <x v="1"/>
    <x v="1251"/>
    <n v="10.48"/>
    <n v="3.17"/>
    <x v="0"/>
    <x v="1"/>
    <s v="Mild"/>
    <n v="10"/>
    <x v="0"/>
  </r>
  <r>
    <x v="1528"/>
    <n v="57"/>
    <x v="1"/>
    <x v="3"/>
    <x v="1252"/>
    <n v="12.99"/>
    <n v="2"/>
    <x v="0"/>
    <x v="2"/>
    <s v="None"/>
    <n v="31"/>
    <x v="1"/>
  </r>
  <r>
    <x v="1529"/>
    <n v="79"/>
    <x v="1"/>
    <x v="1"/>
    <x v="1253"/>
    <n v="14.8"/>
    <n v="10.25"/>
    <x v="2"/>
    <x v="0"/>
    <s v="None"/>
    <n v="19"/>
    <x v="0"/>
  </r>
  <r>
    <x v="1530"/>
    <n v="35"/>
    <x v="1"/>
    <x v="3"/>
    <x v="1254"/>
    <n v="33.75"/>
    <n v="10.99"/>
    <x v="1"/>
    <x v="1"/>
    <s v="None"/>
    <n v="20"/>
    <x v="0"/>
  </r>
  <r>
    <x v="1531"/>
    <n v="42"/>
    <x v="1"/>
    <x v="3"/>
    <x v="1255"/>
    <n v="6.34"/>
    <n v="12.54"/>
    <x v="2"/>
    <x v="1"/>
    <s v="None"/>
    <n v="20"/>
    <x v="0"/>
  </r>
  <r>
    <x v="1532"/>
    <n v="50"/>
    <x v="1"/>
    <x v="1"/>
    <x v="1256"/>
    <n v="6.49"/>
    <n v="2.1"/>
    <x v="1"/>
    <x v="1"/>
    <s v="Mild"/>
    <n v="13"/>
    <x v="1"/>
  </r>
  <r>
    <x v="1533"/>
    <n v="64"/>
    <x v="1"/>
    <x v="1"/>
    <x v="1257"/>
    <n v="3.87"/>
    <n v="21.25"/>
    <x v="3"/>
    <x v="0"/>
    <s v="None"/>
    <n v="14"/>
    <x v="0"/>
  </r>
  <r>
    <x v="1534"/>
    <n v="57"/>
    <x v="1"/>
    <x v="3"/>
    <x v="1258"/>
    <n v="1.42"/>
    <n v="9.25"/>
    <x v="0"/>
    <x v="0"/>
    <s v="Severe"/>
    <n v="17"/>
    <x v="0"/>
  </r>
  <r>
    <x v="1535"/>
    <n v="77"/>
    <x v="1"/>
    <x v="0"/>
    <x v="1259"/>
    <n v="13.68"/>
    <n v="10.61"/>
    <x v="0"/>
    <x v="1"/>
    <s v="Mild"/>
    <n v="28"/>
    <x v="0"/>
  </r>
  <r>
    <x v="1536"/>
    <n v="60"/>
    <x v="0"/>
    <x v="1"/>
    <x v="1260"/>
    <n v="34.65"/>
    <n v="1.35"/>
    <x v="0"/>
    <x v="2"/>
    <s v="Mild"/>
    <n v="5"/>
    <x v="0"/>
  </r>
  <r>
    <x v="1537"/>
    <n v="29"/>
    <x v="1"/>
    <x v="2"/>
    <x v="1261"/>
    <n v="8.0399999999999991"/>
    <n v="2.44"/>
    <x v="0"/>
    <x v="1"/>
    <s v="None"/>
    <n v="5"/>
    <x v="0"/>
  </r>
  <r>
    <x v="1538"/>
    <n v="61"/>
    <x v="1"/>
    <x v="2"/>
    <x v="1262"/>
    <n v="22.92"/>
    <n v="13.56"/>
    <x v="2"/>
    <x v="0"/>
    <s v="Moderate"/>
    <n v="11"/>
    <x v="0"/>
  </r>
  <r>
    <x v="1539"/>
    <n v="53"/>
    <x v="0"/>
    <x v="0"/>
    <x v="378"/>
    <n v="8.14"/>
    <n v="12.03"/>
    <x v="1"/>
    <x v="0"/>
    <s v="Mild"/>
    <n v="6"/>
    <x v="0"/>
  </r>
  <r>
    <x v="1540"/>
    <n v="65"/>
    <x v="1"/>
    <x v="0"/>
    <x v="1263"/>
    <n v="22.19"/>
    <n v="7.45"/>
    <x v="2"/>
    <x v="0"/>
    <s v="Moderate"/>
    <n v="22"/>
    <x v="0"/>
  </r>
  <r>
    <x v="1541"/>
    <n v="21"/>
    <x v="0"/>
    <x v="3"/>
    <x v="1264"/>
    <n v="12.92"/>
    <n v="15.36"/>
    <x v="3"/>
    <x v="1"/>
    <s v="Severe"/>
    <n v="17"/>
    <x v="0"/>
  </r>
  <r>
    <x v="1542"/>
    <n v="22"/>
    <x v="0"/>
    <x v="2"/>
    <x v="1265"/>
    <n v="10.34"/>
    <n v="7.5"/>
    <x v="0"/>
    <x v="1"/>
    <s v="None"/>
    <n v="31"/>
    <x v="0"/>
  </r>
  <r>
    <x v="1543"/>
    <n v="73"/>
    <x v="1"/>
    <x v="0"/>
    <x v="792"/>
    <n v="6.4"/>
    <n v="8.5"/>
    <x v="1"/>
    <x v="2"/>
    <s v="None"/>
    <n v="7"/>
    <x v="1"/>
  </r>
  <r>
    <x v="1544"/>
    <n v="54"/>
    <x v="0"/>
    <x v="3"/>
    <x v="1266"/>
    <n v="10.73"/>
    <n v="19.02"/>
    <x v="2"/>
    <x v="1"/>
    <s v="Moderate"/>
    <n v="9"/>
    <x v="0"/>
  </r>
  <r>
    <x v="1545"/>
    <n v="25"/>
    <x v="1"/>
    <x v="1"/>
    <x v="1267"/>
    <n v="18.350000000000001"/>
    <n v="2.4700000000000002"/>
    <x v="1"/>
    <x v="2"/>
    <s v="Moderate"/>
    <n v="10"/>
    <x v="0"/>
  </r>
  <r>
    <x v="1546"/>
    <n v="59"/>
    <x v="0"/>
    <x v="1"/>
    <x v="1268"/>
    <n v="5.73"/>
    <n v="8.31"/>
    <x v="2"/>
    <x v="0"/>
    <s v="Mild"/>
    <n v="34"/>
    <x v="0"/>
  </r>
  <r>
    <x v="1547"/>
    <n v="66"/>
    <x v="0"/>
    <x v="0"/>
    <x v="1269"/>
    <n v="9.52"/>
    <n v="17.100000000000001"/>
    <x v="1"/>
    <x v="1"/>
    <s v="None"/>
    <n v="35"/>
    <x v="0"/>
  </r>
  <r>
    <x v="1548"/>
    <n v="45"/>
    <x v="0"/>
    <x v="0"/>
    <x v="1270"/>
    <n v="11.77"/>
    <n v="26.52"/>
    <x v="1"/>
    <x v="0"/>
    <s v="Mild"/>
    <n v="34"/>
    <x v="1"/>
  </r>
  <r>
    <x v="1549"/>
    <n v="48"/>
    <x v="1"/>
    <x v="1"/>
    <x v="1271"/>
    <n v="17.920000000000002"/>
    <n v="6.1"/>
    <x v="0"/>
    <x v="1"/>
    <s v="None"/>
    <n v="27"/>
    <x v="1"/>
  </r>
  <r>
    <x v="1550"/>
    <n v="75"/>
    <x v="1"/>
    <x v="3"/>
    <x v="1272"/>
    <n v="10.97"/>
    <n v="14.76"/>
    <x v="2"/>
    <x v="0"/>
    <s v="None"/>
    <n v="34"/>
    <x v="1"/>
  </r>
  <r>
    <x v="1551"/>
    <n v="26"/>
    <x v="0"/>
    <x v="3"/>
    <x v="399"/>
    <n v="8.1999999999999993"/>
    <n v="19.14"/>
    <x v="3"/>
    <x v="2"/>
    <s v="None"/>
    <n v="4"/>
    <x v="1"/>
  </r>
  <r>
    <x v="1552"/>
    <n v="71"/>
    <x v="0"/>
    <x v="1"/>
    <x v="1273"/>
    <n v="12.34"/>
    <n v="14.79"/>
    <x v="1"/>
    <x v="1"/>
    <s v="None"/>
    <n v="11"/>
    <x v="1"/>
  </r>
  <r>
    <x v="1553"/>
    <n v="68"/>
    <x v="1"/>
    <x v="0"/>
    <x v="1274"/>
    <n v="21.83"/>
    <n v="18.579999999999998"/>
    <x v="3"/>
    <x v="0"/>
    <s v="None"/>
    <n v="31"/>
    <x v="0"/>
  </r>
  <r>
    <x v="1554"/>
    <n v="46"/>
    <x v="1"/>
    <x v="1"/>
    <x v="1275"/>
    <n v="13.96"/>
    <n v="2.76"/>
    <x v="0"/>
    <x v="1"/>
    <s v="Severe"/>
    <n v="20"/>
    <x v="0"/>
  </r>
  <r>
    <x v="1555"/>
    <n v="31"/>
    <x v="0"/>
    <x v="1"/>
    <x v="22"/>
    <n v="9.7100000000000009"/>
    <n v="11.68"/>
    <x v="3"/>
    <x v="0"/>
    <s v="Moderate"/>
    <n v="24"/>
    <x v="1"/>
  </r>
  <r>
    <x v="1556"/>
    <n v="57"/>
    <x v="0"/>
    <x v="3"/>
    <x v="895"/>
    <n v="10.59"/>
    <n v="7.85"/>
    <x v="1"/>
    <x v="1"/>
    <s v="Moderate"/>
    <n v="17"/>
    <x v="0"/>
  </r>
  <r>
    <x v="1557"/>
    <n v="58"/>
    <x v="1"/>
    <x v="2"/>
    <x v="139"/>
    <n v="4.08"/>
    <n v="12.55"/>
    <x v="1"/>
    <x v="0"/>
    <s v="Moderate"/>
    <n v="9"/>
    <x v="0"/>
  </r>
  <r>
    <x v="1558"/>
    <n v="39"/>
    <x v="1"/>
    <x v="1"/>
    <x v="38"/>
    <n v="16.899999999999999"/>
    <n v="15.87"/>
    <x v="1"/>
    <x v="2"/>
    <s v="None"/>
    <n v="15"/>
    <x v="0"/>
  </r>
  <r>
    <x v="1559"/>
    <n v="28"/>
    <x v="1"/>
    <x v="2"/>
    <x v="1276"/>
    <n v="3.07"/>
    <n v="7.1"/>
    <x v="2"/>
    <x v="1"/>
    <s v="Moderate"/>
    <n v="18"/>
    <x v="0"/>
  </r>
  <r>
    <x v="1560"/>
    <n v="40"/>
    <x v="1"/>
    <x v="3"/>
    <x v="1277"/>
    <n v="7.18"/>
    <n v="5.45"/>
    <x v="3"/>
    <x v="0"/>
    <s v="Moderate"/>
    <n v="23"/>
    <x v="1"/>
  </r>
  <r>
    <x v="1561"/>
    <n v="18"/>
    <x v="1"/>
    <x v="1"/>
    <x v="1278"/>
    <n v="8.84"/>
    <n v="4.3600000000000003"/>
    <x v="2"/>
    <x v="0"/>
    <s v="Moderate"/>
    <n v="30"/>
    <x v="0"/>
  </r>
  <r>
    <x v="1562"/>
    <n v="63"/>
    <x v="0"/>
    <x v="1"/>
    <x v="415"/>
    <n v="7.17"/>
    <n v="5.53"/>
    <x v="1"/>
    <x v="0"/>
    <s v="Mild"/>
    <n v="12"/>
    <x v="0"/>
  </r>
  <r>
    <x v="1563"/>
    <n v="54"/>
    <x v="1"/>
    <x v="3"/>
    <x v="269"/>
    <n v="4.26"/>
    <n v="13.17"/>
    <x v="1"/>
    <x v="0"/>
    <s v="None"/>
    <n v="21"/>
    <x v="0"/>
  </r>
  <r>
    <x v="1564"/>
    <n v="38"/>
    <x v="0"/>
    <x v="1"/>
    <x v="21"/>
    <n v="5.84"/>
    <n v="3.58"/>
    <x v="0"/>
    <x v="0"/>
    <s v="None"/>
    <n v="19"/>
    <x v="0"/>
  </r>
  <r>
    <x v="1565"/>
    <n v="43"/>
    <x v="1"/>
    <x v="0"/>
    <x v="1279"/>
    <n v="2.89"/>
    <n v="14.95"/>
    <x v="0"/>
    <x v="1"/>
    <s v="None"/>
    <n v="3"/>
    <x v="1"/>
  </r>
  <r>
    <x v="1566"/>
    <n v="63"/>
    <x v="0"/>
    <x v="0"/>
    <x v="791"/>
    <n v="27.74"/>
    <n v="23.87"/>
    <x v="1"/>
    <x v="2"/>
    <s v="Severe"/>
    <n v="15"/>
    <x v="0"/>
  </r>
  <r>
    <x v="1567"/>
    <n v="53"/>
    <x v="1"/>
    <x v="0"/>
    <x v="685"/>
    <n v="6.55"/>
    <n v="11.85"/>
    <x v="2"/>
    <x v="2"/>
    <s v="None"/>
    <n v="22"/>
    <x v="1"/>
  </r>
  <r>
    <x v="1568"/>
    <n v="71"/>
    <x v="1"/>
    <x v="1"/>
    <x v="1280"/>
    <n v="6.03"/>
    <n v="17.63"/>
    <x v="2"/>
    <x v="1"/>
    <s v="Moderate"/>
    <n v="8"/>
    <x v="0"/>
  </r>
  <r>
    <x v="1569"/>
    <n v="40"/>
    <x v="0"/>
    <x v="0"/>
    <x v="1281"/>
    <n v="34.54"/>
    <n v="8.5"/>
    <x v="1"/>
    <x v="1"/>
    <s v="None"/>
    <n v="25"/>
    <x v="0"/>
  </r>
  <r>
    <x v="1570"/>
    <n v="74"/>
    <x v="0"/>
    <x v="3"/>
    <x v="1282"/>
    <n v="2.19"/>
    <n v="15.22"/>
    <x v="3"/>
    <x v="0"/>
    <s v="Mild"/>
    <n v="26"/>
    <x v="0"/>
  </r>
  <r>
    <x v="1571"/>
    <n v="18"/>
    <x v="1"/>
    <x v="1"/>
    <x v="1283"/>
    <n v="15.09"/>
    <n v="1.63"/>
    <x v="2"/>
    <x v="2"/>
    <s v="None"/>
    <n v="7"/>
    <x v="1"/>
  </r>
  <r>
    <x v="1572"/>
    <n v="71"/>
    <x v="1"/>
    <x v="1"/>
    <x v="1284"/>
    <n v="10.41"/>
    <n v="5.34"/>
    <x v="1"/>
    <x v="2"/>
    <s v="None"/>
    <n v="34"/>
    <x v="0"/>
  </r>
  <r>
    <x v="1573"/>
    <n v="72"/>
    <x v="1"/>
    <x v="1"/>
    <x v="67"/>
    <n v="4.32"/>
    <n v="17.09"/>
    <x v="0"/>
    <x v="2"/>
    <s v="None"/>
    <n v="19"/>
    <x v="0"/>
  </r>
  <r>
    <x v="1574"/>
    <n v="68"/>
    <x v="1"/>
    <x v="2"/>
    <x v="1285"/>
    <n v="10.99"/>
    <n v="27.44"/>
    <x v="1"/>
    <x v="1"/>
    <s v="Mild"/>
    <n v="13"/>
    <x v="0"/>
  </r>
  <r>
    <x v="1575"/>
    <n v="57"/>
    <x v="1"/>
    <x v="3"/>
    <x v="1286"/>
    <n v="30.73"/>
    <n v="14.88"/>
    <x v="2"/>
    <x v="2"/>
    <s v="None"/>
    <n v="29"/>
    <x v="0"/>
  </r>
  <r>
    <x v="1576"/>
    <n v="32"/>
    <x v="0"/>
    <x v="1"/>
    <x v="1287"/>
    <n v="15"/>
    <n v="4.29"/>
    <x v="1"/>
    <x v="2"/>
    <s v="Mild"/>
    <n v="6"/>
    <x v="0"/>
  </r>
  <r>
    <x v="1577"/>
    <n v="38"/>
    <x v="0"/>
    <x v="2"/>
    <x v="1288"/>
    <n v="13.64"/>
    <n v="22.9"/>
    <x v="3"/>
    <x v="1"/>
    <s v="None"/>
    <n v="25"/>
    <x v="1"/>
  </r>
  <r>
    <x v="1578"/>
    <n v="64"/>
    <x v="1"/>
    <x v="1"/>
    <x v="1289"/>
    <n v="3.35"/>
    <n v="7.64"/>
    <x v="3"/>
    <x v="1"/>
    <s v="Moderate"/>
    <n v="25"/>
    <x v="0"/>
  </r>
  <r>
    <x v="1579"/>
    <n v="26"/>
    <x v="0"/>
    <x v="3"/>
    <x v="1290"/>
    <n v="5.01"/>
    <n v="11.42"/>
    <x v="2"/>
    <x v="0"/>
    <s v="None"/>
    <n v="23"/>
    <x v="1"/>
  </r>
  <r>
    <x v="1580"/>
    <n v="70"/>
    <x v="0"/>
    <x v="3"/>
    <x v="721"/>
    <n v="2.38"/>
    <n v="14.97"/>
    <x v="1"/>
    <x v="0"/>
    <s v="Mild"/>
    <n v="24"/>
    <x v="1"/>
  </r>
  <r>
    <x v="1581"/>
    <n v="26"/>
    <x v="0"/>
    <x v="0"/>
    <x v="1291"/>
    <n v="10.68"/>
    <n v="14.73"/>
    <x v="3"/>
    <x v="1"/>
    <s v="None"/>
    <n v="3"/>
    <x v="0"/>
  </r>
  <r>
    <x v="1582"/>
    <n v="27"/>
    <x v="1"/>
    <x v="0"/>
    <x v="355"/>
    <n v="10.34"/>
    <n v="24.13"/>
    <x v="3"/>
    <x v="1"/>
    <s v="Mild"/>
    <n v="34"/>
    <x v="0"/>
  </r>
  <r>
    <x v="1583"/>
    <n v="69"/>
    <x v="0"/>
    <x v="3"/>
    <x v="615"/>
    <n v="5.04"/>
    <n v="13.79"/>
    <x v="0"/>
    <x v="1"/>
    <s v="None"/>
    <n v="30"/>
    <x v="1"/>
  </r>
  <r>
    <x v="1584"/>
    <n v="74"/>
    <x v="1"/>
    <x v="3"/>
    <x v="1292"/>
    <n v="18.41"/>
    <n v="4.09"/>
    <x v="2"/>
    <x v="1"/>
    <s v="Mild"/>
    <n v="20"/>
    <x v="0"/>
  </r>
  <r>
    <x v="1585"/>
    <n v="70"/>
    <x v="0"/>
    <x v="3"/>
    <x v="1293"/>
    <n v="3.13"/>
    <n v="18.68"/>
    <x v="0"/>
    <x v="1"/>
    <s v="Moderate"/>
    <n v="9"/>
    <x v="0"/>
  </r>
  <r>
    <x v="1586"/>
    <n v="43"/>
    <x v="1"/>
    <x v="0"/>
    <x v="157"/>
    <n v="5.4"/>
    <n v="16.34"/>
    <x v="0"/>
    <x v="0"/>
    <s v="None"/>
    <n v="8"/>
    <x v="0"/>
  </r>
  <r>
    <x v="1587"/>
    <n v="58"/>
    <x v="0"/>
    <x v="1"/>
    <x v="1130"/>
    <n v="10.95"/>
    <n v="1.92"/>
    <x v="3"/>
    <x v="1"/>
    <s v="None"/>
    <n v="16"/>
    <x v="0"/>
  </r>
  <r>
    <x v="1588"/>
    <n v="52"/>
    <x v="1"/>
    <x v="1"/>
    <x v="1294"/>
    <n v="3.55"/>
    <n v="7.52"/>
    <x v="1"/>
    <x v="2"/>
    <s v="Mild"/>
    <n v="32"/>
    <x v="0"/>
  </r>
  <r>
    <x v="1589"/>
    <n v="69"/>
    <x v="1"/>
    <x v="1"/>
    <x v="326"/>
    <n v="7.89"/>
    <n v="6.06"/>
    <x v="0"/>
    <x v="2"/>
    <s v="Mild"/>
    <n v="16"/>
    <x v="0"/>
  </r>
  <r>
    <x v="1590"/>
    <n v="42"/>
    <x v="0"/>
    <x v="3"/>
    <x v="579"/>
    <n v="5.75"/>
    <n v="3.99"/>
    <x v="2"/>
    <x v="2"/>
    <s v="None"/>
    <n v="11"/>
    <x v="0"/>
  </r>
  <r>
    <x v="1591"/>
    <n v="43"/>
    <x v="1"/>
    <x v="3"/>
    <x v="1212"/>
    <n v="12.17"/>
    <n v="10.48"/>
    <x v="2"/>
    <x v="0"/>
    <s v="None"/>
    <n v="33"/>
    <x v="0"/>
  </r>
  <r>
    <x v="1592"/>
    <n v="28"/>
    <x v="1"/>
    <x v="0"/>
    <x v="1295"/>
    <n v="2.86"/>
    <n v="10.74"/>
    <x v="1"/>
    <x v="1"/>
    <s v="None"/>
    <n v="4"/>
    <x v="0"/>
  </r>
  <r>
    <x v="1593"/>
    <n v="55"/>
    <x v="1"/>
    <x v="1"/>
    <x v="1296"/>
    <n v="1.1299999999999999"/>
    <n v="6.33"/>
    <x v="2"/>
    <x v="1"/>
    <s v="None"/>
    <n v="20"/>
    <x v="0"/>
  </r>
  <r>
    <x v="1594"/>
    <n v="19"/>
    <x v="1"/>
    <x v="3"/>
    <x v="1297"/>
    <n v="3.4"/>
    <n v="18.46"/>
    <x v="0"/>
    <x v="1"/>
    <s v="None"/>
    <n v="7"/>
    <x v="0"/>
  </r>
  <r>
    <x v="1595"/>
    <n v="24"/>
    <x v="1"/>
    <x v="0"/>
    <x v="563"/>
    <n v="18.600000000000001"/>
    <n v="5.04"/>
    <x v="1"/>
    <x v="2"/>
    <s v="Moderate"/>
    <n v="28"/>
    <x v="0"/>
  </r>
  <r>
    <x v="1596"/>
    <n v="35"/>
    <x v="1"/>
    <x v="0"/>
    <x v="1298"/>
    <n v="17.68"/>
    <n v="6.36"/>
    <x v="2"/>
    <x v="1"/>
    <s v="None"/>
    <n v="25"/>
    <x v="0"/>
  </r>
  <r>
    <x v="1597"/>
    <n v="44"/>
    <x v="1"/>
    <x v="3"/>
    <x v="1299"/>
    <n v="4.5199999999999996"/>
    <n v="7.83"/>
    <x v="2"/>
    <x v="0"/>
    <s v="Mild"/>
    <n v="14"/>
    <x v="0"/>
  </r>
  <r>
    <x v="1598"/>
    <n v="51"/>
    <x v="1"/>
    <x v="3"/>
    <x v="1300"/>
    <n v="9.5"/>
    <n v="14.29"/>
    <x v="0"/>
    <x v="0"/>
    <s v="Moderate"/>
    <n v="16"/>
    <x v="0"/>
  </r>
  <r>
    <x v="1599"/>
    <n v="44"/>
    <x v="0"/>
    <x v="1"/>
    <x v="1301"/>
    <n v="10.14"/>
    <n v="19.440000000000001"/>
    <x v="0"/>
    <x v="2"/>
    <s v="None"/>
    <n v="15"/>
    <x v="1"/>
  </r>
  <r>
    <x v="1600"/>
    <n v="34"/>
    <x v="0"/>
    <x v="0"/>
    <x v="1302"/>
    <n v="2.7"/>
    <n v="4.03"/>
    <x v="0"/>
    <x v="0"/>
    <s v="Mild"/>
    <n v="17"/>
    <x v="0"/>
  </r>
  <r>
    <x v="1601"/>
    <n v="60"/>
    <x v="1"/>
    <x v="1"/>
    <x v="349"/>
    <n v="5.88"/>
    <n v="12.46"/>
    <x v="0"/>
    <x v="0"/>
    <s v="Moderate"/>
    <n v="21"/>
    <x v="0"/>
  </r>
  <r>
    <x v="1602"/>
    <n v="76"/>
    <x v="1"/>
    <x v="0"/>
    <x v="1303"/>
    <n v="8.5299999999999994"/>
    <n v="14.86"/>
    <x v="1"/>
    <x v="0"/>
    <s v="None"/>
    <n v="17"/>
    <x v="0"/>
  </r>
  <r>
    <x v="1603"/>
    <n v="61"/>
    <x v="0"/>
    <x v="2"/>
    <x v="651"/>
    <n v="0.86"/>
    <n v="18.489999999999998"/>
    <x v="1"/>
    <x v="0"/>
    <s v="None"/>
    <n v="10"/>
    <x v="0"/>
  </r>
  <r>
    <x v="1604"/>
    <n v="76"/>
    <x v="0"/>
    <x v="3"/>
    <x v="187"/>
    <n v="10.91"/>
    <n v="7.08"/>
    <x v="1"/>
    <x v="1"/>
    <s v="Severe"/>
    <n v="25"/>
    <x v="0"/>
  </r>
  <r>
    <x v="1605"/>
    <n v="68"/>
    <x v="0"/>
    <x v="1"/>
    <x v="1304"/>
    <n v="14.19"/>
    <n v="8.5299999999999994"/>
    <x v="3"/>
    <x v="2"/>
    <s v="Severe"/>
    <n v="15"/>
    <x v="0"/>
  </r>
  <r>
    <x v="1606"/>
    <n v="71"/>
    <x v="1"/>
    <x v="3"/>
    <x v="1305"/>
    <n v="11.79"/>
    <n v="6.9"/>
    <x v="0"/>
    <x v="0"/>
    <s v="None"/>
    <n v="25"/>
    <x v="0"/>
  </r>
  <r>
    <x v="1607"/>
    <n v="41"/>
    <x v="0"/>
    <x v="3"/>
    <x v="1306"/>
    <n v="16.559999999999999"/>
    <n v="7.88"/>
    <x v="0"/>
    <x v="1"/>
    <s v="None"/>
    <n v="33"/>
    <x v="1"/>
  </r>
  <r>
    <x v="1608"/>
    <n v="42"/>
    <x v="1"/>
    <x v="1"/>
    <x v="1307"/>
    <n v="13.68"/>
    <n v="5.8"/>
    <x v="1"/>
    <x v="2"/>
    <s v="None"/>
    <n v="32"/>
    <x v="0"/>
  </r>
  <r>
    <x v="1609"/>
    <n v="24"/>
    <x v="1"/>
    <x v="2"/>
    <x v="1308"/>
    <n v="18.309999999999999"/>
    <n v="9.81"/>
    <x v="2"/>
    <x v="0"/>
    <s v="None"/>
    <n v="4"/>
    <x v="1"/>
  </r>
  <r>
    <x v="1610"/>
    <n v="69"/>
    <x v="0"/>
    <x v="0"/>
    <x v="1309"/>
    <n v="1.27"/>
    <n v="1.05"/>
    <x v="2"/>
    <x v="2"/>
    <s v="None"/>
    <n v="13"/>
    <x v="0"/>
  </r>
  <r>
    <x v="1611"/>
    <n v="23"/>
    <x v="1"/>
    <x v="3"/>
    <x v="147"/>
    <n v="7.29"/>
    <n v="4.79"/>
    <x v="0"/>
    <x v="2"/>
    <s v="Mild"/>
    <n v="27"/>
    <x v="1"/>
  </r>
  <r>
    <x v="1612"/>
    <n v="70"/>
    <x v="1"/>
    <x v="2"/>
    <x v="1310"/>
    <n v="4.0999999999999996"/>
    <n v="6.43"/>
    <x v="0"/>
    <x v="2"/>
    <s v="Moderate"/>
    <n v="31"/>
    <x v="0"/>
  </r>
  <r>
    <x v="1613"/>
    <n v="41"/>
    <x v="1"/>
    <x v="1"/>
    <x v="848"/>
    <n v="1.31"/>
    <n v="10.57"/>
    <x v="1"/>
    <x v="1"/>
    <s v="None"/>
    <n v="24"/>
    <x v="0"/>
  </r>
  <r>
    <x v="1614"/>
    <n v="50"/>
    <x v="1"/>
    <x v="3"/>
    <x v="611"/>
    <n v="8.94"/>
    <n v="15.32"/>
    <x v="0"/>
    <x v="1"/>
    <s v="Moderate"/>
    <n v="21"/>
    <x v="0"/>
  </r>
  <r>
    <x v="1615"/>
    <n v="66"/>
    <x v="0"/>
    <x v="1"/>
    <x v="1159"/>
    <n v="19"/>
    <n v="21.67"/>
    <x v="2"/>
    <x v="2"/>
    <s v="None"/>
    <n v="11"/>
    <x v="0"/>
  </r>
  <r>
    <x v="1616"/>
    <n v="46"/>
    <x v="0"/>
    <x v="2"/>
    <x v="1311"/>
    <n v="6.09"/>
    <n v="7.89"/>
    <x v="2"/>
    <x v="2"/>
    <s v="None"/>
    <n v="31"/>
    <x v="0"/>
  </r>
  <r>
    <x v="1617"/>
    <n v="60"/>
    <x v="1"/>
    <x v="0"/>
    <x v="1312"/>
    <n v="12.75"/>
    <n v="18.28"/>
    <x v="0"/>
    <x v="0"/>
    <s v="None"/>
    <n v="12"/>
    <x v="1"/>
  </r>
  <r>
    <x v="1618"/>
    <n v="39"/>
    <x v="1"/>
    <x v="2"/>
    <x v="1313"/>
    <n v="23.04"/>
    <n v="8.2799999999999994"/>
    <x v="1"/>
    <x v="1"/>
    <s v="None"/>
    <n v="24"/>
    <x v="1"/>
  </r>
  <r>
    <x v="1619"/>
    <n v="43"/>
    <x v="0"/>
    <x v="1"/>
    <x v="1314"/>
    <n v="8.14"/>
    <n v="27.31"/>
    <x v="1"/>
    <x v="1"/>
    <s v="None"/>
    <n v="26"/>
    <x v="0"/>
  </r>
  <r>
    <x v="1620"/>
    <n v="45"/>
    <x v="1"/>
    <x v="3"/>
    <x v="1315"/>
    <n v="20.6"/>
    <n v="8.66"/>
    <x v="2"/>
    <x v="2"/>
    <s v="Moderate"/>
    <n v="10"/>
    <x v="0"/>
  </r>
  <r>
    <x v="1621"/>
    <n v="67"/>
    <x v="0"/>
    <x v="3"/>
    <x v="1316"/>
    <n v="19.239999999999998"/>
    <n v="19.48"/>
    <x v="1"/>
    <x v="1"/>
    <s v="None"/>
    <n v="8"/>
    <x v="0"/>
  </r>
  <r>
    <x v="1622"/>
    <n v="38"/>
    <x v="1"/>
    <x v="3"/>
    <x v="1317"/>
    <n v="12.46"/>
    <n v="6.44"/>
    <x v="2"/>
    <x v="1"/>
    <s v="Mild"/>
    <n v="9"/>
    <x v="0"/>
  </r>
  <r>
    <x v="1623"/>
    <n v="66"/>
    <x v="1"/>
    <x v="0"/>
    <x v="1318"/>
    <n v="3.26"/>
    <n v="5.72"/>
    <x v="0"/>
    <x v="0"/>
    <s v="None"/>
    <n v="22"/>
    <x v="0"/>
  </r>
  <r>
    <x v="1624"/>
    <n v="24"/>
    <x v="0"/>
    <x v="0"/>
    <x v="162"/>
    <n v="1.24"/>
    <n v="4.9000000000000004"/>
    <x v="2"/>
    <x v="1"/>
    <s v="None"/>
    <n v="19"/>
    <x v="0"/>
  </r>
  <r>
    <x v="1625"/>
    <n v="34"/>
    <x v="0"/>
    <x v="2"/>
    <x v="1319"/>
    <n v="5.47"/>
    <n v="4.6399999999999997"/>
    <x v="0"/>
    <x v="2"/>
    <s v="Mild"/>
    <n v="10"/>
    <x v="0"/>
  </r>
  <r>
    <x v="1626"/>
    <n v="37"/>
    <x v="0"/>
    <x v="3"/>
    <x v="1320"/>
    <n v="6.93"/>
    <n v="18.82"/>
    <x v="1"/>
    <x v="1"/>
    <s v="Moderate"/>
    <n v="15"/>
    <x v="0"/>
  </r>
  <r>
    <x v="1627"/>
    <n v="58"/>
    <x v="0"/>
    <x v="1"/>
    <x v="1321"/>
    <n v="8.14"/>
    <n v="14.9"/>
    <x v="3"/>
    <x v="1"/>
    <s v="None"/>
    <n v="26"/>
    <x v="0"/>
  </r>
  <r>
    <x v="1628"/>
    <n v="66"/>
    <x v="1"/>
    <x v="1"/>
    <x v="951"/>
    <n v="15.27"/>
    <n v="3.28"/>
    <x v="3"/>
    <x v="0"/>
    <s v="Mild"/>
    <n v="33"/>
    <x v="1"/>
  </r>
  <r>
    <x v="1629"/>
    <n v="37"/>
    <x v="0"/>
    <x v="3"/>
    <x v="1322"/>
    <n v="5.26"/>
    <n v="6.3"/>
    <x v="3"/>
    <x v="0"/>
    <s v="Moderate"/>
    <n v="25"/>
    <x v="1"/>
  </r>
  <r>
    <x v="1630"/>
    <n v="71"/>
    <x v="1"/>
    <x v="3"/>
    <x v="1323"/>
    <n v="15.56"/>
    <n v="3.08"/>
    <x v="2"/>
    <x v="1"/>
    <s v="Mild"/>
    <n v="19"/>
    <x v="1"/>
  </r>
  <r>
    <x v="1631"/>
    <n v="39"/>
    <x v="0"/>
    <x v="2"/>
    <x v="167"/>
    <n v="28.89"/>
    <n v="22.14"/>
    <x v="3"/>
    <x v="0"/>
    <s v="None"/>
    <n v="26"/>
    <x v="0"/>
  </r>
  <r>
    <x v="1632"/>
    <n v="45"/>
    <x v="0"/>
    <x v="2"/>
    <x v="1324"/>
    <n v="8.69"/>
    <n v="8.41"/>
    <x v="2"/>
    <x v="1"/>
    <s v="Mild"/>
    <n v="12"/>
    <x v="0"/>
  </r>
  <r>
    <x v="1633"/>
    <n v="78"/>
    <x v="1"/>
    <x v="1"/>
    <x v="1325"/>
    <n v="11.57"/>
    <n v="12.62"/>
    <x v="1"/>
    <x v="2"/>
    <s v="None"/>
    <n v="33"/>
    <x v="0"/>
  </r>
  <r>
    <x v="1634"/>
    <n v="57"/>
    <x v="0"/>
    <x v="3"/>
    <x v="1326"/>
    <n v="27.72"/>
    <n v="14.17"/>
    <x v="0"/>
    <x v="1"/>
    <s v="Mild"/>
    <n v="22"/>
    <x v="0"/>
  </r>
  <r>
    <x v="1635"/>
    <n v="66"/>
    <x v="0"/>
    <x v="1"/>
    <x v="1327"/>
    <n v="16.989999999999998"/>
    <n v="4.3899999999999997"/>
    <x v="3"/>
    <x v="2"/>
    <s v="None"/>
    <n v="18"/>
    <x v="0"/>
  </r>
  <r>
    <x v="1636"/>
    <n v="24"/>
    <x v="0"/>
    <x v="1"/>
    <x v="829"/>
    <n v="5.41"/>
    <n v="4.37"/>
    <x v="2"/>
    <x v="0"/>
    <s v="None"/>
    <n v="16"/>
    <x v="1"/>
  </r>
  <r>
    <x v="1637"/>
    <n v="18"/>
    <x v="0"/>
    <x v="0"/>
    <x v="510"/>
    <n v="30.42"/>
    <n v="4.04"/>
    <x v="1"/>
    <x v="1"/>
    <s v="Mild"/>
    <n v="5"/>
    <x v="0"/>
  </r>
  <r>
    <x v="1638"/>
    <n v="49"/>
    <x v="1"/>
    <x v="1"/>
    <x v="60"/>
    <n v="11.38"/>
    <n v="12"/>
    <x v="1"/>
    <x v="1"/>
    <s v="None"/>
    <n v="32"/>
    <x v="0"/>
  </r>
  <r>
    <x v="1639"/>
    <n v="30"/>
    <x v="1"/>
    <x v="3"/>
    <x v="320"/>
    <n v="5.96"/>
    <n v="2.5499999999999998"/>
    <x v="3"/>
    <x v="0"/>
    <s v="None"/>
    <n v="20"/>
    <x v="0"/>
  </r>
  <r>
    <x v="1640"/>
    <n v="47"/>
    <x v="0"/>
    <x v="1"/>
    <x v="1328"/>
    <n v="2.0099999999999998"/>
    <n v="21.66"/>
    <x v="1"/>
    <x v="1"/>
    <s v="Moderate"/>
    <n v="8"/>
    <x v="1"/>
  </r>
  <r>
    <x v="1641"/>
    <n v="40"/>
    <x v="0"/>
    <x v="0"/>
    <x v="1329"/>
    <n v="5.32"/>
    <n v="3.49"/>
    <x v="1"/>
    <x v="1"/>
    <s v="Moderate"/>
    <n v="22"/>
    <x v="1"/>
  </r>
  <r>
    <x v="1642"/>
    <n v="68"/>
    <x v="0"/>
    <x v="3"/>
    <x v="1330"/>
    <n v="11.02"/>
    <n v="3.16"/>
    <x v="1"/>
    <x v="1"/>
    <s v="None"/>
    <n v="21"/>
    <x v="0"/>
  </r>
  <r>
    <x v="1643"/>
    <n v="76"/>
    <x v="1"/>
    <x v="1"/>
    <x v="1331"/>
    <n v="4.1100000000000003"/>
    <n v="16.97"/>
    <x v="2"/>
    <x v="0"/>
    <s v="None"/>
    <n v="28"/>
    <x v="0"/>
  </r>
  <r>
    <x v="1644"/>
    <n v="73"/>
    <x v="1"/>
    <x v="3"/>
    <x v="44"/>
    <n v="4.71"/>
    <n v="22.49"/>
    <x v="1"/>
    <x v="0"/>
    <s v="None"/>
    <n v="14"/>
    <x v="0"/>
  </r>
  <r>
    <x v="1645"/>
    <n v="36"/>
    <x v="1"/>
    <x v="2"/>
    <x v="1332"/>
    <n v="23.82"/>
    <n v="27.09"/>
    <x v="1"/>
    <x v="1"/>
    <s v="None"/>
    <n v="10"/>
    <x v="1"/>
  </r>
  <r>
    <x v="1646"/>
    <n v="79"/>
    <x v="1"/>
    <x v="0"/>
    <x v="1333"/>
    <n v="11.52"/>
    <n v="17.53"/>
    <x v="1"/>
    <x v="0"/>
    <s v="Severe"/>
    <n v="12"/>
    <x v="0"/>
  </r>
  <r>
    <x v="1647"/>
    <n v="49"/>
    <x v="0"/>
    <x v="1"/>
    <x v="1334"/>
    <n v="2.39"/>
    <n v="0.85"/>
    <x v="1"/>
    <x v="0"/>
    <s v="Mild"/>
    <n v="23"/>
    <x v="0"/>
  </r>
  <r>
    <x v="1648"/>
    <n v="47"/>
    <x v="0"/>
    <x v="0"/>
    <x v="957"/>
    <n v="16.05"/>
    <n v="14.4"/>
    <x v="1"/>
    <x v="1"/>
    <s v="None"/>
    <n v="31"/>
    <x v="0"/>
  </r>
  <r>
    <x v="1649"/>
    <n v="46"/>
    <x v="0"/>
    <x v="0"/>
    <x v="1124"/>
    <n v="1.25"/>
    <n v="5.12"/>
    <x v="2"/>
    <x v="2"/>
    <s v="None"/>
    <n v="33"/>
    <x v="1"/>
  </r>
  <r>
    <x v="1650"/>
    <n v="66"/>
    <x v="1"/>
    <x v="0"/>
    <x v="1335"/>
    <n v="11.02"/>
    <n v="13.32"/>
    <x v="1"/>
    <x v="0"/>
    <s v="Mild"/>
    <n v="9"/>
    <x v="0"/>
  </r>
  <r>
    <x v="1651"/>
    <n v="62"/>
    <x v="0"/>
    <x v="2"/>
    <x v="1336"/>
    <n v="10.01"/>
    <n v="4.0199999999999996"/>
    <x v="1"/>
    <x v="2"/>
    <s v="Mild"/>
    <n v="32"/>
    <x v="0"/>
  </r>
  <r>
    <x v="1652"/>
    <n v="46"/>
    <x v="1"/>
    <x v="2"/>
    <x v="1337"/>
    <n v="40.090000000000003"/>
    <n v="8.6"/>
    <x v="0"/>
    <x v="1"/>
    <s v="Mild"/>
    <n v="6"/>
    <x v="0"/>
  </r>
  <r>
    <x v="1653"/>
    <n v="47"/>
    <x v="1"/>
    <x v="3"/>
    <x v="1338"/>
    <n v="19.98"/>
    <n v="18.53"/>
    <x v="1"/>
    <x v="2"/>
    <s v="None"/>
    <n v="32"/>
    <x v="1"/>
  </r>
  <r>
    <x v="1654"/>
    <n v="33"/>
    <x v="0"/>
    <x v="2"/>
    <x v="641"/>
    <n v="9.6"/>
    <n v="6.46"/>
    <x v="1"/>
    <x v="0"/>
    <s v="None"/>
    <n v="27"/>
    <x v="0"/>
  </r>
  <r>
    <x v="1655"/>
    <n v="57"/>
    <x v="0"/>
    <x v="3"/>
    <x v="68"/>
    <n v="17.89"/>
    <n v="11.24"/>
    <x v="2"/>
    <x v="0"/>
    <s v="None"/>
    <n v="16"/>
    <x v="1"/>
  </r>
  <r>
    <x v="1656"/>
    <n v="36"/>
    <x v="0"/>
    <x v="2"/>
    <x v="1339"/>
    <n v="1.39"/>
    <n v="9.6"/>
    <x v="1"/>
    <x v="0"/>
    <s v="None"/>
    <n v="26"/>
    <x v="0"/>
  </r>
  <r>
    <x v="1657"/>
    <n v="35"/>
    <x v="1"/>
    <x v="3"/>
    <x v="1340"/>
    <n v="9.92"/>
    <n v="6.62"/>
    <x v="2"/>
    <x v="1"/>
    <s v="None"/>
    <n v="33"/>
    <x v="0"/>
  </r>
  <r>
    <x v="1658"/>
    <n v="18"/>
    <x v="1"/>
    <x v="2"/>
    <x v="1341"/>
    <n v="5.75"/>
    <n v="17.760000000000002"/>
    <x v="3"/>
    <x v="2"/>
    <s v="Moderate"/>
    <n v="30"/>
    <x v="1"/>
  </r>
  <r>
    <x v="1659"/>
    <n v="31"/>
    <x v="0"/>
    <x v="0"/>
    <x v="1342"/>
    <n v="10.82"/>
    <n v="8.81"/>
    <x v="1"/>
    <x v="0"/>
    <s v="None"/>
    <n v="27"/>
    <x v="1"/>
  </r>
  <r>
    <x v="1660"/>
    <n v="68"/>
    <x v="0"/>
    <x v="1"/>
    <x v="1343"/>
    <n v="1.19"/>
    <n v="10.130000000000001"/>
    <x v="0"/>
    <x v="1"/>
    <s v="Moderate"/>
    <n v="21"/>
    <x v="0"/>
  </r>
  <r>
    <x v="1661"/>
    <n v="64"/>
    <x v="1"/>
    <x v="0"/>
    <x v="632"/>
    <n v="15.74"/>
    <n v="9.8800000000000008"/>
    <x v="2"/>
    <x v="1"/>
    <s v="None"/>
    <n v="6"/>
    <x v="1"/>
  </r>
  <r>
    <x v="1662"/>
    <n v="67"/>
    <x v="0"/>
    <x v="3"/>
    <x v="1344"/>
    <n v="13.74"/>
    <n v="13.24"/>
    <x v="3"/>
    <x v="1"/>
    <s v="None"/>
    <n v="34"/>
    <x v="0"/>
  </r>
  <r>
    <x v="1663"/>
    <n v="19"/>
    <x v="1"/>
    <x v="0"/>
    <x v="1345"/>
    <n v="20.440000000000001"/>
    <n v="3.85"/>
    <x v="0"/>
    <x v="0"/>
    <s v="None"/>
    <n v="27"/>
    <x v="0"/>
  </r>
  <r>
    <x v="1664"/>
    <n v="71"/>
    <x v="1"/>
    <x v="3"/>
    <x v="184"/>
    <n v="6.91"/>
    <n v="14.97"/>
    <x v="2"/>
    <x v="0"/>
    <s v="None"/>
    <n v="24"/>
    <x v="0"/>
  </r>
  <r>
    <x v="1665"/>
    <n v="45"/>
    <x v="0"/>
    <x v="3"/>
    <x v="1137"/>
    <n v="16.16"/>
    <n v="2.56"/>
    <x v="3"/>
    <x v="0"/>
    <s v="Moderate"/>
    <n v="30"/>
    <x v="1"/>
  </r>
  <r>
    <x v="1666"/>
    <n v="66"/>
    <x v="0"/>
    <x v="0"/>
    <x v="1225"/>
    <n v="32.15"/>
    <n v="2.54"/>
    <x v="0"/>
    <x v="1"/>
    <s v="None"/>
    <n v="20"/>
    <x v="1"/>
  </r>
  <r>
    <x v="1667"/>
    <n v="67"/>
    <x v="0"/>
    <x v="1"/>
    <x v="114"/>
    <n v="7.8"/>
    <n v="15.69"/>
    <x v="1"/>
    <x v="0"/>
    <s v="None"/>
    <n v="9"/>
    <x v="0"/>
  </r>
  <r>
    <x v="1668"/>
    <n v="47"/>
    <x v="0"/>
    <x v="0"/>
    <x v="810"/>
    <n v="2.78"/>
    <n v="16.510000000000002"/>
    <x v="0"/>
    <x v="0"/>
    <s v="Moderate"/>
    <n v="13"/>
    <x v="0"/>
  </r>
  <r>
    <x v="1669"/>
    <n v="55"/>
    <x v="1"/>
    <x v="3"/>
    <x v="1346"/>
    <n v="15.47"/>
    <n v="4.13"/>
    <x v="0"/>
    <x v="1"/>
    <s v="None"/>
    <n v="13"/>
    <x v="0"/>
  </r>
  <r>
    <x v="1670"/>
    <n v="68"/>
    <x v="1"/>
    <x v="3"/>
    <x v="1315"/>
    <n v="7.25"/>
    <n v="33.97"/>
    <x v="0"/>
    <x v="1"/>
    <s v="None"/>
    <n v="11"/>
    <x v="0"/>
  </r>
  <r>
    <x v="1671"/>
    <n v="21"/>
    <x v="1"/>
    <x v="1"/>
    <x v="49"/>
    <n v="3.92"/>
    <n v="16.02"/>
    <x v="2"/>
    <x v="1"/>
    <s v="None"/>
    <n v="25"/>
    <x v="0"/>
  </r>
  <r>
    <x v="1672"/>
    <n v="18"/>
    <x v="0"/>
    <x v="3"/>
    <x v="1347"/>
    <n v="4.67"/>
    <n v="4.2"/>
    <x v="1"/>
    <x v="2"/>
    <s v="None"/>
    <n v="35"/>
    <x v="1"/>
  </r>
  <r>
    <x v="1673"/>
    <n v="25"/>
    <x v="1"/>
    <x v="1"/>
    <x v="493"/>
    <n v="2.38"/>
    <n v="2.83"/>
    <x v="1"/>
    <x v="0"/>
    <s v="None"/>
    <n v="3"/>
    <x v="0"/>
  </r>
  <r>
    <x v="1674"/>
    <n v="46"/>
    <x v="0"/>
    <x v="1"/>
    <x v="1348"/>
    <n v="3.93"/>
    <n v="7.71"/>
    <x v="2"/>
    <x v="2"/>
    <s v="None"/>
    <n v="22"/>
    <x v="1"/>
  </r>
  <r>
    <x v="1675"/>
    <n v="72"/>
    <x v="0"/>
    <x v="1"/>
    <x v="1349"/>
    <n v="13.01"/>
    <n v="29.74"/>
    <x v="0"/>
    <x v="1"/>
    <s v="Moderate"/>
    <n v="7"/>
    <x v="0"/>
  </r>
  <r>
    <x v="1676"/>
    <n v="56"/>
    <x v="0"/>
    <x v="1"/>
    <x v="1350"/>
    <n v="13.36"/>
    <n v="14.95"/>
    <x v="1"/>
    <x v="2"/>
    <s v="Moderate"/>
    <n v="31"/>
    <x v="0"/>
  </r>
  <r>
    <x v="1677"/>
    <n v="20"/>
    <x v="0"/>
    <x v="0"/>
    <x v="1351"/>
    <n v="5.09"/>
    <n v="6.02"/>
    <x v="0"/>
    <x v="0"/>
    <s v="None"/>
    <n v="28"/>
    <x v="0"/>
  </r>
  <r>
    <x v="1678"/>
    <n v="49"/>
    <x v="0"/>
    <x v="0"/>
    <x v="1352"/>
    <n v="38.770000000000003"/>
    <n v="5.61"/>
    <x v="1"/>
    <x v="0"/>
    <s v="None"/>
    <n v="5"/>
    <x v="0"/>
  </r>
  <r>
    <x v="1679"/>
    <n v="27"/>
    <x v="0"/>
    <x v="3"/>
    <x v="835"/>
    <n v="10.66"/>
    <n v="3.7"/>
    <x v="2"/>
    <x v="1"/>
    <s v="None"/>
    <n v="23"/>
    <x v="0"/>
  </r>
  <r>
    <x v="1680"/>
    <n v="27"/>
    <x v="1"/>
    <x v="2"/>
    <x v="1353"/>
    <n v="12.42"/>
    <n v="9.32"/>
    <x v="3"/>
    <x v="0"/>
    <s v="Mild"/>
    <n v="15"/>
    <x v="0"/>
  </r>
  <r>
    <x v="1681"/>
    <n v="36"/>
    <x v="0"/>
    <x v="1"/>
    <x v="80"/>
    <n v="14.39"/>
    <n v="7.24"/>
    <x v="0"/>
    <x v="2"/>
    <s v="None"/>
    <n v="33"/>
    <x v="0"/>
  </r>
  <r>
    <x v="1682"/>
    <n v="63"/>
    <x v="1"/>
    <x v="2"/>
    <x v="838"/>
    <n v="5.36"/>
    <n v="4.18"/>
    <x v="1"/>
    <x v="1"/>
    <s v="Moderate"/>
    <n v="19"/>
    <x v="1"/>
  </r>
  <r>
    <x v="1683"/>
    <n v="51"/>
    <x v="1"/>
    <x v="0"/>
    <x v="1354"/>
    <n v="18.57"/>
    <n v="7.59"/>
    <x v="1"/>
    <x v="1"/>
    <s v="Mild"/>
    <n v="25"/>
    <x v="1"/>
  </r>
  <r>
    <x v="1684"/>
    <n v="77"/>
    <x v="0"/>
    <x v="0"/>
    <x v="1355"/>
    <n v="2.0699999999999998"/>
    <n v="4.6900000000000004"/>
    <x v="1"/>
    <x v="0"/>
    <s v="None"/>
    <n v="5"/>
    <x v="0"/>
  </r>
  <r>
    <x v="1685"/>
    <n v="50"/>
    <x v="0"/>
    <x v="3"/>
    <x v="1356"/>
    <n v="3.52"/>
    <n v="7.92"/>
    <x v="2"/>
    <x v="2"/>
    <s v="Mild"/>
    <n v="4"/>
    <x v="0"/>
  </r>
  <r>
    <x v="1686"/>
    <n v="40"/>
    <x v="0"/>
    <x v="2"/>
    <x v="1103"/>
    <n v="5.4"/>
    <n v="19.920000000000002"/>
    <x v="2"/>
    <x v="0"/>
    <s v="None"/>
    <n v="5"/>
    <x v="0"/>
  </r>
  <r>
    <x v="1687"/>
    <n v="72"/>
    <x v="1"/>
    <x v="1"/>
    <x v="1357"/>
    <n v="11.58"/>
    <n v="25.88"/>
    <x v="3"/>
    <x v="1"/>
    <s v="None"/>
    <n v="22"/>
    <x v="0"/>
  </r>
  <r>
    <x v="1688"/>
    <n v="45"/>
    <x v="0"/>
    <x v="0"/>
    <x v="1358"/>
    <n v="2.97"/>
    <n v="29.4"/>
    <x v="2"/>
    <x v="1"/>
    <s v="None"/>
    <n v="11"/>
    <x v="0"/>
  </r>
  <r>
    <x v="1689"/>
    <n v="49"/>
    <x v="1"/>
    <x v="1"/>
    <x v="1359"/>
    <n v="3.25"/>
    <n v="22.33"/>
    <x v="0"/>
    <x v="1"/>
    <s v="None"/>
    <n v="6"/>
    <x v="0"/>
  </r>
  <r>
    <x v="1690"/>
    <n v="67"/>
    <x v="0"/>
    <x v="2"/>
    <x v="1360"/>
    <n v="25.64"/>
    <n v="11.11"/>
    <x v="2"/>
    <x v="2"/>
    <s v="Mild"/>
    <n v="27"/>
    <x v="0"/>
  </r>
  <r>
    <x v="1691"/>
    <n v="24"/>
    <x v="0"/>
    <x v="2"/>
    <x v="1138"/>
    <n v="23.45"/>
    <n v="25.56"/>
    <x v="1"/>
    <x v="0"/>
    <s v="Mild"/>
    <n v="3"/>
    <x v="0"/>
  </r>
  <r>
    <x v="1692"/>
    <n v="46"/>
    <x v="1"/>
    <x v="2"/>
    <x v="862"/>
    <n v="2.85"/>
    <n v="18.28"/>
    <x v="0"/>
    <x v="0"/>
    <s v="None"/>
    <n v="14"/>
    <x v="0"/>
  </r>
  <r>
    <x v="1693"/>
    <n v="25"/>
    <x v="1"/>
    <x v="1"/>
    <x v="582"/>
    <n v="4.96"/>
    <n v="5.18"/>
    <x v="2"/>
    <x v="1"/>
    <s v="Severe"/>
    <n v="26"/>
    <x v="0"/>
  </r>
  <r>
    <x v="1694"/>
    <n v="18"/>
    <x v="0"/>
    <x v="0"/>
    <x v="1361"/>
    <n v="9.41"/>
    <n v="9.5299999999999994"/>
    <x v="0"/>
    <x v="2"/>
    <s v="None"/>
    <n v="11"/>
    <x v="0"/>
  </r>
  <r>
    <x v="1695"/>
    <n v="74"/>
    <x v="1"/>
    <x v="1"/>
    <x v="1362"/>
    <n v="15.01"/>
    <n v="3.36"/>
    <x v="0"/>
    <x v="0"/>
    <s v="None"/>
    <n v="22"/>
    <x v="0"/>
  </r>
  <r>
    <x v="1696"/>
    <n v="72"/>
    <x v="1"/>
    <x v="2"/>
    <x v="1363"/>
    <n v="6.8"/>
    <n v="12.24"/>
    <x v="2"/>
    <x v="2"/>
    <s v="None"/>
    <n v="7"/>
    <x v="1"/>
  </r>
  <r>
    <x v="1697"/>
    <n v="20"/>
    <x v="1"/>
    <x v="1"/>
    <x v="1364"/>
    <n v="6.13"/>
    <n v="4.9000000000000004"/>
    <x v="0"/>
    <x v="0"/>
    <s v="Mild"/>
    <n v="22"/>
    <x v="0"/>
  </r>
  <r>
    <x v="1698"/>
    <n v="41"/>
    <x v="1"/>
    <x v="1"/>
    <x v="1365"/>
    <n v="21.52"/>
    <n v="26.72"/>
    <x v="1"/>
    <x v="2"/>
    <s v="Severe"/>
    <n v="23"/>
    <x v="1"/>
  </r>
  <r>
    <x v="1699"/>
    <n v="40"/>
    <x v="1"/>
    <x v="3"/>
    <x v="1366"/>
    <n v="5.38"/>
    <n v="3.05"/>
    <x v="1"/>
    <x v="2"/>
    <s v="Mild"/>
    <n v="4"/>
    <x v="1"/>
  </r>
  <r>
    <x v="1700"/>
    <n v="76"/>
    <x v="0"/>
    <x v="3"/>
    <x v="1367"/>
    <n v="7.75"/>
    <n v="4.58"/>
    <x v="2"/>
    <x v="1"/>
    <s v="Moderate"/>
    <n v="23"/>
    <x v="0"/>
  </r>
  <r>
    <x v="1701"/>
    <n v="78"/>
    <x v="0"/>
    <x v="1"/>
    <x v="774"/>
    <n v="13.98"/>
    <n v="9.91"/>
    <x v="2"/>
    <x v="2"/>
    <s v="None"/>
    <n v="26"/>
    <x v="1"/>
  </r>
  <r>
    <x v="1702"/>
    <n v="25"/>
    <x v="1"/>
    <x v="1"/>
    <x v="1368"/>
    <n v="14.42"/>
    <n v="17.2"/>
    <x v="1"/>
    <x v="1"/>
    <s v="None"/>
    <n v="11"/>
    <x v="0"/>
  </r>
  <r>
    <x v="1703"/>
    <n v="71"/>
    <x v="0"/>
    <x v="3"/>
    <x v="892"/>
    <n v="13.37"/>
    <n v="8.75"/>
    <x v="2"/>
    <x v="0"/>
    <s v="None"/>
    <n v="32"/>
    <x v="0"/>
  </r>
  <r>
    <x v="1704"/>
    <n v="74"/>
    <x v="0"/>
    <x v="2"/>
    <x v="1369"/>
    <n v="12.81"/>
    <n v="23.06"/>
    <x v="1"/>
    <x v="2"/>
    <s v="Mild"/>
    <n v="20"/>
    <x v="0"/>
  </r>
  <r>
    <x v="1705"/>
    <n v="64"/>
    <x v="1"/>
    <x v="0"/>
    <x v="1370"/>
    <n v="11.63"/>
    <n v="4.74"/>
    <x v="0"/>
    <x v="1"/>
    <s v="None"/>
    <n v="12"/>
    <x v="1"/>
  </r>
  <r>
    <x v="1706"/>
    <n v="54"/>
    <x v="0"/>
    <x v="1"/>
    <x v="1371"/>
    <n v="8.14"/>
    <n v="5.99"/>
    <x v="2"/>
    <x v="0"/>
    <s v="Moderate"/>
    <n v="23"/>
    <x v="0"/>
  </r>
  <r>
    <x v="1707"/>
    <n v="20"/>
    <x v="1"/>
    <x v="3"/>
    <x v="1372"/>
    <n v="18.55"/>
    <n v="7.99"/>
    <x v="3"/>
    <x v="0"/>
    <s v="None"/>
    <n v="24"/>
    <x v="0"/>
  </r>
  <r>
    <x v="1708"/>
    <n v="68"/>
    <x v="1"/>
    <x v="1"/>
    <x v="1373"/>
    <n v="14.95"/>
    <n v="8.6999999999999993"/>
    <x v="1"/>
    <x v="0"/>
    <s v="None"/>
    <n v="19"/>
    <x v="0"/>
  </r>
  <r>
    <x v="1709"/>
    <n v="50"/>
    <x v="0"/>
    <x v="1"/>
    <x v="1374"/>
    <n v="5.99"/>
    <n v="11.01"/>
    <x v="1"/>
    <x v="2"/>
    <s v="None"/>
    <n v="7"/>
    <x v="0"/>
  </r>
  <r>
    <x v="1710"/>
    <n v="45"/>
    <x v="1"/>
    <x v="2"/>
    <x v="1375"/>
    <n v="7.89"/>
    <n v="9.93"/>
    <x v="0"/>
    <x v="0"/>
    <s v="Mild"/>
    <n v="8"/>
    <x v="0"/>
  </r>
  <r>
    <x v="1711"/>
    <n v="64"/>
    <x v="1"/>
    <x v="2"/>
    <x v="1376"/>
    <n v="3.22"/>
    <n v="2.72"/>
    <x v="3"/>
    <x v="2"/>
    <s v="None"/>
    <n v="12"/>
    <x v="1"/>
  </r>
  <r>
    <x v="1712"/>
    <n v="25"/>
    <x v="1"/>
    <x v="1"/>
    <x v="1377"/>
    <n v="6.69"/>
    <n v="7.81"/>
    <x v="3"/>
    <x v="1"/>
    <s v="None"/>
    <n v="4"/>
    <x v="0"/>
  </r>
  <r>
    <x v="1713"/>
    <n v="51"/>
    <x v="1"/>
    <x v="1"/>
    <x v="1378"/>
    <n v="3.63"/>
    <n v="2.4"/>
    <x v="3"/>
    <x v="1"/>
    <s v="None"/>
    <n v="9"/>
    <x v="1"/>
  </r>
  <r>
    <x v="1714"/>
    <n v="52"/>
    <x v="1"/>
    <x v="1"/>
    <x v="143"/>
    <n v="18.91"/>
    <n v="3.16"/>
    <x v="1"/>
    <x v="1"/>
    <s v="Mild"/>
    <n v="6"/>
    <x v="0"/>
  </r>
  <r>
    <x v="1715"/>
    <n v="49"/>
    <x v="0"/>
    <x v="0"/>
    <x v="1379"/>
    <n v="44.26"/>
    <n v="9.61"/>
    <x v="1"/>
    <x v="0"/>
    <s v="Mild"/>
    <n v="21"/>
    <x v="0"/>
  </r>
  <r>
    <x v="1716"/>
    <n v="41"/>
    <x v="0"/>
    <x v="0"/>
    <x v="181"/>
    <n v="3.36"/>
    <n v="16.649999999999999"/>
    <x v="3"/>
    <x v="1"/>
    <s v="Mild"/>
    <n v="30"/>
    <x v="0"/>
  </r>
  <r>
    <x v="1717"/>
    <n v="31"/>
    <x v="1"/>
    <x v="1"/>
    <x v="1380"/>
    <n v="8.5500000000000007"/>
    <n v="15.17"/>
    <x v="2"/>
    <x v="0"/>
    <s v="None"/>
    <n v="22"/>
    <x v="0"/>
  </r>
  <r>
    <x v="1718"/>
    <n v="49"/>
    <x v="1"/>
    <x v="1"/>
    <x v="1381"/>
    <n v="7.49"/>
    <n v="2.2200000000000002"/>
    <x v="3"/>
    <x v="1"/>
    <s v="Severe"/>
    <n v="32"/>
    <x v="1"/>
  </r>
  <r>
    <x v="1719"/>
    <n v="73"/>
    <x v="0"/>
    <x v="0"/>
    <x v="828"/>
    <n v="1.03"/>
    <n v="18.98"/>
    <x v="0"/>
    <x v="0"/>
    <s v="Moderate"/>
    <n v="4"/>
    <x v="0"/>
  </r>
  <r>
    <x v="1720"/>
    <n v="63"/>
    <x v="1"/>
    <x v="0"/>
    <x v="337"/>
    <n v="5.58"/>
    <n v="19.32"/>
    <x v="3"/>
    <x v="1"/>
    <s v="None"/>
    <n v="5"/>
    <x v="0"/>
  </r>
  <r>
    <x v="1721"/>
    <n v="60"/>
    <x v="0"/>
    <x v="3"/>
    <x v="1382"/>
    <n v="31.31"/>
    <n v="8.0500000000000007"/>
    <x v="3"/>
    <x v="0"/>
    <s v="None"/>
    <n v="27"/>
    <x v="0"/>
  </r>
  <r>
    <x v="1722"/>
    <n v="33"/>
    <x v="1"/>
    <x v="1"/>
    <x v="1051"/>
    <n v="11"/>
    <n v="9.48"/>
    <x v="3"/>
    <x v="0"/>
    <s v="None"/>
    <n v="4"/>
    <x v="1"/>
  </r>
  <r>
    <x v="1723"/>
    <n v="21"/>
    <x v="1"/>
    <x v="1"/>
    <x v="943"/>
    <n v="8.66"/>
    <n v="19.98"/>
    <x v="2"/>
    <x v="2"/>
    <s v="None"/>
    <n v="17"/>
    <x v="0"/>
  </r>
  <r>
    <x v="1724"/>
    <n v="69"/>
    <x v="1"/>
    <x v="3"/>
    <x v="1383"/>
    <n v="3.68"/>
    <n v="26.45"/>
    <x v="3"/>
    <x v="0"/>
    <s v="Moderate"/>
    <n v="5"/>
    <x v="0"/>
  </r>
  <r>
    <x v="1725"/>
    <n v="54"/>
    <x v="1"/>
    <x v="3"/>
    <x v="1384"/>
    <n v="17.149999999999999"/>
    <n v="16.38"/>
    <x v="3"/>
    <x v="0"/>
    <s v="Mild"/>
    <n v="7"/>
    <x v="1"/>
  </r>
  <r>
    <x v="1726"/>
    <n v="71"/>
    <x v="1"/>
    <x v="1"/>
    <x v="1385"/>
    <n v="6.47"/>
    <n v="4.7"/>
    <x v="1"/>
    <x v="2"/>
    <s v="Moderate"/>
    <n v="29"/>
    <x v="0"/>
  </r>
  <r>
    <x v="1727"/>
    <n v="38"/>
    <x v="1"/>
    <x v="3"/>
    <x v="439"/>
    <n v="5.28"/>
    <n v="11.65"/>
    <x v="3"/>
    <x v="0"/>
    <s v="None"/>
    <n v="7"/>
    <x v="1"/>
  </r>
  <r>
    <x v="1728"/>
    <n v="31"/>
    <x v="1"/>
    <x v="1"/>
    <x v="1386"/>
    <n v="15.96"/>
    <n v="11.8"/>
    <x v="0"/>
    <x v="1"/>
    <s v="Mild"/>
    <n v="19"/>
    <x v="0"/>
  </r>
  <r>
    <x v="1729"/>
    <n v="48"/>
    <x v="0"/>
    <x v="2"/>
    <x v="1387"/>
    <n v="8.6"/>
    <n v="13.27"/>
    <x v="1"/>
    <x v="2"/>
    <s v="None"/>
    <n v="14"/>
    <x v="0"/>
  </r>
  <r>
    <x v="1730"/>
    <n v="72"/>
    <x v="0"/>
    <x v="1"/>
    <x v="1388"/>
    <n v="4.21"/>
    <n v="3.32"/>
    <x v="2"/>
    <x v="0"/>
    <s v="None"/>
    <n v="33"/>
    <x v="1"/>
  </r>
  <r>
    <x v="1731"/>
    <n v="65"/>
    <x v="0"/>
    <x v="1"/>
    <x v="1389"/>
    <n v="16.899999999999999"/>
    <n v="9.5"/>
    <x v="1"/>
    <x v="1"/>
    <s v="Mild"/>
    <n v="35"/>
    <x v="0"/>
  </r>
  <r>
    <x v="1732"/>
    <n v="35"/>
    <x v="1"/>
    <x v="3"/>
    <x v="591"/>
    <n v="10.72"/>
    <n v="5.07"/>
    <x v="2"/>
    <x v="0"/>
    <s v="None"/>
    <n v="31"/>
    <x v="0"/>
  </r>
  <r>
    <x v="1733"/>
    <n v="24"/>
    <x v="1"/>
    <x v="3"/>
    <x v="1390"/>
    <n v="17.04"/>
    <n v="13.18"/>
    <x v="2"/>
    <x v="2"/>
    <s v="Mild"/>
    <n v="5"/>
    <x v="0"/>
  </r>
  <r>
    <x v="1734"/>
    <n v="27"/>
    <x v="1"/>
    <x v="0"/>
    <x v="748"/>
    <n v="8.9499999999999993"/>
    <n v="3.64"/>
    <x v="0"/>
    <x v="2"/>
    <s v="Mild"/>
    <n v="32"/>
    <x v="0"/>
  </r>
  <r>
    <x v="1735"/>
    <n v="24"/>
    <x v="1"/>
    <x v="3"/>
    <x v="1391"/>
    <n v="46.51"/>
    <n v="8.52"/>
    <x v="3"/>
    <x v="2"/>
    <s v="Moderate"/>
    <n v="24"/>
    <x v="0"/>
  </r>
  <r>
    <x v="1736"/>
    <n v="50"/>
    <x v="1"/>
    <x v="1"/>
    <x v="1392"/>
    <n v="1.98"/>
    <n v="5.5"/>
    <x v="0"/>
    <x v="1"/>
    <s v="None"/>
    <n v="34"/>
    <x v="0"/>
  </r>
  <r>
    <x v="1737"/>
    <n v="40"/>
    <x v="1"/>
    <x v="2"/>
    <x v="1393"/>
    <n v="43.08"/>
    <n v="11.88"/>
    <x v="1"/>
    <x v="1"/>
    <s v="Mild"/>
    <n v="12"/>
    <x v="0"/>
  </r>
  <r>
    <x v="1738"/>
    <n v="38"/>
    <x v="1"/>
    <x v="1"/>
    <x v="1394"/>
    <n v="6.01"/>
    <n v="13.99"/>
    <x v="2"/>
    <x v="1"/>
    <s v="Severe"/>
    <n v="34"/>
    <x v="0"/>
  </r>
  <r>
    <x v="1739"/>
    <n v="36"/>
    <x v="0"/>
    <x v="0"/>
    <x v="1395"/>
    <n v="2.11"/>
    <n v="4.66"/>
    <x v="1"/>
    <x v="1"/>
    <s v="Moderate"/>
    <n v="6"/>
    <x v="1"/>
  </r>
  <r>
    <x v="1740"/>
    <n v="65"/>
    <x v="1"/>
    <x v="3"/>
    <x v="1396"/>
    <n v="11.48"/>
    <n v="6.79"/>
    <x v="2"/>
    <x v="2"/>
    <s v="Mild"/>
    <n v="31"/>
    <x v="1"/>
  </r>
  <r>
    <x v="1741"/>
    <n v="78"/>
    <x v="0"/>
    <x v="3"/>
    <x v="216"/>
    <n v="21.44"/>
    <n v="7"/>
    <x v="1"/>
    <x v="1"/>
    <s v="Mild"/>
    <n v="10"/>
    <x v="0"/>
  </r>
  <r>
    <x v="1742"/>
    <n v="36"/>
    <x v="0"/>
    <x v="1"/>
    <x v="493"/>
    <n v="13.28"/>
    <n v="14.66"/>
    <x v="2"/>
    <x v="0"/>
    <s v="None"/>
    <n v="22"/>
    <x v="0"/>
  </r>
  <r>
    <x v="1743"/>
    <n v="53"/>
    <x v="1"/>
    <x v="3"/>
    <x v="1397"/>
    <n v="1.64"/>
    <n v="16.149999999999999"/>
    <x v="0"/>
    <x v="0"/>
    <s v="Mild"/>
    <n v="9"/>
    <x v="1"/>
  </r>
  <r>
    <x v="1744"/>
    <n v="46"/>
    <x v="1"/>
    <x v="0"/>
    <x v="216"/>
    <n v="1.86"/>
    <n v="4.33"/>
    <x v="2"/>
    <x v="0"/>
    <s v="Mild"/>
    <n v="3"/>
    <x v="0"/>
  </r>
  <r>
    <x v="1745"/>
    <n v="77"/>
    <x v="0"/>
    <x v="0"/>
    <x v="1398"/>
    <n v="2.31"/>
    <n v="3.19"/>
    <x v="3"/>
    <x v="1"/>
    <s v="Mild"/>
    <n v="27"/>
    <x v="0"/>
  </r>
  <r>
    <x v="1746"/>
    <n v="35"/>
    <x v="0"/>
    <x v="1"/>
    <x v="838"/>
    <n v="5.55"/>
    <n v="2.72"/>
    <x v="0"/>
    <x v="1"/>
    <s v="Mild"/>
    <n v="28"/>
    <x v="1"/>
  </r>
  <r>
    <x v="1747"/>
    <n v="19"/>
    <x v="1"/>
    <x v="1"/>
    <x v="1399"/>
    <n v="2.7"/>
    <n v="19.350000000000001"/>
    <x v="3"/>
    <x v="1"/>
    <s v="None"/>
    <n v="11"/>
    <x v="0"/>
  </r>
  <r>
    <x v="1748"/>
    <n v="18"/>
    <x v="1"/>
    <x v="0"/>
    <x v="182"/>
    <n v="7.85"/>
    <n v="16.03"/>
    <x v="1"/>
    <x v="1"/>
    <s v="None"/>
    <n v="25"/>
    <x v="0"/>
  </r>
  <r>
    <x v="1749"/>
    <n v="64"/>
    <x v="0"/>
    <x v="0"/>
    <x v="1400"/>
    <n v="1.32"/>
    <n v="9.74"/>
    <x v="1"/>
    <x v="2"/>
    <s v="Mild"/>
    <n v="4"/>
    <x v="0"/>
  </r>
  <r>
    <x v="1750"/>
    <n v="22"/>
    <x v="1"/>
    <x v="1"/>
    <x v="1401"/>
    <n v="8.27"/>
    <n v="22.42"/>
    <x v="2"/>
    <x v="2"/>
    <s v="None"/>
    <n v="28"/>
    <x v="0"/>
  </r>
  <r>
    <x v="1751"/>
    <n v="37"/>
    <x v="1"/>
    <x v="3"/>
    <x v="1402"/>
    <n v="12.77"/>
    <n v="6.38"/>
    <x v="2"/>
    <x v="0"/>
    <s v="None"/>
    <n v="16"/>
    <x v="0"/>
  </r>
  <r>
    <x v="1752"/>
    <n v="28"/>
    <x v="1"/>
    <x v="1"/>
    <x v="993"/>
    <n v="21.41"/>
    <n v="7.91"/>
    <x v="1"/>
    <x v="2"/>
    <s v="None"/>
    <n v="33"/>
    <x v="0"/>
  </r>
  <r>
    <x v="1753"/>
    <n v="59"/>
    <x v="0"/>
    <x v="0"/>
    <x v="458"/>
    <n v="11.33"/>
    <n v="15.35"/>
    <x v="0"/>
    <x v="1"/>
    <s v="None"/>
    <n v="28"/>
    <x v="0"/>
  </r>
  <r>
    <x v="1754"/>
    <n v="19"/>
    <x v="0"/>
    <x v="1"/>
    <x v="1403"/>
    <n v="24.61"/>
    <n v="4.03"/>
    <x v="3"/>
    <x v="0"/>
    <s v="Moderate"/>
    <n v="21"/>
    <x v="0"/>
  </r>
  <r>
    <x v="1755"/>
    <n v="20"/>
    <x v="0"/>
    <x v="1"/>
    <x v="44"/>
    <n v="11.35"/>
    <n v="6.13"/>
    <x v="1"/>
    <x v="1"/>
    <s v="None"/>
    <n v="7"/>
    <x v="0"/>
  </r>
  <r>
    <x v="1756"/>
    <n v="40"/>
    <x v="1"/>
    <x v="2"/>
    <x v="1404"/>
    <n v="3.14"/>
    <n v="11.7"/>
    <x v="0"/>
    <x v="0"/>
    <s v="None"/>
    <n v="8"/>
    <x v="0"/>
  </r>
  <r>
    <x v="1757"/>
    <n v="72"/>
    <x v="1"/>
    <x v="1"/>
    <x v="1405"/>
    <n v="7.21"/>
    <n v="12.47"/>
    <x v="3"/>
    <x v="0"/>
    <s v="None"/>
    <n v="18"/>
    <x v="0"/>
  </r>
  <r>
    <x v="1758"/>
    <n v="29"/>
    <x v="0"/>
    <x v="3"/>
    <x v="276"/>
    <n v="5.31"/>
    <n v="10.97"/>
    <x v="2"/>
    <x v="1"/>
    <s v="None"/>
    <n v="33"/>
    <x v="0"/>
  </r>
  <r>
    <x v="1759"/>
    <n v="37"/>
    <x v="0"/>
    <x v="3"/>
    <x v="1406"/>
    <n v="10.19"/>
    <n v="4.03"/>
    <x v="0"/>
    <x v="1"/>
    <s v="None"/>
    <n v="20"/>
    <x v="0"/>
  </r>
  <r>
    <x v="1760"/>
    <n v="22"/>
    <x v="0"/>
    <x v="1"/>
    <x v="1407"/>
    <n v="0.93"/>
    <n v="18.43"/>
    <x v="0"/>
    <x v="1"/>
    <s v="None"/>
    <n v="16"/>
    <x v="0"/>
  </r>
  <r>
    <x v="1761"/>
    <n v="54"/>
    <x v="1"/>
    <x v="3"/>
    <x v="1408"/>
    <n v="23.09"/>
    <n v="21.3"/>
    <x v="1"/>
    <x v="0"/>
    <s v="Moderate"/>
    <n v="27"/>
    <x v="0"/>
  </r>
  <r>
    <x v="1762"/>
    <n v="55"/>
    <x v="0"/>
    <x v="3"/>
    <x v="1409"/>
    <n v="15.49"/>
    <n v="8.83"/>
    <x v="3"/>
    <x v="1"/>
    <s v="None"/>
    <n v="17"/>
    <x v="0"/>
  </r>
  <r>
    <x v="1763"/>
    <n v="47"/>
    <x v="0"/>
    <x v="1"/>
    <x v="1410"/>
    <n v="9.5500000000000007"/>
    <n v="8.9600000000000009"/>
    <x v="1"/>
    <x v="0"/>
    <s v="Mild"/>
    <n v="28"/>
    <x v="0"/>
  </r>
  <r>
    <x v="1764"/>
    <n v="26"/>
    <x v="1"/>
    <x v="3"/>
    <x v="1411"/>
    <n v="44.95"/>
    <n v="22.67"/>
    <x v="2"/>
    <x v="0"/>
    <s v="Moderate"/>
    <n v="13"/>
    <x v="1"/>
  </r>
  <r>
    <x v="1765"/>
    <n v="51"/>
    <x v="1"/>
    <x v="0"/>
    <x v="1412"/>
    <n v="31.11"/>
    <n v="2"/>
    <x v="2"/>
    <x v="0"/>
    <s v="Severe"/>
    <n v="9"/>
    <x v="0"/>
  </r>
  <r>
    <x v="1766"/>
    <n v="70"/>
    <x v="1"/>
    <x v="2"/>
    <x v="953"/>
    <n v="14.45"/>
    <n v="8.91"/>
    <x v="3"/>
    <x v="0"/>
    <s v="None"/>
    <n v="20"/>
    <x v="0"/>
  </r>
  <r>
    <x v="1767"/>
    <n v="61"/>
    <x v="0"/>
    <x v="1"/>
    <x v="1413"/>
    <n v="9.85"/>
    <n v="3.74"/>
    <x v="3"/>
    <x v="1"/>
    <s v="None"/>
    <n v="22"/>
    <x v="1"/>
  </r>
  <r>
    <x v="1768"/>
    <n v="52"/>
    <x v="1"/>
    <x v="1"/>
    <x v="1414"/>
    <n v="7.81"/>
    <n v="20.82"/>
    <x v="3"/>
    <x v="0"/>
    <s v="None"/>
    <n v="4"/>
    <x v="0"/>
  </r>
  <r>
    <x v="1769"/>
    <n v="69"/>
    <x v="1"/>
    <x v="1"/>
    <x v="1415"/>
    <n v="7.34"/>
    <n v="14.83"/>
    <x v="1"/>
    <x v="2"/>
    <s v="None"/>
    <n v="28"/>
    <x v="1"/>
  </r>
  <r>
    <x v="1770"/>
    <n v="75"/>
    <x v="0"/>
    <x v="3"/>
    <x v="1416"/>
    <n v="5.15"/>
    <n v="14.61"/>
    <x v="3"/>
    <x v="0"/>
    <s v="None"/>
    <n v="25"/>
    <x v="0"/>
  </r>
  <r>
    <x v="1771"/>
    <n v="39"/>
    <x v="1"/>
    <x v="3"/>
    <x v="1417"/>
    <n v="5.18"/>
    <n v="13.59"/>
    <x v="3"/>
    <x v="0"/>
    <s v="Moderate"/>
    <n v="34"/>
    <x v="0"/>
  </r>
  <r>
    <x v="1772"/>
    <n v="61"/>
    <x v="0"/>
    <x v="2"/>
    <x v="1418"/>
    <n v="9.1199999999999992"/>
    <n v="22.97"/>
    <x v="1"/>
    <x v="0"/>
    <s v="None"/>
    <n v="15"/>
    <x v="1"/>
  </r>
  <r>
    <x v="1773"/>
    <n v="41"/>
    <x v="0"/>
    <x v="1"/>
    <x v="827"/>
    <n v="20.32"/>
    <n v="8.44"/>
    <x v="2"/>
    <x v="1"/>
    <s v="None"/>
    <n v="15"/>
    <x v="1"/>
  </r>
  <r>
    <x v="1774"/>
    <n v="34"/>
    <x v="1"/>
    <x v="1"/>
    <x v="1218"/>
    <n v="9.0399999999999991"/>
    <n v="14.11"/>
    <x v="2"/>
    <x v="0"/>
    <s v="None"/>
    <n v="19"/>
    <x v="0"/>
  </r>
  <r>
    <x v="1775"/>
    <n v="27"/>
    <x v="1"/>
    <x v="3"/>
    <x v="1419"/>
    <n v="2.57"/>
    <n v="16.079999999999998"/>
    <x v="0"/>
    <x v="2"/>
    <s v="Severe"/>
    <n v="27"/>
    <x v="0"/>
  </r>
  <r>
    <x v="1776"/>
    <n v="47"/>
    <x v="1"/>
    <x v="2"/>
    <x v="1420"/>
    <n v="7.5"/>
    <n v="8.76"/>
    <x v="2"/>
    <x v="1"/>
    <s v="Mild"/>
    <n v="24"/>
    <x v="0"/>
  </r>
  <r>
    <x v="1777"/>
    <n v="73"/>
    <x v="1"/>
    <x v="1"/>
    <x v="274"/>
    <n v="3.98"/>
    <n v="11.26"/>
    <x v="3"/>
    <x v="2"/>
    <s v="None"/>
    <n v="29"/>
    <x v="0"/>
  </r>
  <r>
    <x v="1778"/>
    <n v="76"/>
    <x v="1"/>
    <x v="2"/>
    <x v="1421"/>
    <n v="27.22"/>
    <n v="6.86"/>
    <x v="2"/>
    <x v="1"/>
    <s v="None"/>
    <n v="19"/>
    <x v="1"/>
  </r>
  <r>
    <x v="1779"/>
    <n v="63"/>
    <x v="1"/>
    <x v="1"/>
    <x v="1088"/>
    <n v="1.02"/>
    <n v="13.14"/>
    <x v="1"/>
    <x v="0"/>
    <s v="None"/>
    <n v="28"/>
    <x v="0"/>
  </r>
  <r>
    <x v="1780"/>
    <n v="40"/>
    <x v="0"/>
    <x v="0"/>
    <x v="1422"/>
    <n v="9.75"/>
    <n v="10.32"/>
    <x v="2"/>
    <x v="2"/>
    <s v="Mild"/>
    <n v="16"/>
    <x v="1"/>
  </r>
  <r>
    <x v="1781"/>
    <n v="49"/>
    <x v="0"/>
    <x v="0"/>
    <x v="1423"/>
    <n v="3.62"/>
    <n v="11.86"/>
    <x v="2"/>
    <x v="2"/>
    <s v="Mild"/>
    <n v="16"/>
    <x v="0"/>
  </r>
  <r>
    <x v="1782"/>
    <n v="34"/>
    <x v="1"/>
    <x v="1"/>
    <x v="1276"/>
    <n v="7.8"/>
    <n v="15.74"/>
    <x v="0"/>
    <x v="2"/>
    <s v="Mild"/>
    <n v="14"/>
    <x v="0"/>
  </r>
  <r>
    <x v="1783"/>
    <n v="67"/>
    <x v="0"/>
    <x v="1"/>
    <x v="1424"/>
    <n v="9.6300000000000008"/>
    <n v="23.34"/>
    <x v="0"/>
    <x v="2"/>
    <s v="None"/>
    <n v="7"/>
    <x v="0"/>
  </r>
  <r>
    <x v="1784"/>
    <n v="68"/>
    <x v="1"/>
    <x v="3"/>
    <x v="1425"/>
    <n v="17.75"/>
    <n v="11.68"/>
    <x v="3"/>
    <x v="1"/>
    <s v="Mild"/>
    <n v="6"/>
    <x v="0"/>
  </r>
  <r>
    <x v="1785"/>
    <n v="34"/>
    <x v="0"/>
    <x v="1"/>
    <x v="1426"/>
    <n v="6.74"/>
    <n v="6.03"/>
    <x v="1"/>
    <x v="0"/>
    <s v="Mild"/>
    <n v="31"/>
    <x v="0"/>
  </r>
  <r>
    <x v="1786"/>
    <n v="31"/>
    <x v="0"/>
    <x v="2"/>
    <x v="1427"/>
    <n v="9.41"/>
    <n v="15.24"/>
    <x v="3"/>
    <x v="1"/>
    <s v="Severe"/>
    <n v="27"/>
    <x v="0"/>
  </r>
  <r>
    <x v="1787"/>
    <n v="26"/>
    <x v="0"/>
    <x v="0"/>
    <x v="302"/>
    <n v="23.21"/>
    <n v="1.1499999999999999"/>
    <x v="1"/>
    <x v="1"/>
    <s v="Mild"/>
    <n v="6"/>
    <x v="1"/>
  </r>
  <r>
    <x v="1788"/>
    <n v="57"/>
    <x v="1"/>
    <x v="2"/>
    <x v="1428"/>
    <n v="23.16"/>
    <n v="0.22"/>
    <x v="1"/>
    <x v="1"/>
    <s v="None"/>
    <n v="18"/>
    <x v="0"/>
  </r>
  <r>
    <x v="1789"/>
    <n v="19"/>
    <x v="0"/>
    <x v="0"/>
    <x v="1429"/>
    <n v="37.79"/>
    <n v="21.04"/>
    <x v="0"/>
    <x v="0"/>
    <s v="None"/>
    <n v="4"/>
    <x v="0"/>
  </r>
  <r>
    <x v="1790"/>
    <n v="62"/>
    <x v="1"/>
    <x v="3"/>
    <x v="1430"/>
    <n v="4.24"/>
    <n v="3.33"/>
    <x v="2"/>
    <x v="0"/>
    <s v="None"/>
    <n v="25"/>
    <x v="0"/>
  </r>
  <r>
    <x v="1791"/>
    <n v="42"/>
    <x v="0"/>
    <x v="1"/>
    <x v="1431"/>
    <n v="38.200000000000003"/>
    <n v="4.7"/>
    <x v="2"/>
    <x v="2"/>
    <s v="Mild"/>
    <n v="6"/>
    <x v="0"/>
  </r>
  <r>
    <x v="1792"/>
    <n v="56"/>
    <x v="0"/>
    <x v="2"/>
    <x v="1432"/>
    <n v="7.42"/>
    <n v="6.59"/>
    <x v="0"/>
    <x v="0"/>
    <s v="Mild"/>
    <n v="22"/>
    <x v="0"/>
  </r>
  <r>
    <x v="1793"/>
    <n v="26"/>
    <x v="0"/>
    <x v="3"/>
    <x v="1433"/>
    <n v="26.63"/>
    <n v="16.98"/>
    <x v="3"/>
    <x v="1"/>
    <s v="None"/>
    <n v="19"/>
    <x v="1"/>
  </r>
  <r>
    <x v="1794"/>
    <n v="71"/>
    <x v="0"/>
    <x v="2"/>
    <x v="1434"/>
    <n v="17.23"/>
    <n v="2.19"/>
    <x v="2"/>
    <x v="0"/>
    <s v="None"/>
    <n v="8"/>
    <x v="0"/>
  </r>
  <r>
    <x v="1795"/>
    <n v="39"/>
    <x v="0"/>
    <x v="1"/>
    <x v="954"/>
    <n v="6.44"/>
    <n v="3.49"/>
    <x v="3"/>
    <x v="1"/>
    <s v="None"/>
    <n v="20"/>
    <x v="0"/>
  </r>
  <r>
    <x v="1796"/>
    <n v="60"/>
    <x v="1"/>
    <x v="1"/>
    <x v="1435"/>
    <n v="33.159999999999997"/>
    <n v="21.25"/>
    <x v="2"/>
    <x v="0"/>
    <s v="Moderate"/>
    <n v="22"/>
    <x v="0"/>
  </r>
  <r>
    <x v="1797"/>
    <n v="63"/>
    <x v="1"/>
    <x v="0"/>
    <x v="1436"/>
    <n v="24.71"/>
    <n v="8.31"/>
    <x v="3"/>
    <x v="2"/>
    <s v="None"/>
    <n v="26"/>
    <x v="0"/>
  </r>
  <r>
    <x v="1798"/>
    <n v="21"/>
    <x v="0"/>
    <x v="1"/>
    <x v="1437"/>
    <n v="3.02"/>
    <n v="11.54"/>
    <x v="1"/>
    <x v="0"/>
    <s v="None"/>
    <n v="20"/>
    <x v="0"/>
  </r>
  <r>
    <x v="1799"/>
    <n v="43"/>
    <x v="0"/>
    <x v="0"/>
    <x v="1203"/>
    <n v="6.89"/>
    <n v="27.91"/>
    <x v="1"/>
    <x v="2"/>
    <s v="None"/>
    <n v="32"/>
    <x v="0"/>
  </r>
  <r>
    <x v="1800"/>
    <n v="75"/>
    <x v="0"/>
    <x v="0"/>
    <x v="1314"/>
    <n v="15.62"/>
    <n v="8.49"/>
    <x v="2"/>
    <x v="0"/>
    <s v="None"/>
    <n v="3"/>
    <x v="0"/>
  </r>
  <r>
    <x v="1801"/>
    <n v="46"/>
    <x v="0"/>
    <x v="2"/>
    <x v="1438"/>
    <n v="2.52"/>
    <n v="8.1300000000000008"/>
    <x v="3"/>
    <x v="0"/>
    <s v="Mild"/>
    <n v="25"/>
    <x v="0"/>
  </r>
  <r>
    <x v="1802"/>
    <n v="62"/>
    <x v="1"/>
    <x v="2"/>
    <x v="1047"/>
    <n v="8.85"/>
    <n v="11.69"/>
    <x v="3"/>
    <x v="0"/>
    <s v="Moderate"/>
    <n v="31"/>
    <x v="0"/>
  </r>
  <r>
    <x v="1803"/>
    <n v="51"/>
    <x v="0"/>
    <x v="3"/>
    <x v="1439"/>
    <n v="20.329999999999998"/>
    <n v="17.93"/>
    <x v="1"/>
    <x v="1"/>
    <s v="None"/>
    <n v="34"/>
    <x v="0"/>
  </r>
  <r>
    <x v="1804"/>
    <n v="40"/>
    <x v="1"/>
    <x v="0"/>
    <x v="216"/>
    <n v="8.85"/>
    <n v="8.56"/>
    <x v="3"/>
    <x v="1"/>
    <s v="Mild"/>
    <n v="4"/>
    <x v="1"/>
  </r>
  <r>
    <x v="1805"/>
    <n v="54"/>
    <x v="0"/>
    <x v="1"/>
    <x v="1440"/>
    <n v="11.35"/>
    <n v="17.77"/>
    <x v="0"/>
    <x v="1"/>
    <s v="None"/>
    <n v="19"/>
    <x v="1"/>
  </r>
  <r>
    <x v="1806"/>
    <n v="28"/>
    <x v="1"/>
    <x v="3"/>
    <x v="1034"/>
    <n v="19.27"/>
    <n v="9.85"/>
    <x v="3"/>
    <x v="1"/>
    <s v="Severe"/>
    <n v="4"/>
    <x v="0"/>
  </r>
  <r>
    <x v="1807"/>
    <n v="23"/>
    <x v="0"/>
    <x v="2"/>
    <x v="1441"/>
    <n v="13.32"/>
    <n v="0.61"/>
    <x v="1"/>
    <x v="1"/>
    <s v="None"/>
    <n v="6"/>
    <x v="1"/>
  </r>
  <r>
    <x v="1808"/>
    <n v="35"/>
    <x v="0"/>
    <x v="3"/>
    <x v="1442"/>
    <n v="8.7899999999999991"/>
    <n v="3.77"/>
    <x v="0"/>
    <x v="2"/>
    <s v="None"/>
    <n v="3"/>
    <x v="0"/>
  </r>
  <r>
    <x v="1809"/>
    <n v="38"/>
    <x v="1"/>
    <x v="3"/>
    <x v="1443"/>
    <n v="26.35"/>
    <n v="6.65"/>
    <x v="0"/>
    <x v="0"/>
    <s v="None"/>
    <n v="25"/>
    <x v="0"/>
  </r>
  <r>
    <x v="1810"/>
    <n v="59"/>
    <x v="0"/>
    <x v="1"/>
    <x v="798"/>
    <n v="10.49"/>
    <n v="1.66"/>
    <x v="3"/>
    <x v="0"/>
    <s v="None"/>
    <n v="8"/>
    <x v="0"/>
  </r>
  <r>
    <x v="1811"/>
    <n v="53"/>
    <x v="0"/>
    <x v="3"/>
    <x v="1444"/>
    <n v="9.64"/>
    <n v="12.91"/>
    <x v="1"/>
    <x v="1"/>
    <s v="None"/>
    <n v="18"/>
    <x v="0"/>
  </r>
  <r>
    <x v="1812"/>
    <n v="58"/>
    <x v="0"/>
    <x v="0"/>
    <x v="1445"/>
    <n v="26.02"/>
    <n v="5.43"/>
    <x v="1"/>
    <x v="1"/>
    <s v="Mild"/>
    <n v="4"/>
    <x v="0"/>
  </r>
  <r>
    <x v="1813"/>
    <n v="55"/>
    <x v="1"/>
    <x v="1"/>
    <x v="1446"/>
    <n v="13.7"/>
    <n v="5.35"/>
    <x v="1"/>
    <x v="1"/>
    <s v="Mild"/>
    <n v="14"/>
    <x v="1"/>
  </r>
  <r>
    <x v="1814"/>
    <n v="51"/>
    <x v="0"/>
    <x v="0"/>
    <x v="206"/>
    <n v="3.75"/>
    <n v="6.81"/>
    <x v="0"/>
    <x v="0"/>
    <s v="None"/>
    <n v="29"/>
    <x v="0"/>
  </r>
  <r>
    <x v="1815"/>
    <n v="34"/>
    <x v="0"/>
    <x v="2"/>
    <x v="1447"/>
    <n v="4.1900000000000004"/>
    <n v="2.2999999999999998"/>
    <x v="1"/>
    <x v="0"/>
    <s v="Mild"/>
    <n v="21"/>
    <x v="0"/>
  </r>
  <r>
    <x v="1816"/>
    <n v="54"/>
    <x v="1"/>
    <x v="0"/>
    <x v="201"/>
    <n v="5.29"/>
    <n v="13.59"/>
    <x v="0"/>
    <x v="0"/>
    <s v="None"/>
    <n v="30"/>
    <x v="0"/>
  </r>
  <r>
    <x v="1817"/>
    <n v="42"/>
    <x v="1"/>
    <x v="3"/>
    <x v="1448"/>
    <n v="19.91"/>
    <n v="20.74"/>
    <x v="0"/>
    <x v="0"/>
    <s v="Mild"/>
    <n v="6"/>
    <x v="0"/>
  </r>
  <r>
    <x v="1818"/>
    <n v="55"/>
    <x v="1"/>
    <x v="2"/>
    <x v="1449"/>
    <n v="18.440000000000001"/>
    <n v="11.61"/>
    <x v="2"/>
    <x v="0"/>
    <s v="Mild"/>
    <n v="9"/>
    <x v="1"/>
  </r>
  <r>
    <x v="1819"/>
    <n v="75"/>
    <x v="0"/>
    <x v="1"/>
    <x v="1450"/>
    <n v="11.19"/>
    <n v="19.28"/>
    <x v="3"/>
    <x v="1"/>
    <s v="Mild"/>
    <n v="27"/>
    <x v="0"/>
  </r>
  <r>
    <x v="1820"/>
    <n v="29"/>
    <x v="0"/>
    <x v="0"/>
    <x v="951"/>
    <n v="4.25"/>
    <n v="1.68"/>
    <x v="1"/>
    <x v="0"/>
    <s v="None"/>
    <n v="19"/>
    <x v="0"/>
  </r>
  <r>
    <x v="1821"/>
    <n v="40"/>
    <x v="0"/>
    <x v="1"/>
    <x v="482"/>
    <n v="7.27"/>
    <n v="14.8"/>
    <x v="0"/>
    <x v="0"/>
    <s v="None"/>
    <n v="16"/>
    <x v="0"/>
  </r>
  <r>
    <x v="1822"/>
    <n v="70"/>
    <x v="1"/>
    <x v="0"/>
    <x v="1451"/>
    <n v="24.26"/>
    <n v="14.45"/>
    <x v="3"/>
    <x v="0"/>
    <s v="None"/>
    <n v="4"/>
    <x v="0"/>
  </r>
  <r>
    <x v="1823"/>
    <n v="59"/>
    <x v="0"/>
    <x v="0"/>
    <x v="99"/>
    <n v="8.6199999999999992"/>
    <n v="13.97"/>
    <x v="0"/>
    <x v="1"/>
    <s v="None"/>
    <n v="26"/>
    <x v="0"/>
  </r>
  <r>
    <x v="1824"/>
    <n v="39"/>
    <x v="0"/>
    <x v="1"/>
    <x v="387"/>
    <n v="8.34"/>
    <n v="13.27"/>
    <x v="3"/>
    <x v="1"/>
    <s v="Mild"/>
    <n v="17"/>
    <x v="0"/>
  </r>
  <r>
    <x v="1825"/>
    <n v="38"/>
    <x v="1"/>
    <x v="1"/>
    <x v="1452"/>
    <n v="5.66"/>
    <n v="11.71"/>
    <x v="0"/>
    <x v="1"/>
    <s v="None"/>
    <n v="35"/>
    <x v="0"/>
  </r>
  <r>
    <x v="1826"/>
    <n v="44"/>
    <x v="1"/>
    <x v="2"/>
    <x v="1453"/>
    <n v="20.36"/>
    <n v="30.43"/>
    <x v="1"/>
    <x v="2"/>
    <s v="None"/>
    <n v="14"/>
    <x v="0"/>
  </r>
  <r>
    <x v="1827"/>
    <n v="74"/>
    <x v="1"/>
    <x v="1"/>
    <x v="1454"/>
    <n v="4.95"/>
    <n v="2.69"/>
    <x v="2"/>
    <x v="0"/>
    <s v="None"/>
    <n v="21"/>
    <x v="0"/>
  </r>
  <r>
    <x v="1828"/>
    <n v="48"/>
    <x v="1"/>
    <x v="0"/>
    <x v="1455"/>
    <n v="16.690000000000001"/>
    <n v="26.78"/>
    <x v="2"/>
    <x v="2"/>
    <s v="None"/>
    <n v="7"/>
    <x v="0"/>
  </r>
  <r>
    <x v="1829"/>
    <n v="23"/>
    <x v="1"/>
    <x v="1"/>
    <x v="320"/>
    <n v="6.5"/>
    <n v="15.22"/>
    <x v="2"/>
    <x v="0"/>
    <s v="Mild"/>
    <n v="3"/>
    <x v="0"/>
  </r>
  <r>
    <x v="1830"/>
    <n v="44"/>
    <x v="0"/>
    <x v="1"/>
    <x v="1456"/>
    <n v="14.5"/>
    <n v="9.41"/>
    <x v="0"/>
    <x v="1"/>
    <s v="None"/>
    <n v="11"/>
    <x v="1"/>
  </r>
  <r>
    <x v="1831"/>
    <n v="57"/>
    <x v="1"/>
    <x v="0"/>
    <x v="1457"/>
    <n v="12.02"/>
    <n v="12.53"/>
    <x v="3"/>
    <x v="0"/>
    <s v="Mild"/>
    <n v="31"/>
    <x v="0"/>
  </r>
  <r>
    <x v="1832"/>
    <n v="51"/>
    <x v="0"/>
    <x v="2"/>
    <x v="337"/>
    <n v="9.26"/>
    <n v="2.25"/>
    <x v="1"/>
    <x v="1"/>
    <s v="None"/>
    <n v="4"/>
    <x v="1"/>
  </r>
  <r>
    <x v="1833"/>
    <n v="29"/>
    <x v="0"/>
    <x v="0"/>
    <x v="1458"/>
    <n v="7.48"/>
    <n v="6.38"/>
    <x v="1"/>
    <x v="2"/>
    <s v="Moderate"/>
    <n v="21"/>
    <x v="0"/>
  </r>
  <r>
    <x v="1834"/>
    <n v="62"/>
    <x v="1"/>
    <x v="1"/>
    <x v="1459"/>
    <n v="12.95"/>
    <n v="12.72"/>
    <x v="0"/>
    <x v="2"/>
    <s v="Severe"/>
    <n v="30"/>
    <x v="1"/>
  </r>
  <r>
    <x v="1835"/>
    <n v="74"/>
    <x v="1"/>
    <x v="2"/>
    <x v="1460"/>
    <n v="11.92"/>
    <n v="19.84"/>
    <x v="2"/>
    <x v="0"/>
    <s v="Mild"/>
    <n v="24"/>
    <x v="0"/>
  </r>
  <r>
    <x v="1836"/>
    <n v="70"/>
    <x v="1"/>
    <x v="3"/>
    <x v="1461"/>
    <n v="5.9"/>
    <n v="9.24"/>
    <x v="0"/>
    <x v="0"/>
    <s v="Moderate"/>
    <n v="6"/>
    <x v="0"/>
  </r>
  <r>
    <x v="1837"/>
    <n v="24"/>
    <x v="0"/>
    <x v="2"/>
    <x v="1462"/>
    <n v="21.97"/>
    <n v="4.9400000000000004"/>
    <x v="3"/>
    <x v="0"/>
    <s v="None"/>
    <n v="10"/>
    <x v="0"/>
  </r>
  <r>
    <x v="1838"/>
    <n v="27"/>
    <x v="1"/>
    <x v="2"/>
    <x v="1303"/>
    <n v="18.73"/>
    <n v="7.31"/>
    <x v="2"/>
    <x v="2"/>
    <s v="Moderate"/>
    <n v="3"/>
    <x v="0"/>
  </r>
  <r>
    <x v="1839"/>
    <n v="62"/>
    <x v="1"/>
    <x v="3"/>
    <x v="1463"/>
    <n v="4.33"/>
    <n v="6.66"/>
    <x v="0"/>
    <x v="1"/>
    <s v="Moderate"/>
    <n v="9"/>
    <x v="0"/>
  </r>
  <r>
    <x v="1840"/>
    <n v="34"/>
    <x v="1"/>
    <x v="3"/>
    <x v="1240"/>
    <n v="4.8099999999999996"/>
    <n v="6.67"/>
    <x v="3"/>
    <x v="0"/>
    <s v="Severe"/>
    <n v="27"/>
    <x v="0"/>
  </r>
  <r>
    <x v="1841"/>
    <n v="43"/>
    <x v="1"/>
    <x v="1"/>
    <x v="1464"/>
    <n v="1.5"/>
    <n v="1.83"/>
    <x v="2"/>
    <x v="0"/>
    <s v="Mild"/>
    <n v="31"/>
    <x v="0"/>
  </r>
  <r>
    <x v="1842"/>
    <n v="38"/>
    <x v="1"/>
    <x v="2"/>
    <x v="1465"/>
    <n v="17.45"/>
    <n v="23.77"/>
    <x v="1"/>
    <x v="2"/>
    <s v="Mild"/>
    <n v="3"/>
    <x v="0"/>
  </r>
  <r>
    <x v="1843"/>
    <n v="45"/>
    <x v="0"/>
    <x v="1"/>
    <x v="1466"/>
    <n v="7.75"/>
    <n v="16.53"/>
    <x v="3"/>
    <x v="2"/>
    <s v="None"/>
    <n v="20"/>
    <x v="0"/>
  </r>
  <r>
    <x v="1844"/>
    <n v="79"/>
    <x v="0"/>
    <x v="2"/>
    <x v="1467"/>
    <n v="9.82"/>
    <n v="16.03"/>
    <x v="1"/>
    <x v="2"/>
    <s v="None"/>
    <n v="6"/>
    <x v="0"/>
  </r>
  <r>
    <x v="1845"/>
    <n v="75"/>
    <x v="0"/>
    <x v="1"/>
    <x v="1468"/>
    <n v="4.66"/>
    <n v="11.51"/>
    <x v="3"/>
    <x v="0"/>
    <s v="None"/>
    <n v="22"/>
    <x v="0"/>
  </r>
  <r>
    <x v="1846"/>
    <n v="63"/>
    <x v="1"/>
    <x v="2"/>
    <x v="1469"/>
    <n v="9.84"/>
    <n v="10.119999999999999"/>
    <x v="2"/>
    <x v="1"/>
    <s v="Moderate"/>
    <n v="10"/>
    <x v="1"/>
  </r>
  <r>
    <x v="1847"/>
    <n v="19"/>
    <x v="1"/>
    <x v="2"/>
    <x v="1470"/>
    <n v="12.43"/>
    <n v="18.28"/>
    <x v="0"/>
    <x v="0"/>
    <s v="None"/>
    <n v="29"/>
    <x v="0"/>
  </r>
  <r>
    <x v="1848"/>
    <n v="77"/>
    <x v="1"/>
    <x v="1"/>
    <x v="241"/>
    <n v="2.87"/>
    <n v="13.77"/>
    <x v="0"/>
    <x v="0"/>
    <s v="Mild"/>
    <n v="27"/>
    <x v="0"/>
  </r>
  <r>
    <x v="1849"/>
    <n v="71"/>
    <x v="0"/>
    <x v="1"/>
    <x v="880"/>
    <n v="12.23"/>
    <n v="8.4700000000000006"/>
    <x v="0"/>
    <x v="0"/>
    <s v="None"/>
    <n v="16"/>
    <x v="0"/>
  </r>
  <r>
    <x v="1850"/>
    <n v="60"/>
    <x v="1"/>
    <x v="1"/>
    <x v="1471"/>
    <n v="11.75"/>
    <n v="30.12"/>
    <x v="0"/>
    <x v="1"/>
    <s v="None"/>
    <n v="33"/>
    <x v="0"/>
  </r>
  <r>
    <x v="1851"/>
    <n v="18"/>
    <x v="1"/>
    <x v="2"/>
    <x v="1472"/>
    <n v="25.19"/>
    <n v="16.41"/>
    <x v="3"/>
    <x v="0"/>
    <s v="Moderate"/>
    <n v="7"/>
    <x v="0"/>
  </r>
  <r>
    <x v="1852"/>
    <n v="68"/>
    <x v="1"/>
    <x v="0"/>
    <x v="1473"/>
    <n v="12.78"/>
    <n v="9.76"/>
    <x v="0"/>
    <x v="1"/>
    <s v="Moderate"/>
    <n v="19"/>
    <x v="1"/>
  </r>
  <r>
    <x v="1853"/>
    <n v="70"/>
    <x v="0"/>
    <x v="1"/>
    <x v="1474"/>
    <n v="4.2"/>
    <n v="9.4499999999999993"/>
    <x v="0"/>
    <x v="2"/>
    <s v="Mild"/>
    <n v="12"/>
    <x v="1"/>
  </r>
  <r>
    <x v="1854"/>
    <n v="53"/>
    <x v="1"/>
    <x v="2"/>
    <x v="559"/>
    <n v="4.55"/>
    <n v="0.97"/>
    <x v="3"/>
    <x v="1"/>
    <s v="None"/>
    <n v="18"/>
    <x v="0"/>
  </r>
  <r>
    <x v="1855"/>
    <n v="68"/>
    <x v="0"/>
    <x v="1"/>
    <x v="517"/>
    <n v="11.64"/>
    <n v="4.37"/>
    <x v="3"/>
    <x v="0"/>
    <s v="None"/>
    <n v="6"/>
    <x v="0"/>
  </r>
  <r>
    <x v="1856"/>
    <n v="43"/>
    <x v="1"/>
    <x v="3"/>
    <x v="810"/>
    <n v="7.56"/>
    <n v="1.99"/>
    <x v="2"/>
    <x v="1"/>
    <s v="None"/>
    <n v="7"/>
    <x v="1"/>
  </r>
  <r>
    <x v="1857"/>
    <n v="46"/>
    <x v="0"/>
    <x v="0"/>
    <x v="1475"/>
    <n v="16.53"/>
    <n v="6.21"/>
    <x v="3"/>
    <x v="1"/>
    <s v="None"/>
    <n v="22"/>
    <x v="0"/>
  </r>
  <r>
    <x v="1858"/>
    <n v="38"/>
    <x v="0"/>
    <x v="1"/>
    <x v="944"/>
    <n v="2.75"/>
    <n v="12.78"/>
    <x v="1"/>
    <x v="2"/>
    <s v="None"/>
    <n v="8"/>
    <x v="0"/>
  </r>
  <r>
    <x v="1859"/>
    <n v="28"/>
    <x v="0"/>
    <x v="3"/>
    <x v="1476"/>
    <n v="17.989999999999998"/>
    <n v="5.58"/>
    <x v="2"/>
    <x v="1"/>
    <s v="None"/>
    <n v="13"/>
    <x v="0"/>
  </r>
  <r>
    <x v="1860"/>
    <n v="57"/>
    <x v="1"/>
    <x v="1"/>
    <x v="616"/>
    <n v="11.35"/>
    <n v="6.91"/>
    <x v="2"/>
    <x v="1"/>
    <s v="None"/>
    <n v="19"/>
    <x v="0"/>
  </r>
  <r>
    <x v="1861"/>
    <n v="28"/>
    <x v="1"/>
    <x v="1"/>
    <x v="777"/>
    <n v="25.62"/>
    <n v="8.99"/>
    <x v="0"/>
    <x v="1"/>
    <s v="Mild"/>
    <n v="5"/>
    <x v="0"/>
  </r>
  <r>
    <x v="1862"/>
    <n v="53"/>
    <x v="0"/>
    <x v="1"/>
    <x v="1477"/>
    <n v="9.0500000000000007"/>
    <n v="27.13"/>
    <x v="0"/>
    <x v="0"/>
    <s v="None"/>
    <n v="18"/>
    <x v="0"/>
  </r>
  <r>
    <x v="1863"/>
    <n v="66"/>
    <x v="0"/>
    <x v="1"/>
    <x v="1478"/>
    <n v="4.37"/>
    <n v="3.19"/>
    <x v="1"/>
    <x v="0"/>
    <s v="None"/>
    <n v="28"/>
    <x v="0"/>
  </r>
  <r>
    <x v="1864"/>
    <n v="76"/>
    <x v="1"/>
    <x v="2"/>
    <x v="1479"/>
    <n v="3.98"/>
    <n v="4.3899999999999997"/>
    <x v="0"/>
    <x v="1"/>
    <s v="None"/>
    <n v="26"/>
    <x v="0"/>
  </r>
  <r>
    <x v="1865"/>
    <n v="56"/>
    <x v="1"/>
    <x v="3"/>
    <x v="1480"/>
    <n v="12.79"/>
    <n v="21.53"/>
    <x v="3"/>
    <x v="0"/>
    <s v="Severe"/>
    <n v="22"/>
    <x v="0"/>
  </r>
  <r>
    <x v="1866"/>
    <n v="57"/>
    <x v="0"/>
    <x v="3"/>
    <x v="1481"/>
    <n v="3.25"/>
    <n v="7.57"/>
    <x v="3"/>
    <x v="1"/>
    <s v="None"/>
    <n v="19"/>
    <x v="1"/>
  </r>
  <r>
    <x v="1867"/>
    <n v="52"/>
    <x v="1"/>
    <x v="1"/>
    <x v="1482"/>
    <n v="37.97"/>
    <n v="5.9"/>
    <x v="0"/>
    <x v="2"/>
    <s v="None"/>
    <n v="22"/>
    <x v="0"/>
  </r>
  <r>
    <x v="1868"/>
    <n v="71"/>
    <x v="1"/>
    <x v="1"/>
    <x v="1402"/>
    <n v="8.77"/>
    <n v="1.53"/>
    <x v="0"/>
    <x v="2"/>
    <s v="None"/>
    <n v="18"/>
    <x v="0"/>
  </r>
  <r>
    <x v="1869"/>
    <n v="51"/>
    <x v="1"/>
    <x v="2"/>
    <x v="1483"/>
    <n v="27.5"/>
    <n v="12.28"/>
    <x v="3"/>
    <x v="2"/>
    <s v="Moderate"/>
    <n v="6"/>
    <x v="0"/>
  </r>
  <r>
    <x v="1870"/>
    <n v="72"/>
    <x v="1"/>
    <x v="0"/>
    <x v="681"/>
    <n v="1.99"/>
    <n v="4.2"/>
    <x v="2"/>
    <x v="2"/>
    <s v="Mild"/>
    <n v="20"/>
    <x v="0"/>
  </r>
  <r>
    <x v="1871"/>
    <n v="64"/>
    <x v="0"/>
    <x v="1"/>
    <x v="1484"/>
    <n v="0.56999999999999995"/>
    <n v="10.71"/>
    <x v="1"/>
    <x v="1"/>
    <s v="Mild"/>
    <n v="32"/>
    <x v="0"/>
  </r>
  <r>
    <x v="1872"/>
    <n v="41"/>
    <x v="1"/>
    <x v="0"/>
    <x v="1485"/>
    <n v="5.32"/>
    <n v="16.170000000000002"/>
    <x v="1"/>
    <x v="1"/>
    <s v="None"/>
    <n v="20"/>
    <x v="0"/>
  </r>
  <r>
    <x v="1873"/>
    <n v="71"/>
    <x v="1"/>
    <x v="3"/>
    <x v="1486"/>
    <n v="13.39"/>
    <n v="9.2100000000000009"/>
    <x v="2"/>
    <x v="0"/>
    <s v="Mild"/>
    <n v="23"/>
    <x v="0"/>
  </r>
  <r>
    <x v="1874"/>
    <n v="39"/>
    <x v="0"/>
    <x v="3"/>
    <x v="533"/>
    <n v="10.85"/>
    <n v="21.13"/>
    <x v="1"/>
    <x v="1"/>
    <s v="Mild"/>
    <n v="34"/>
    <x v="0"/>
  </r>
  <r>
    <x v="1875"/>
    <n v="22"/>
    <x v="0"/>
    <x v="3"/>
    <x v="1487"/>
    <n v="6.06"/>
    <n v="7.76"/>
    <x v="0"/>
    <x v="1"/>
    <s v="Mild"/>
    <n v="7"/>
    <x v="1"/>
  </r>
  <r>
    <x v="1876"/>
    <n v="73"/>
    <x v="1"/>
    <x v="1"/>
    <x v="730"/>
    <n v="13.25"/>
    <n v="7.86"/>
    <x v="0"/>
    <x v="1"/>
    <s v="Moderate"/>
    <n v="25"/>
    <x v="0"/>
  </r>
  <r>
    <x v="1877"/>
    <n v="50"/>
    <x v="1"/>
    <x v="1"/>
    <x v="1488"/>
    <n v="8.14"/>
    <n v="22.15"/>
    <x v="0"/>
    <x v="0"/>
    <s v="None"/>
    <n v="32"/>
    <x v="0"/>
  </r>
  <r>
    <x v="1878"/>
    <n v="75"/>
    <x v="1"/>
    <x v="2"/>
    <x v="208"/>
    <n v="3.35"/>
    <n v="18.13"/>
    <x v="1"/>
    <x v="0"/>
    <s v="None"/>
    <n v="29"/>
    <x v="0"/>
  </r>
  <r>
    <x v="1879"/>
    <n v="53"/>
    <x v="1"/>
    <x v="1"/>
    <x v="1489"/>
    <n v="30.31"/>
    <n v="9.18"/>
    <x v="2"/>
    <x v="1"/>
    <s v="Moderate"/>
    <n v="17"/>
    <x v="0"/>
  </r>
  <r>
    <x v="1880"/>
    <n v="64"/>
    <x v="0"/>
    <x v="0"/>
    <x v="1490"/>
    <n v="0.51"/>
    <n v="22.15"/>
    <x v="0"/>
    <x v="1"/>
    <s v="Mild"/>
    <n v="16"/>
    <x v="1"/>
  </r>
  <r>
    <x v="1881"/>
    <n v="37"/>
    <x v="0"/>
    <x v="3"/>
    <x v="1491"/>
    <n v="12.05"/>
    <n v="10.74"/>
    <x v="2"/>
    <x v="0"/>
    <s v="None"/>
    <n v="23"/>
    <x v="0"/>
  </r>
  <r>
    <x v="1882"/>
    <n v="36"/>
    <x v="0"/>
    <x v="1"/>
    <x v="1492"/>
    <n v="10.33"/>
    <n v="6.5"/>
    <x v="3"/>
    <x v="1"/>
    <s v="None"/>
    <n v="28"/>
    <x v="0"/>
  </r>
  <r>
    <x v="1883"/>
    <n v="52"/>
    <x v="1"/>
    <x v="2"/>
    <x v="1493"/>
    <n v="10.54"/>
    <n v="21.3"/>
    <x v="3"/>
    <x v="2"/>
    <s v="Moderate"/>
    <n v="27"/>
    <x v="1"/>
  </r>
  <r>
    <x v="1884"/>
    <n v="69"/>
    <x v="1"/>
    <x v="1"/>
    <x v="1408"/>
    <n v="20.69"/>
    <n v="4.9000000000000004"/>
    <x v="3"/>
    <x v="1"/>
    <s v="None"/>
    <n v="33"/>
    <x v="1"/>
  </r>
  <r>
    <x v="1885"/>
    <n v="60"/>
    <x v="1"/>
    <x v="3"/>
    <x v="1494"/>
    <n v="3.87"/>
    <n v="2.85"/>
    <x v="1"/>
    <x v="0"/>
    <s v="None"/>
    <n v="8"/>
    <x v="0"/>
  </r>
  <r>
    <x v="1886"/>
    <n v="34"/>
    <x v="1"/>
    <x v="2"/>
    <x v="1495"/>
    <n v="3.68"/>
    <n v="27.33"/>
    <x v="1"/>
    <x v="1"/>
    <s v="None"/>
    <n v="6"/>
    <x v="0"/>
  </r>
  <r>
    <x v="1887"/>
    <n v="79"/>
    <x v="0"/>
    <x v="0"/>
    <x v="1496"/>
    <n v="20.73"/>
    <n v="4.2"/>
    <x v="0"/>
    <x v="1"/>
    <s v="Moderate"/>
    <n v="26"/>
    <x v="0"/>
  </r>
  <r>
    <x v="1888"/>
    <n v="76"/>
    <x v="0"/>
    <x v="2"/>
    <x v="1497"/>
    <n v="15.46"/>
    <n v="15.09"/>
    <x v="3"/>
    <x v="0"/>
    <s v="Moderate"/>
    <n v="33"/>
    <x v="0"/>
  </r>
  <r>
    <x v="1889"/>
    <n v="62"/>
    <x v="1"/>
    <x v="2"/>
    <x v="45"/>
    <n v="26.46"/>
    <n v="29.33"/>
    <x v="2"/>
    <x v="0"/>
    <s v="None"/>
    <n v="21"/>
    <x v="0"/>
  </r>
  <r>
    <x v="1890"/>
    <n v="60"/>
    <x v="0"/>
    <x v="2"/>
    <x v="1498"/>
    <n v="8.4600000000000009"/>
    <n v="6.02"/>
    <x v="1"/>
    <x v="2"/>
    <s v="Mild"/>
    <n v="13"/>
    <x v="0"/>
  </r>
  <r>
    <x v="1891"/>
    <n v="51"/>
    <x v="1"/>
    <x v="0"/>
    <x v="213"/>
    <n v="8.24"/>
    <n v="8.69"/>
    <x v="2"/>
    <x v="0"/>
    <s v="None"/>
    <n v="31"/>
    <x v="0"/>
  </r>
  <r>
    <x v="1892"/>
    <n v="26"/>
    <x v="1"/>
    <x v="1"/>
    <x v="770"/>
    <n v="19.23"/>
    <n v="14.64"/>
    <x v="2"/>
    <x v="1"/>
    <s v="None"/>
    <n v="7"/>
    <x v="0"/>
  </r>
  <r>
    <x v="1893"/>
    <n v="43"/>
    <x v="0"/>
    <x v="1"/>
    <x v="1499"/>
    <n v="23.96"/>
    <n v="14.15"/>
    <x v="0"/>
    <x v="1"/>
    <s v="Moderate"/>
    <n v="20"/>
    <x v="0"/>
  </r>
  <r>
    <x v="1894"/>
    <n v="19"/>
    <x v="1"/>
    <x v="1"/>
    <x v="1500"/>
    <n v="3.39"/>
    <n v="25.63"/>
    <x v="0"/>
    <x v="1"/>
    <s v="None"/>
    <n v="5"/>
    <x v="0"/>
  </r>
  <r>
    <x v="1895"/>
    <n v="70"/>
    <x v="1"/>
    <x v="1"/>
    <x v="1308"/>
    <n v="36.6"/>
    <n v="3.69"/>
    <x v="2"/>
    <x v="1"/>
    <s v="None"/>
    <n v="13"/>
    <x v="0"/>
  </r>
  <r>
    <x v="1896"/>
    <n v="26"/>
    <x v="0"/>
    <x v="2"/>
    <x v="1501"/>
    <n v="6.85"/>
    <n v="16.59"/>
    <x v="2"/>
    <x v="0"/>
    <s v="Mild"/>
    <n v="23"/>
    <x v="0"/>
  </r>
  <r>
    <x v="1897"/>
    <n v="26"/>
    <x v="1"/>
    <x v="2"/>
    <x v="33"/>
    <n v="11.96"/>
    <n v="6.72"/>
    <x v="2"/>
    <x v="2"/>
    <s v="None"/>
    <n v="32"/>
    <x v="1"/>
  </r>
  <r>
    <x v="1898"/>
    <n v="57"/>
    <x v="1"/>
    <x v="3"/>
    <x v="1502"/>
    <n v="15.28"/>
    <n v="20.170000000000002"/>
    <x v="2"/>
    <x v="0"/>
    <s v="None"/>
    <n v="21"/>
    <x v="1"/>
  </r>
  <r>
    <x v="1899"/>
    <n v="34"/>
    <x v="0"/>
    <x v="1"/>
    <x v="1144"/>
    <n v="21.08"/>
    <n v="12.22"/>
    <x v="3"/>
    <x v="0"/>
    <s v="Mild"/>
    <n v="27"/>
    <x v="1"/>
  </r>
  <r>
    <x v="1900"/>
    <n v="18"/>
    <x v="1"/>
    <x v="2"/>
    <x v="1503"/>
    <n v="17.07"/>
    <n v="4.33"/>
    <x v="2"/>
    <x v="0"/>
    <s v="Mild"/>
    <n v="14"/>
    <x v="0"/>
  </r>
  <r>
    <x v="1901"/>
    <n v="42"/>
    <x v="0"/>
    <x v="1"/>
    <x v="1504"/>
    <n v="10.73"/>
    <n v="10.65"/>
    <x v="1"/>
    <x v="2"/>
    <s v="None"/>
    <n v="28"/>
    <x v="0"/>
  </r>
  <r>
    <x v="1902"/>
    <n v="78"/>
    <x v="1"/>
    <x v="2"/>
    <x v="153"/>
    <n v="16.95"/>
    <n v="2.48"/>
    <x v="0"/>
    <x v="1"/>
    <s v="None"/>
    <n v="7"/>
    <x v="0"/>
  </r>
  <r>
    <x v="1903"/>
    <n v="60"/>
    <x v="0"/>
    <x v="3"/>
    <x v="1073"/>
    <n v="7.5"/>
    <n v="16.03"/>
    <x v="1"/>
    <x v="0"/>
    <s v="Mild"/>
    <n v="21"/>
    <x v="0"/>
  </r>
  <r>
    <x v="1904"/>
    <n v="57"/>
    <x v="0"/>
    <x v="1"/>
    <x v="1505"/>
    <n v="6.34"/>
    <n v="3.64"/>
    <x v="0"/>
    <x v="2"/>
    <s v="Severe"/>
    <n v="29"/>
    <x v="1"/>
  </r>
  <r>
    <x v="1905"/>
    <n v="59"/>
    <x v="0"/>
    <x v="1"/>
    <x v="494"/>
    <n v="10.46"/>
    <n v="11.69"/>
    <x v="0"/>
    <x v="1"/>
    <s v="None"/>
    <n v="31"/>
    <x v="0"/>
  </r>
  <r>
    <x v="1906"/>
    <n v="42"/>
    <x v="1"/>
    <x v="1"/>
    <x v="1506"/>
    <n v="23.11"/>
    <n v="16.39"/>
    <x v="0"/>
    <x v="1"/>
    <s v="Severe"/>
    <n v="14"/>
    <x v="1"/>
  </r>
  <r>
    <x v="1907"/>
    <n v="56"/>
    <x v="0"/>
    <x v="0"/>
    <x v="831"/>
    <n v="15.03"/>
    <n v="8.43"/>
    <x v="1"/>
    <x v="2"/>
    <s v="Mild"/>
    <n v="21"/>
    <x v="0"/>
  </r>
  <r>
    <x v="1908"/>
    <n v="52"/>
    <x v="0"/>
    <x v="0"/>
    <x v="1507"/>
    <n v="7"/>
    <n v="10.16"/>
    <x v="0"/>
    <x v="0"/>
    <s v="Moderate"/>
    <n v="11"/>
    <x v="1"/>
  </r>
  <r>
    <x v="1909"/>
    <n v="20"/>
    <x v="0"/>
    <x v="2"/>
    <x v="233"/>
    <n v="9.48"/>
    <n v="17.059999999999999"/>
    <x v="2"/>
    <x v="1"/>
    <s v="None"/>
    <n v="20"/>
    <x v="0"/>
  </r>
  <r>
    <x v="1910"/>
    <n v="67"/>
    <x v="0"/>
    <x v="1"/>
    <x v="1508"/>
    <n v="19.91"/>
    <n v="12.22"/>
    <x v="2"/>
    <x v="0"/>
    <s v="None"/>
    <n v="31"/>
    <x v="0"/>
  </r>
  <r>
    <x v="1911"/>
    <n v="54"/>
    <x v="0"/>
    <x v="3"/>
    <x v="1481"/>
    <n v="12.4"/>
    <n v="7.88"/>
    <x v="3"/>
    <x v="1"/>
    <s v="None"/>
    <n v="5"/>
    <x v="0"/>
  </r>
  <r>
    <x v="1912"/>
    <n v="61"/>
    <x v="1"/>
    <x v="2"/>
    <x v="1509"/>
    <n v="11.29"/>
    <n v="4.78"/>
    <x v="3"/>
    <x v="0"/>
    <s v="None"/>
    <n v="25"/>
    <x v="0"/>
  </r>
  <r>
    <x v="1913"/>
    <n v="61"/>
    <x v="1"/>
    <x v="2"/>
    <x v="1411"/>
    <n v="11.48"/>
    <n v="20.02"/>
    <x v="3"/>
    <x v="1"/>
    <s v="Severe"/>
    <n v="32"/>
    <x v="0"/>
  </r>
  <r>
    <x v="1914"/>
    <n v="68"/>
    <x v="1"/>
    <x v="1"/>
    <x v="1510"/>
    <n v="3.57"/>
    <n v="9.9700000000000006"/>
    <x v="2"/>
    <x v="1"/>
    <s v="None"/>
    <n v="26"/>
    <x v="1"/>
  </r>
  <r>
    <x v="1915"/>
    <n v="47"/>
    <x v="1"/>
    <x v="1"/>
    <x v="1511"/>
    <n v="1.64"/>
    <n v="5.43"/>
    <x v="1"/>
    <x v="0"/>
    <s v="Mild"/>
    <n v="6"/>
    <x v="0"/>
  </r>
  <r>
    <x v="1916"/>
    <n v="55"/>
    <x v="1"/>
    <x v="2"/>
    <x v="1512"/>
    <n v="21.54"/>
    <n v="2.5499999999999998"/>
    <x v="3"/>
    <x v="0"/>
    <s v="None"/>
    <n v="30"/>
    <x v="0"/>
  </r>
  <r>
    <x v="1917"/>
    <n v="51"/>
    <x v="1"/>
    <x v="3"/>
    <x v="1513"/>
    <n v="10.4"/>
    <n v="10.119999999999999"/>
    <x v="2"/>
    <x v="2"/>
    <s v="Mild"/>
    <n v="18"/>
    <x v="0"/>
  </r>
  <r>
    <x v="1918"/>
    <n v="29"/>
    <x v="1"/>
    <x v="1"/>
    <x v="1514"/>
    <n v="11.72"/>
    <n v="8.16"/>
    <x v="0"/>
    <x v="1"/>
    <s v="None"/>
    <n v="15"/>
    <x v="1"/>
  </r>
  <r>
    <x v="1919"/>
    <n v="36"/>
    <x v="0"/>
    <x v="1"/>
    <x v="249"/>
    <n v="7.19"/>
    <n v="4.83"/>
    <x v="1"/>
    <x v="2"/>
    <s v="None"/>
    <n v="10"/>
    <x v="1"/>
  </r>
  <r>
    <x v="1920"/>
    <n v="54"/>
    <x v="1"/>
    <x v="3"/>
    <x v="1022"/>
    <n v="26.76"/>
    <n v="12.37"/>
    <x v="1"/>
    <x v="1"/>
    <s v="None"/>
    <n v="27"/>
    <x v="0"/>
  </r>
  <r>
    <x v="1921"/>
    <n v="61"/>
    <x v="0"/>
    <x v="0"/>
    <x v="301"/>
    <n v="6.67"/>
    <n v="4.88"/>
    <x v="2"/>
    <x v="1"/>
    <s v="Mild"/>
    <n v="4"/>
    <x v="1"/>
  </r>
  <r>
    <x v="1922"/>
    <n v="76"/>
    <x v="0"/>
    <x v="0"/>
    <x v="1515"/>
    <n v="8.08"/>
    <n v="23.12"/>
    <x v="2"/>
    <x v="2"/>
    <s v="None"/>
    <n v="32"/>
    <x v="0"/>
  </r>
  <r>
    <x v="1923"/>
    <n v="76"/>
    <x v="1"/>
    <x v="3"/>
    <x v="1516"/>
    <n v="21.24"/>
    <n v="6.68"/>
    <x v="0"/>
    <x v="0"/>
    <s v="None"/>
    <n v="5"/>
    <x v="0"/>
  </r>
  <r>
    <x v="1924"/>
    <n v="66"/>
    <x v="0"/>
    <x v="3"/>
    <x v="1517"/>
    <n v="6.86"/>
    <n v="2.5099999999999998"/>
    <x v="0"/>
    <x v="1"/>
    <s v="None"/>
    <n v="25"/>
    <x v="0"/>
  </r>
  <r>
    <x v="1925"/>
    <n v="78"/>
    <x v="0"/>
    <x v="1"/>
    <x v="47"/>
    <n v="11.85"/>
    <n v="10.71"/>
    <x v="0"/>
    <x v="1"/>
    <s v="Severe"/>
    <n v="31"/>
    <x v="0"/>
  </r>
  <r>
    <x v="1926"/>
    <n v="34"/>
    <x v="0"/>
    <x v="3"/>
    <x v="735"/>
    <n v="2.91"/>
    <n v="16.88"/>
    <x v="1"/>
    <x v="0"/>
    <s v="Mild"/>
    <n v="32"/>
    <x v="0"/>
  </r>
  <r>
    <x v="1927"/>
    <n v="27"/>
    <x v="0"/>
    <x v="3"/>
    <x v="1518"/>
    <n v="4.71"/>
    <n v="3.85"/>
    <x v="1"/>
    <x v="0"/>
    <s v="Mild"/>
    <n v="13"/>
    <x v="0"/>
  </r>
  <r>
    <x v="1928"/>
    <n v="74"/>
    <x v="1"/>
    <x v="2"/>
    <x v="1519"/>
    <n v="2.4700000000000002"/>
    <n v="14.32"/>
    <x v="3"/>
    <x v="2"/>
    <s v="Mild"/>
    <n v="23"/>
    <x v="1"/>
  </r>
  <r>
    <x v="1929"/>
    <n v="72"/>
    <x v="1"/>
    <x v="3"/>
    <x v="1520"/>
    <n v="10.79"/>
    <n v="15.62"/>
    <x v="3"/>
    <x v="0"/>
    <s v="None"/>
    <n v="29"/>
    <x v="1"/>
  </r>
  <r>
    <x v="1930"/>
    <n v="66"/>
    <x v="1"/>
    <x v="1"/>
    <x v="1521"/>
    <n v="11.33"/>
    <n v="10.02"/>
    <x v="3"/>
    <x v="2"/>
    <s v="Mild"/>
    <n v="26"/>
    <x v="0"/>
  </r>
  <r>
    <x v="1931"/>
    <n v="64"/>
    <x v="1"/>
    <x v="1"/>
    <x v="1522"/>
    <n v="11.84"/>
    <n v="24.99"/>
    <x v="1"/>
    <x v="0"/>
    <s v="None"/>
    <n v="33"/>
    <x v="0"/>
  </r>
  <r>
    <x v="1932"/>
    <n v="29"/>
    <x v="1"/>
    <x v="1"/>
    <x v="1523"/>
    <n v="8.31"/>
    <n v="5.01"/>
    <x v="0"/>
    <x v="2"/>
    <s v="None"/>
    <n v="32"/>
    <x v="0"/>
  </r>
  <r>
    <x v="1933"/>
    <n v="79"/>
    <x v="1"/>
    <x v="1"/>
    <x v="569"/>
    <n v="8.67"/>
    <n v="4.0199999999999996"/>
    <x v="3"/>
    <x v="1"/>
    <s v="Mild"/>
    <n v="3"/>
    <x v="0"/>
  </r>
  <r>
    <x v="1934"/>
    <n v="33"/>
    <x v="1"/>
    <x v="1"/>
    <x v="1524"/>
    <n v="5.85"/>
    <n v="6.15"/>
    <x v="0"/>
    <x v="2"/>
    <s v="Mild"/>
    <n v="3"/>
    <x v="0"/>
  </r>
  <r>
    <x v="1935"/>
    <n v="41"/>
    <x v="1"/>
    <x v="0"/>
    <x v="1363"/>
    <n v="7.46"/>
    <n v="7.33"/>
    <x v="0"/>
    <x v="1"/>
    <s v="None"/>
    <n v="10"/>
    <x v="1"/>
  </r>
  <r>
    <x v="1936"/>
    <n v="36"/>
    <x v="1"/>
    <x v="3"/>
    <x v="1525"/>
    <n v="3.07"/>
    <n v="6.93"/>
    <x v="0"/>
    <x v="2"/>
    <s v="None"/>
    <n v="18"/>
    <x v="0"/>
  </r>
  <r>
    <x v="1937"/>
    <n v="25"/>
    <x v="1"/>
    <x v="3"/>
    <x v="677"/>
    <n v="13.23"/>
    <n v="4.62"/>
    <x v="3"/>
    <x v="1"/>
    <s v="Mild"/>
    <n v="29"/>
    <x v="0"/>
  </r>
  <r>
    <x v="1938"/>
    <n v="48"/>
    <x v="0"/>
    <x v="0"/>
    <x v="1526"/>
    <n v="17.649999999999999"/>
    <n v="6.61"/>
    <x v="3"/>
    <x v="0"/>
    <s v="Mild"/>
    <n v="6"/>
    <x v="0"/>
  </r>
  <r>
    <x v="1939"/>
    <n v="38"/>
    <x v="1"/>
    <x v="0"/>
    <x v="276"/>
    <n v="8.9"/>
    <n v="9.16"/>
    <x v="0"/>
    <x v="0"/>
    <s v="None"/>
    <n v="21"/>
    <x v="1"/>
  </r>
  <r>
    <x v="1940"/>
    <n v="34"/>
    <x v="0"/>
    <x v="3"/>
    <x v="42"/>
    <n v="8.6999999999999993"/>
    <n v="14.89"/>
    <x v="3"/>
    <x v="2"/>
    <s v="None"/>
    <n v="31"/>
    <x v="0"/>
  </r>
  <r>
    <x v="1941"/>
    <n v="40"/>
    <x v="0"/>
    <x v="0"/>
    <x v="389"/>
    <n v="10.82"/>
    <n v="10.92"/>
    <x v="2"/>
    <x v="0"/>
    <s v="Moderate"/>
    <n v="5"/>
    <x v="0"/>
  </r>
  <r>
    <x v="1942"/>
    <n v="54"/>
    <x v="0"/>
    <x v="1"/>
    <x v="1168"/>
    <n v="26.27"/>
    <n v="15.04"/>
    <x v="3"/>
    <x v="1"/>
    <s v="Mild"/>
    <n v="13"/>
    <x v="0"/>
  </r>
  <r>
    <x v="1943"/>
    <n v="71"/>
    <x v="0"/>
    <x v="1"/>
    <x v="1527"/>
    <n v="9.5"/>
    <n v="5.74"/>
    <x v="0"/>
    <x v="0"/>
    <s v="Severe"/>
    <n v="10"/>
    <x v="0"/>
  </r>
  <r>
    <x v="1944"/>
    <n v="33"/>
    <x v="1"/>
    <x v="3"/>
    <x v="1417"/>
    <n v="10.14"/>
    <n v="8.86"/>
    <x v="0"/>
    <x v="1"/>
    <s v="None"/>
    <n v="35"/>
    <x v="0"/>
  </r>
  <r>
    <x v="1945"/>
    <n v="23"/>
    <x v="0"/>
    <x v="2"/>
    <x v="1528"/>
    <n v="45.95"/>
    <n v="7.06"/>
    <x v="1"/>
    <x v="1"/>
    <s v="None"/>
    <n v="10"/>
    <x v="0"/>
  </r>
  <r>
    <x v="1946"/>
    <n v="25"/>
    <x v="1"/>
    <x v="2"/>
    <x v="1529"/>
    <n v="8.4600000000000009"/>
    <n v="3.08"/>
    <x v="1"/>
    <x v="1"/>
    <s v="None"/>
    <n v="27"/>
    <x v="0"/>
  </r>
  <r>
    <x v="1947"/>
    <n v="42"/>
    <x v="1"/>
    <x v="1"/>
    <x v="1530"/>
    <n v="12.98"/>
    <n v="1.3"/>
    <x v="0"/>
    <x v="1"/>
    <s v="Mild"/>
    <n v="26"/>
    <x v="0"/>
  </r>
  <r>
    <x v="1948"/>
    <n v="35"/>
    <x v="0"/>
    <x v="1"/>
    <x v="653"/>
    <n v="12.59"/>
    <n v="5.47"/>
    <x v="2"/>
    <x v="0"/>
    <s v="None"/>
    <n v="28"/>
    <x v="0"/>
  </r>
  <r>
    <x v="1949"/>
    <n v="42"/>
    <x v="1"/>
    <x v="2"/>
    <x v="456"/>
    <n v="7.6"/>
    <n v="13.57"/>
    <x v="1"/>
    <x v="2"/>
    <s v="None"/>
    <n v="28"/>
    <x v="0"/>
  </r>
  <r>
    <x v="1950"/>
    <n v="29"/>
    <x v="0"/>
    <x v="1"/>
    <x v="581"/>
    <n v="13.61"/>
    <n v="10.62"/>
    <x v="0"/>
    <x v="2"/>
    <s v="None"/>
    <n v="19"/>
    <x v="0"/>
  </r>
  <r>
    <x v="1951"/>
    <n v="32"/>
    <x v="0"/>
    <x v="3"/>
    <x v="1531"/>
    <n v="2.64"/>
    <n v="9.48"/>
    <x v="1"/>
    <x v="1"/>
    <s v="Mild"/>
    <n v="29"/>
    <x v="1"/>
  </r>
  <r>
    <x v="1952"/>
    <n v="76"/>
    <x v="1"/>
    <x v="2"/>
    <x v="1532"/>
    <n v="8.68"/>
    <n v="19.940000000000001"/>
    <x v="1"/>
    <x v="1"/>
    <s v="None"/>
    <n v="31"/>
    <x v="0"/>
  </r>
  <r>
    <x v="1953"/>
    <n v="43"/>
    <x v="1"/>
    <x v="2"/>
    <x v="1496"/>
    <n v="4.6100000000000003"/>
    <n v="4.83"/>
    <x v="0"/>
    <x v="1"/>
    <s v="Mild"/>
    <n v="11"/>
    <x v="0"/>
  </r>
  <r>
    <x v="1954"/>
    <n v="58"/>
    <x v="0"/>
    <x v="2"/>
    <x v="220"/>
    <n v="13.86"/>
    <n v="11.36"/>
    <x v="3"/>
    <x v="1"/>
    <s v="Moderate"/>
    <n v="16"/>
    <x v="0"/>
  </r>
  <r>
    <x v="1955"/>
    <n v="62"/>
    <x v="1"/>
    <x v="0"/>
    <x v="456"/>
    <n v="2.2200000000000002"/>
    <n v="6.93"/>
    <x v="2"/>
    <x v="1"/>
    <s v="Mild"/>
    <n v="7"/>
    <x v="0"/>
  </r>
  <r>
    <x v="1956"/>
    <n v="43"/>
    <x v="1"/>
    <x v="3"/>
    <x v="1533"/>
    <n v="16.02"/>
    <n v="11.69"/>
    <x v="3"/>
    <x v="1"/>
    <s v="None"/>
    <n v="32"/>
    <x v="0"/>
  </r>
  <r>
    <x v="1957"/>
    <n v="64"/>
    <x v="1"/>
    <x v="2"/>
    <x v="1534"/>
    <n v="0.45"/>
    <n v="16.41"/>
    <x v="0"/>
    <x v="0"/>
    <s v="Severe"/>
    <n v="30"/>
    <x v="0"/>
  </r>
  <r>
    <x v="1958"/>
    <n v="49"/>
    <x v="0"/>
    <x v="2"/>
    <x v="1535"/>
    <n v="13.22"/>
    <n v="3.18"/>
    <x v="0"/>
    <x v="0"/>
    <s v="None"/>
    <n v="10"/>
    <x v="1"/>
  </r>
  <r>
    <x v="1959"/>
    <n v="27"/>
    <x v="0"/>
    <x v="1"/>
    <x v="467"/>
    <n v="3.95"/>
    <n v="14.04"/>
    <x v="2"/>
    <x v="0"/>
    <s v="None"/>
    <n v="17"/>
    <x v="0"/>
  </r>
  <r>
    <x v="1960"/>
    <n v="33"/>
    <x v="1"/>
    <x v="1"/>
    <x v="1536"/>
    <n v="6.08"/>
    <n v="10.92"/>
    <x v="0"/>
    <x v="1"/>
    <s v="Severe"/>
    <n v="30"/>
    <x v="1"/>
  </r>
  <r>
    <x v="1961"/>
    <n v="24"/>
    <x v="1"/>
    <x v="1"/>
    <x v="1537"/>
    <n v="8.34"/>
    <n v="6.19"/>
    <x v="1"/>
    <x v="0"/>
    <s v="None"/>
    <n v="35"/>
    <x v="1"/>
  </r>
  <r>
    <x v="1962"/>
    <n v="34"/>
    <x v="1"/>
    <x v="3"/>
    <x v="1122"/>
    <n v="27.56"/>
    <n v="1.1599999999999999"/>
    <x v="2"/>
    <x v="2"/>
    <s v="None"/>
    <n v="8"/>
    <x v="0"/>
  </r>
  <r>
    <x v="1963"/>
    <n v="40"/>
    <x v="1"/>
    <x v="2"/>
    <x v="1538"/>
    <n v="3.9"/>
    <n v="9.42"/>
    <x v="3"/>
    <x v="1"/>
    <s v="None"/>
    <n v="14"/>
    <x v="0"/>
  </r>
  <r>
    <x v="1964"/>
    <n v="43"/>
    <x v="1"/>
    <x v="0"/>
    <x v="295"/>
    <n v="9.7799999999999994"/>
    <n v="36.450000000000003"/>
    <x v="2"/>
    <x v="1"/>
    <s v="None"/>
    <n v="9"/>
    <x v="0"/>
  </r>
  <r>
    <x v="1965"/>
    <n v="38"/>
    <x v="0"/>
    <x v="1"/>
    <x v="1539"/>
    <n v="22.57"/>
    <n v="2.33"/>
    <x v="3"/>
    <x v="1"/>
    <s v="Mild"/>
    <n v="30"/>
    <x v="0"/>
  </r>
  <r>
    <x v="1966"/>
    <n v="39"/>
    <x v="1"/>
    <x v="1"/>
    <x v="1540"/>
    <n v="10.130000000000001"/>
    <n v="2.98"/>
    <x v="0"/>
    <x v="1"/>
    <s v="None"/>
    <n v="9"/>
    <x v="0"/>
  </r>
  <r>
    <x v="1967"/>
    <n v="75"/>
    <x v="0"/>
    <x v="0"/>
    <x v="1541"/>
    <n v="14.68"/>
    <n v="10.98"/>
    <x v="3"/>
    <x v="0"/>
    <s v="Mild"/>
    <n v="3"/>
    <x v="0"/>
  </r>
  <r>
    <x v="1968"/>
    <n v="24"/>
    <x v="1"/>
    <x v="1"/>
    <x v="353"/>
    <n v="20.47"/>
    <n v="2.99"/>
    <x v="3"/>
    <x v="1"/>
    <s v="Mild"/>
    <n v="26"/>
    <x v="0"/>
  </r>
  <r>
    <x v="1969"/>
    <n v="31"/>
    <x v="0"/>
    <x v="3"/>
    <x v="1542"/>
    <n v="5.96"/>
    <n v="14.97"/>
    <x v="3"/>
    <x v="0"/>
    <s v="None"/>
    <n v="21"/>
    <x v="1"/>
  </r>
  <r>
    <x v="1970"/>
    <n v="32"/>
    <x v="1"/>
    <x v="3"/>
    <x v="701"/>
    <n v="6.58"/>
    <n v="10.44"/>
    <x v="2"/>
    <x v="1"/>
    <s v="None"/>
    <n v="34"/>
    <x v="0"/>
  </r>
  <r>
    <x v="1971"/>
    <n v="70"/>
    <x v="0"/>
    <x v="3"/>
    <x v="1168"/>
    <n v="3.84"/>
    <n v="3.98"/>
    <x v="1"/>
    <x v="0"/>
    <s v="None"/>
    <n v="32"/>
    <x v="1"/>
  </r>
  <r>
    <x v="1972"/>
    <n v="24"/>
    <x v="1"/>
    <x v="1"/>
    <x v="1543"/>
    <n v="22.75"/>
    <n v="4.8899999999999997"/>
    <x v="3"/>
    <x v="1"/>
    <s v="Moderate"/>
    <n v="3"/>
    <x v="0"/>
  </r>
  <r>
    <x v="1973"/>
    <n v="26"/>
    <x v="0"/>
    <x v="1"/>
    <x v="1544"/>
    <n v="30.42"/>
    <n v="2.46"/>
    <x v="2"/>
    <x v="0"/>
    <s v="Mild"/>
    <n v="34"/>
    <x v="0"/>
  </r>
  <r>
    <x v="1974"/>
    <n v="68"/>
    <x v="0"/>
    <x v="1"/>
    <x v="1545"/>
    <n v="2.88"/>
    <n v="17.47"/>
    <x v="2"/>
    <x v="1"/>
    <s v="Moderate"/>
    <n v="22"/>
    <x v="0"/>
  </r>
  <r>
    <x v="1975"/>
    <n v="65"/>
    <x v="0"/>
    <x v="3"/>
    <x v="1456"/>
    <n v="12.19"/>
    <n v="17.670000000000002"/>
    <x v="1"/>
    <x v="1"/>
    <s v="None"/>
    <n v="23"/>
    <x v="0"/>
  </r>
  <r>
    <x v="1976"/>
    <n v="25"/>
    <x v="0"/>
    <x v="3"/>
    <x v="358"/>
    <n v="6.02"/>
    <n v="19.62"/>
    <x v="2"/>
    <x v="2"/>
    <s v="None"/>
    <n v="21"/>
    <x v="1"/>
  </r>
  <r>
    <x v="1977"/>
    <n v="67"/>
    <x v="0"/>
    <x v="1"/>
    <x v="1307"/>
    <n v="6.32"/>
    <n v="5.8"/>
    <x v="0"/>
    <x v="0"/>
    <s v="None"/>
    <n v="32"/>
    <x v="0"/>
  </r>
  <r>
    <x v="1978"/>
    <n v="76"/>
    <x v="0"/>
    <x v="2"/>
    <x v="1067"/>
    <n v="15.27"/>
    <n v="4.49"/>
    <x v="0"/>
    <x v="1"/>
    <s v="None"/>
    <n v="30"/>
    <x v="0"/>
  </r>
  <r>
    <x v="1979"/>
    <n v="40"/>
    <x v="1"/>
    <x v="0"/>
    <x v="1546"/>
    <n v="10.42"/>
    <n v="9.64"/>
    <x v="0"/>
    <x v="0"/>
    <s v="None"/>
    <n v="34"/>
    <x v="0"/>
  </r>
  <r>
    <x v="1980"/>
    <n v="46"/>
    <x v="0"/>
    <x v="1"/>
    <x v="1547"/>
    <n v="14.27"/>
    <n v="16.07"/>
    <x v="1"/>
    <x v="0"/>
    <s v="Severe"/>
    <n v="32"/>
    <x v="0"/>
  </r>
  <r>
    <x v="1981"/>
    <n v="35"/>
    <x v="1"/>
    <x v="3"/>
    <x v="1401"/>
    <n v="29.86"/>
    <n v="4.4000000000000004"/>
    <x v="2"/>
    <x v="0"/>
    <s v="None"/>
    <n v="25"/>
    <x v="0"/>
  </r>
  <r>
    <x v="1982"/>
    <n v="48"/>
    <x v="1"/>
    <x v="2"/>
    <x v="428"/>
    <n v="12.64"/>
    <n v="3.87"/>
    <x v="0"/>
    <x v="1"/>
    <s v="Severe"/>
    <n v="29"/>
    <x v="0"/>
  </r>
  <r>
    <x v="1983"/>
    <n v="47"/>
    <x v="1"/>
    <x v="1"/>
    <x v="1548"/>
    <n v="15.66"/>
    <n v="14.68"/>
    <x v="3"/>
    <x v="2"/>
    <s v="None"/>
    <n v="28"/>
    <x v="1"/>
  </r>
  <r>
    <x v="1984"/>
    <n v="69"/>
    <x v="1"/>
    <x v="1"/>
    <x v="1549"/>
    <n v="19.95"/>
    <n v="3.13"/>
    <x v="2"/>
    <x v="1"/>
    <s v="Moderate"/>
    <n v="5"/>
    <x v="1"/>
  </r>
  <r>
    <x v="1985"/>
    <n v="56"/>
    <x v="1"/>
    <x v="2"/>
    <x v="1550"/>
    <n v="5.52"/>
    <n v="10.98"/>
    <x v="0"/>
    <x v="1"/>
    <s v="None"/>
    <n v="33"/>
    <x v="0"/>
  </r>
  <r>
    <x v="1986"/>
    <n v="52"/>
    <x v="0"/>
    <x v="0"/>
    <x v="64"/>
    <n v="16.72"/>
    <n v="7.52"/>
    <x v="2"/>
    <x v="1"/>
    <s v="Moderate"/>
    <n v="4"/>
    <x v="0"/>
  </r>
  <r>
    <x v="1987"/>
    <n v="35"/>
    <x v="0"/>
    <x v="0"/>
    <x v="1415"/>
    <n v="6.19"/>
    <n v="5.57"/>
    <x v="0"/>
    <x v="0"/>
    <s v="None"/>
    <n v="12"/>
    <x v="0"/>
  </r>
  <r>
    <x v="1988"/>
    <n v="76"/>
    <x v="0"/>
    <x v="3"/>
    <x v="1318"/>
    <n v="3.19"/>
    <n v="8.19"/>
    <x v="3"/>
    <x v="2"/>
    <s v="Moderate"/>
    <n v="21"/>
    <x v="0"/>
  </r>
  <r>
    <x v="1989"/>
    <n v="59"/>
    <x v="1"/>
    <x v="2"/>
    <x v="1551"/>
    <n v="13.45"/>
    <n v="7.92"/>
    <x v="2"/>
    <x v="2"/>
    <s v="None"/>
    <n v="33"/>
    <x v="0"/>
  </r>
  <r>
    <x v="1990"/>
    <n v="56"/>
    <x v="0"/>
    <x v="3"/>
    <x v="1552"/>
    <n v="3.54"/>
    <n v="11.79"/>
    <x v="0"/>
    <x v="0"/>
    <s v="None"/>
    <n v="31"/>
    <x v="0"/>
  </r>
  <r>
    <x v="1991"/>
    <n v="34"/>
    <x v="0"/>
    <x v="2"/>
    <x v="1553"/>
    <n v="10.47"/>
    <n v="12.29"/>
    <x v="0"/>
    <x v="2"/>
    <s v="None"/>
    <n v="27"/>
    <x v="0"/>
  </r>
  <r>
    <x v="1992"/>
    <n v="31"/>
    <x v="0"/>
    <x v="3"/>
    <x v="102"/>
    <n v="8.7200000000000006"/>
    <n v="0.81"/>
    <x v="3"/>
    <x v="0"/>
    <s v="None"/>
    <n v="34"/>
    <x v="1"/>
  </r>
  <r>
    <x v="1993"/>
    <n v="48"/>
    <x v="0"/>
    <x v="1"/>
    <x v="1554"/>
    <n v="24.88"/>
    <n v="20.97"/>
    <x v="3"/>
    <x v="0"/>
    <s v="Mild"/>
    <n v="19"/>
    <x v="0"/>
  </r>
  <r>
    <x v="1994"/>
    <n v="41"/>
    <x v="0"/>
    <x v="2"/>
    <x v="1555"/>
    <n v="3.52"/>
    <n v="10.52"/>
    <x v="0"/>
    <x v="2"/>
    <s v="Severe"/>
    <n v="25"/>
    <x v="0"/>
  </r>
  <r>
    <x v="1995"/>
    <n v="52"/>
    <x v="1"/>
    <x v="3"/>
    <x v="784"/>
    <n v="12.7"/>
    <n v="14.35"/>
    <x v="0"/>
    <x v="1"/>
    <s v="Mild"/>
    <n v="20"/>
    <x v="0"/>
  </r>
  <r>
    <x v="1996"/>
    <n v="61"/>
    <x v="0"/>
    <x v="3"/>
    <x v="1556"/>
    <n v="5.04"/>
    <n v="13.73"/>
    <x v="1"/>
    <x v="0"/>
    <s v="Mild"/>
    <n v="13"/>
    <x v="0"/>
  </r>
  <r>
    <x v="1997"/>
    <n v="77"/>
    <x v="1"/>
    <x v="0"/>
    <x v="923"/>
    <n v="2.23"/>
    <n v="19.96"/>
    <x v="1"/>
    <x v="0"/>
    <s v="None"/>
    <n v="22"/>
    <x v="0"/>
  </r>
  <r>
    <x v="1998"/>
    <n v="62"/>
    <x v="1"/>
    <x v="1"/>
    <x v="42"/>
    <n v="1.22"/>
    <n v="17.8"/>
    <x v="2"/>
    <x v="2"/>
    <s v="Mild"/>
    <n v="15"/>
    <x v="0"/>
  </r>
  <r>
    <x v="1999"/>
    <n v="51"/>
    <x v="1"/>
    <x v="1"/>
    <x v="492"/>
    <n v="3.65"/>
    <n v="17.079999999999998"/>
    <x v="2"/>
    <x v="2"/>
    <s v="None"/>
    <n v="26"/>
    <x v="0"/>
  </r>
  <r>
    <x v="2000"/>
    <n v="20"/>
    <x v="1"/>
    <x v="1"/>
    <x v="194"/>
    <n v="3.5"/>
    <n v="3.51"/>
    <x v="1"/>
    <x v="2"/>
    <s v="Moderate"/>
    <n v="22"/>
    <x v="0"/>
  </r>
  <r>
    <x v="2001"/>
    <n v="54"/>
    <x v="1"/>
    <x v="2"/>
    <x v="1557"/>
    <n v="1.28"/>
    <n v="12.96"/>
    <x v="0"/>
    <x v="2"/>
    <s v="None"/>
    <n v="30"/>
    <x v="0"/>
  </r>
  <r>
    <x v="2002"/>
    <n v="60"/>
    <x v="0"/>
    <x v="2"/>
    <x v="1558"/>
    <n v="18.3"/>
    <n v="1.31"/>
    <x v="3"/>
    <x v="0"/>
    <s v="Mild"/>
    <n v="23"/>
    <x v="0"/>
  </r>
  <r>
    <x v="2003"/>
    <n v="57"/>
    <x v="0"/>
    <x v="1"/>
    <x v="1460"/>
    <n v="21.69"/>
    <n v="16.55"/>
    <x v="2"/>
    <x v="1"/>
    <s v="None"/>
    <n v="8"/>
    <x v="0"/>
  </r>
  <r>
    <x v="2004"/>
    <n v="43"/>
    <x v="0"/>
    <x v="2"/>
    <x v="1559"/>
    <n v="5.31"/>
    <n v="6.94"/>
    <x v="0"/>
    <x v="1"/>
    <s v="None"/>
    <n v="9"/>
    <x v="1"/>
  </r>
  <r>
    <x v="2005"/>
    <n v="72"/>
    <x v="1"/>
    <x v="3"/>
    <x v="198"/>
    <n v="7.01"/>
    <n v="9.06"/>
    <x v="3"/>
    <x v="0"/>
    <s v="None"/>
    <n v="31"/>
    <x v="0"/>
  </r>
  <r>
    <x v="2006"/>
    <n v="40"/>
    <x v="0"/>
    <x v="2"/>
    <x v="1560"/>
    <n v="8.24"/>
    <n v="11.19"/>
    <x v="3"/>
    <x v="1"/>
    <s v="None"/>
    <n v="25"/>
    <x v="1"/>
  </r>
  <r>
    <x v="2007"/>
    <n v="61"/>
    <x v="0"/>
    <x v="3"/>
    <x v="1456"/>
    <n v="19.920000000000002"/>
    <n v="15.49"/>
    <x v="0"/>
    <x v="0"/>
    <s v="None"/>
    <n v="7"/>
    <x v="0"/>
  </r>
  <r>
    <x v="2008"/>
    <n v="56"/>
    <x v="1"/>
    <x v="3"/>
    <x v="1561"/>
    <n v="20.2"/>
    <n v="21.32"/>
    <x v="0"/>
    <x v="1"/>
    <s v="None"/>
    <n v="24"/>
    <x v="0"/>
  </r>
  <r>
    <x v="2009"/>
    <n v="32"/>
    <x v="1"/>
    <x v="0"/>
    <x v="1069"/>
    <n v="12.53"/>
    <n v="21.4"/>
    <x v="2"/>
    <x v="2"/>
    <s v="Moderate"/>
    <n v="11"/>
    <x v="0"/>
  </r>
  <r>
    <x v="2010"/>
    <n v="73"/>
    <x v="1"/>
    <x v="1"/>
    <x v="920"/>
    <n v="12.23"/>
    <n v="2.46"/>
    <x v="1"/>
    <x v="1"/>
    <s v="None"/>
    <n v="34"/>
    <x v="1"/>
  </r>
  <r>
    <x v="2011"/>
    <n v="66"/>
    <x v="1"/>
    <x v="1"/>
    <x v="1562"/>
    <n v="6.52"/>
    <n v="9.41"/>
    <x v="0"/>
    <x v="2"/>
    <s v="Moderate"/>
    <n v="12"/>
    <x v="0"/>
  </r>
  <r>
    <x v="2012"/>
    <n v="21"/>
    <x v="0"/>
    <x v="3"/>
    <x v="1352"/>
    <n v="1.24"/>
    <n v="3.09"/>
    <x v="1"/>
    <x v="2"/>
    <s v="None"/>
    <n v="30"/>
    <x v="0"/>
  </r>
  <r>
    <x v="2013"/>
    <n v="46"/>
    <x v="1"/>
    <x v="0"/>
    <x v="824"/>
    <n v="7.99"/>
    <n v="4.88"/>
    <x v="2"/>
    <x v="0"/>
    <s v="None"/>
    <n v="13"/>
    <x v="1"/>
  </r>
  <r>
    <x v="2014"/>
    <n v="39"/>
    <x v="1"/>
    <x v="3"/>
    <x v="1563"/>
    <n v="22.63"/>
    <n v="21.88"/>
    <x v="1"/>
    <x v="1"/>
    <s v="Mild"/>
    <n v="9"/>
    <x v="0"/>
  </r>
  <r>
    <x v="2015"/>
    <n v="42"/>
    <x v="0"/>
    <x v="1"/>
    <x v="1564"/>
    <n v="5.75"/>
    <n v="26.05"/>
    <x v="1"/>
    <x v="0"/>
    <s v="None"/>
    <n v="32"/>
    <x v="0"/>
  </r>
  <r>
    <x v="2016"/>
    <n v="30"/>
    <x v="0"/>
    <x v="1"/>
    <x v="1565"/>
    <n v="7.41"/>
    <n v="12.93"/>
    <x v="3"/>
    <x v="0"/>
    <s v="None"/>
    <n v="30"/>
    <x v="0"/>
  </r>
  <r>
    <x v="2017"/>
    <n v="35"/>
    <x v="1"/>
    <x v="3"/>
    <x v="1566"/>
    <n v="17.190000000000001"/>
    <n v="10.83"/>
    <x v="2"/>
    <x v="1"/>
    <s v="Mild"/>
    <n v="34"/>
    <x v="1"/>
  </r>
  <r>
    <x v="2018"/>
    <n v="50"/>
    <x v="0"/>
    <x v="1"/>
    <x v="66"/>
    <n v="7.16"/>
    <n v="13.06"/>
    <x v="0"/>
    <x v="1"/>
    <s v="None"/>
    <n v="18"/>
    <x v="0"/>
  </r>
  <r>
    <x v="2019"/>
    <n v="33"/>
    <x v="1"/>
    <x v="2"/>
    <x v="1567"/>
    <n v="8.23"/>
    <n v="20.69"/>
    <x v="1"/>
    <x v="1"/>
    <s v="Mild"/>
    <n v="3"/>
    <x v="1"/>
  </r>
  <r>
    <x v="2020"/>
    <n v="62"/>
    <x v="1"/>
    <x v="0"/>
    <x v="1568"/>
    <n v="17.46"/>
    <n v="12.9"/>
    <x v="2"/>
    <x v="1"/>
    <s v="None"/>
    <n v="25"/>
    <x v="1"/>
  </r>
  <r>
    <x v="2021"/>
    <n v="59"/>
    <x v="0"/>
    <x v="3"/>
    <x v="9"/>
    <n v="1.22"/>
    <n v="3.43"/>
    <x v="3"/>
    <x v="1"/>
    <s v="None"/>
    <n v="22"/>
    <x v="1"/>
  </r>
  <r>
    <x v="2022"/>
    <n v="61"/>
    <x v="0"/>
    <x v="3"/>
    <x v="1569"/>
    <n v="3.42"/>
    <n v="8.5299999999999994"/>
    <x v="3"/>
    <x v="1"/>
    <s v="Moderate"/>
    <n v="20"/>
    <x v="0"/>
  </r>
  <r>
    <x v="2023"/>
    <n v="79"/>
    <x v="1"/>
    <x v="3"/>
    <x v="224"/>
    <n v="32.380000000000003"/>
    <n v="7.71"/>
    <x v="1"/>
    <x v="0"/>
    <s v="Mild"/>
    <n v="20"/>
    <x v="0"/>
  </r>
  <r>
    <x v="2024"/>
    <n v="19"/>
    <x v="1"/>
    <x v="1"/>
    <x v="7"/>
    <n v="17.37"/>
    <n v="4.12"/>
    <x v="1"/>
    <x v="2"/>
    <s v="None"/>
    <n v="23"/>
    <x v="0"/>
  </r>
  <r>
    <x v="2025"/>
    <n v="72"/>
    <x v="1"/>
    <x v="0"/>
    <x v="1570"/>
    <n v="19"/>
    <n v="15.56"/>
    <x v="0"/>
    <x v="0"/>
    <s v="Moderate"/>
    <n v="10"/>
    <x v="0"/>
  </r>
  <r>
    <x v="2026"/>
    <n v="52"/>
    <x v="0"/>
    <x v="3"/>
    <x v="998"/>
    <n v="12.3"/>
    <n v="20.54"/>
    <x v="2"/>
    <x v="2"/>
    <s v="Moderate"/>
    <n v="13"/>
    <x v="0"/>
  </r>
  <r>
    <x v="2027"/>
    <n v="59"/>
    <x v="1"/>
    <x v="3"/>
    <x v="1571"/>
    <n v="13.45"/>
    <n v="6.09"/>
    <x v="0"/>
    <x v="0"/>
    <s v="None"/>
    <n v="12"/>
    <x v="0"/>
  </r>
  <r>
    <x v="2028"/>
    <n v="51"/>
    <x v="1"/>
    <x v="2"/>
    <x v="866"/>
    <n v="5.92"/>
    <n v="2.67"/>
    <x v="0"/>
    <x v="0"/>
    <s v="None"/>
    <n v="10"/>
    <x v="0"/>
  </r>
  <r>
    <x v="2029"/>
    <n v="47"/>
    <x v="1"/>
    <x v="3"/>
    <x v="661"/>
    <n v="7.95"/>
    <n v="5.9"/>
    <x v="3"/>
    <x v="1"/>
    <s v="Moderate"/>
    <n v="10"/>
    <x v="1"/>
  </r>
  <r>
    <x v="2030"/>
    <n v="76"/>
    <x v="1"/>
    <x v="2"/>
    <x v="1572"/>
    <n v="19.399999999999999"/>
    <n v="9.8699999999999992"/>
    <x v="2"/>
    <x v="1"/>
    <s v="None"/>
    <n v="21"/>
    <x v="0"/>
  </r>
  <r>
    <x v="2031"/>
    <n v="72"/>
    <x v="1"/>
    <x v="1"/>
    <x v="1573"/>
    <n v="6.75"/>
    <n v="9.98"/>
    <x v="0"/>
    <x v="2"/>
    <s v="None"/>
    <n v="3"/>
    <x v="0"/>
  </r>
  <r>
    <x v="2032"/>
    <n v="30"/>
    <x v="0"/>
    <x v="0"/>
    <x v="1574"/>
    <n v="5.75"/>
    <n v="12.63"/>
    <x v="3"/>
    <x v="2"/>
    <s v="None"/>
    <n v="5"/>
    <x v="0"/>
  </r>
  <r>
    <x v="2033"/>
    <n v="30"/>
    <x v="1"/>
    <x v="0"/>
    <x v="1575"/>
    <n v="9.74"/>
    <n v="14.38"/>
    <x v="1"/>
    <x v="0"/>
    <s v="Mild"/>
    <n v="34"/>
    <x v="1"/>
  </r>
  <r>
    <x v="2034"/>
    <n v="35"/>
    <x v="1"/>
    <x v="2"/>
    <x v="1576"/>
    <n v="12.36"/>
    <n v="20.98"/>
    <x v="0"/>
    <x v="1"/>
    <s v="Moderate"/>
    <n v="18"/>
    <x v="1"/>
  </r>
  <r>
    <x v="2035"/>
    <n v="49"/>
    <x v="1"/>
    <x v="0"/>
    <x v="55"/>
    <n v="23.6"/>
    <n v="17.059999999999999"/>
    <x v="1"/>
    <x v="0"/>
    <s v="Mild"/>
    <n v="32"/>
    <x v="0"/>
  </r>
  <r>
    <x v="2036"/>
    <n v="49"/>
    <x v="1"/>
    <x v="1"/>
    <x v="1577"/>
    <n v="52.39"/>
    <n v="16.68"/>
    <x v="2"/>
    <x v="1"/>
    <s v="Severe"/>
    <n v="30"/>
    <x v="0"/>
  </r>
  <r>
    <x v="2037"/>
    <n v="52"/>
    <x v="0"/>
    <x v="3"/>
    <x v="14"/>
    <n v="4.32"/>
    <n v="9.2799999999999994"/>
    <x v="0"/>
    <x v="1"/>
    <s v="None"/>
    <n v="30"/>
    <x v="0"/>
  </r>
  <r>
    <x v="2038"/>
    <n v="76"/>
    <x v="0"/>
    <x v="2"/>
    <x v="1578"/>
    <n v="15.99"/>
    <n v="3.3"/>
    <x v="1"/>
    <x v="2"/>
    <s v="None"/>
    <n v="18"/>
    <x v="0"/>
  </r>
  <r>
    <x v="2039"/>
    <n v="56"/>
    <x v="0"/>
    <x v="3"/>
    <x v="1579"/>
    <n v="10.6"/>
    <n v="13"/>
    <x v="1"/>
    <x v="0"/>
    <s v="Mild"/>
    <n v="35"/>
    <x v="1"/>
  </r>
  <r>
    <x v="2040"/>
    <n v="63"/>
    <x v="1"/>
    <x v="3"/>
    <x v="1580"/>
    <n v="1.6"/>
    <n v="14.23"/>
    <x v="2"/>
    <x v="0"/>
    <s v="Severe"/>
    <n v="27"/>
    <x v="0"/>
  </r>
  <r>
    <x v="2041"/>
    <n v="69"/>
    <x v="1"/>
    <x v="1"/>
    <x v="1581"/>
    <n v="27.2"/>
    <n v="16.73"/>
    <x v="3"/>
    <x v="2"/>
    <s v="None"/>
    <n v="20"/>
    <x v="0"/>
  </r>
  <r>
    <x v="2042"/>
    <n v="46"/>
    <x v="0"/>
    <x v="1"/>
    <x v="1582"/>
    <n v="7.24"/>
    <n v="4.4400000000000004"/>
    <x v="3"/>
    <x v="0"/>
    <s v="None"/>
    <n v="28"/>
    <x v="0"/>
  </r>
  <r>
    <x v="2043"/>
    <n v="79"/>
    <x v="0"/>
    <x v="3"/>
    <x v="1583"/>
    <n v="6.89"/>
    <n v="20.14"/>
    <x v="0"/>
    <x v="0"/>
    <s v="None"/>
    <n v="8"/>
    <x v="0"/>
  </r>
  <r>
    <x v="2044"/>
    <n v="66"/>
    <x v="0"/>
    <x v="1"/>
    <x v="1584"/>
    <n v="27.2"/>
    <n v="11.95"/>
    <x v="1"/>
    <x v="1"/>
    <s v="None"/>
    <n v="5"/>
    <x v="0"/>
  </r>
  <r>
    <x v="2045"/>
    <n v="46"/>
    <x v="1"/>
    <x v="2"/>
    <x v="1493"/>
    <n v="9.5"/>
    <n v="3.57"/>
    <x v="3"/>
    <x v="1"/>
    <s v="None"/>
    <n v="8"/>
    <x v="0"/>
  </r>
  <r>
    <x v="2046"/>
    <n v="79"/>
    <x v="1"/>
    <x v="1"/>
    <x v="298"/>
    <n v="21.98"/>
    <n v="2.2599999999999998"/>
    <x v="0"/>
    <x v="0"/>
    <s v="None"/>
    <n v="16"/>
    <x v="0"/>
  </r>
  <r>
    <x v="2047"/>
    <n v="70"/>
    <x v="0"/>
    <x v="1"/>
    <x v="1261"/>
    <n v="8.23"/>
    <n v="9.2799999999999994"/>
    <x v="1"/>
    <x v="1"/>
    <s v="Moderate"/>
    <n v="20"/>
    <x v="0"/>
  </r>
  <r>
    <x v="2048"/>
    <n v="61"/>
    <x v="0"/>
    <x v="3"/>
    <x v="1585"/>
    <n v="14.42"/>
    <n v="10.49"/>
    <x v="0"/>
    <x v="1"/>
    <s v="None"/>
    <n v="18"/>
    <x v="0"/>
  </r>
  <r>
    <x v="2049"/>
    <n v="74"/>
    <x v="0"/>
    <x v="3"/>
    <x v="1026"/>
    <n v="9.02"/>
    <n v="4.91"/>
    <x v="2"/>
    <x v="1"/>
    <s v="Mild"/>
    <n v="26"/>
    <x v="0"/>
  </r>
  <r>
    <x v="2050"/>
    <n v="33"/>
    <x v="1"/>
    <x v="0"/>
    <x v="462"/>
    <n v="4.9800000000000004"/>
    <n v="9.93"/>
    <x v="0"/>
    <x v="0"/>
    <s v="None"/>
    <n v="15"/>
    <x v="1"/>
  </r>
  <r>
    <x v="2051"/>
    <n v="73"/>
    <x v="1"/>
    <x v="3"/>
    <x v="713"/>
    <n v="14.75"/>
    <n v="11.29"/>
    <x v="2"/>
    <x v="0"/>
    <s v="None"/>
    <n v="3"/>
    <x v="1"/>
  </r>
  <r>
    <x v="2052"/>
    <n v="61"/>
    <x v="1"/>
    <x v="1"/>
    <x v="1586"/>
    <n v="17.21"/>
    <n v="18.600000000000001"/>
    <x v="1"/>
    <x v="0"/>
    <s v="Mild"/>
    <n v="16"/>
    <x v="0"/>
  </r>
  <r>
    <x v="2053"/>
    <n v="64"/>
    <x v="0"/>
    <x v="0"/>
    <x v="720"/>
    <n v="10.01"/>
    <n v="9.4"/>
    <x v="1"/>
    <x v="0"/>
    <s v="Moderate"/>
    <n v="19"/>
    <x v="0"/>
  </r>
  <r>
    <x v="2054"/>
    <n v="74"/>
    <x v="0"/>
    <x v="3"/>
    <x v="639"/>
    <n v="1.25"/>
    <n v="13.08"/>
    <x v="1"/>
    <x v="1"/>
    <s v="None"/>
    <n v="15"/>
    <x v="0"/>
  </r>
  <r>
    <x v="2055"/>
    <n v="27"/>
    <x v="1"/>
    <x v="1"/>
    <x v="1587"/>
    <n v="3.53"/>
    <n v="20.29"/>
    <x v="0"/>
    <x v="0"/>
    <s v="Moderate"/>
    <n v="15"/>
    <x v="1"/>
  </r>
  <r>
    <x v="2056"/>
    <n v="47"/>
    <x v="0"/>
    <x v="3"/>
    <x v="1588"/>
    <n v="6.46"/>
    <n v="8.9600000000000009"/>
    <x v="1"/>
    <x v="2"/>
    <s v="Moderate"/>
    <n v="11"/>
    <x v="0"/>
  </r>
  <r>
    <x v="2057"/>
    <n v="42"/>
    <x v="1"/>
    <x v="0"/>
    <x v="1589"/>
    <n v="25.77"/>
    <n v="5.77"/>
    <x v="1"/>
    <x v="1"/>
    <s v="None"/>
    <n v="8"/>
    <x v="0"/>
  </r>
  <r>
    <x v="2058"/>
    <n v="56"/>
    <x v="0"/>
    <x v="3"/>
    <x v="1590"/>
    <n v="9.6"/>
    <n v="13.73"/>
    <x v="2"/>
    <x v="0"/>
    <s v="None"/>
    <n v="8"/>
    <x v="0"/>
  </r>
  <r>
    <x v="2059"/>
    <n v="37"/>
    <x v="0"/>
    <x v="1"/>
    <x v="1471"/>
    <n v="25.46"/>
    <n v="16.16"/>
    <x v="1"/>
    <x v="0"/>
    <s v="Mild"/>
    <n v="32"/>
    <x v="0"/>
  </r>
  <r>
    <x v="2060"/>
    <n v="22"/>
    <x v="0"/>
    <x v="1"/>
    <x v="777"/>
    <n v="20.18"/>
    <n v="20.13"/>
    <x v="1"/>
    <x v="0"/>
    <s v="None"/>
    <n v="16"/>
    <x v="0"/>
  </r>
  <r>
    <x v="2061"/>
    <n v="18"/>
    <x v="0"/>
    <x v="1"/>
    <x v="1100"/>
    <n v="6.88"/>
    <n v="6.98"/>
    <x v="1"/>
    <x v="1"/>
    <s v="None"/>
    <n v="6"/>
    <x v="0"/>
  </r>
  <r>
    <x v="2062"/>
    <n v="47"/>
    <x v="1"/>
    <x v="3"/>
    <x v="501"/>
    <n v="11.63"/>
    <n v="7.4"/>
    <x v="3"/>
    <x v="2"/>
    <s v="None"/>
    <n v="4"/>
    <x v="0"/>
  </r>
  <r>
    <x v="2063"/>
    <n v="66"/>
    <x v="0"/>
    <x v="3"/>
    <x v="1377"/>
    <n v="17.52"/>
    <n v="14.83"/>
    <x v="1"/>
    <x v="0"/>
    <s v="None"/>
    <n v="19"/>
    <x v="0"/>
  </r>
  <r>
    <x v="2064"/>
    <n v="20"/>
    <x v="1"/>
    <x v="1"/>
    <x v="1591"/>
    <n v="5.21"/>
    <n v="12.8"/>
    <x v="0"/>
    <x v="2"/>
    <s v="Moderate"/>
    <n v="16"/>
    <x v="0"/>
  </r>
  <r>
    <x v="2065"/>
    <n v="62"/>
    <x v="1"/>
    <x v="0"/>
    <x v="855"/>
    <n v="16.59"/>
    <n v="14.93"/>
    <x v="2"/>
    <x v="1"/>
    <s v="None"/>
    <n v="19"/>
    <x v="0"/>
  </r>
  <r>
    <x v="2066"/>
    <n v="31"/>
    <x v="1"/>
    <x v="2"/>
    <x v="145"/>
    <n v="15.21"/>
    <n v="12.76"/>
    <x v="1"/>
    <x v="0"/>
    <s v="None"/>
    <n v="32"/>
    <x v="0"/>
  </r>
  <r>
    <x v="2067"/>
    <n v="73"/>
    <x v="0"/>
    <x v="3"/>
    <x v="1592"/>
    <n v="4.96"/>
    <n v="8.5500000000000007"/>
    <x v="0"/>
    <x v="0"/>
    <s v="None"/>
    <n v="31"/>
    <x v="0"/>
  </r>
  <r>
    <x v="2068"/>
    <n v="47"/>
    <x v="1"/>
    <x v="0"/>
    <x v="1285"/>
    <n v="14.2"/>
    <n v="8.7100000000000009"/>
    <x v="2"/>
    <x v="1"/>
    <s v="Mild"/>
    <n v="9"/>
    <x v="0"/>
  </r>
  <r>
    <x v="2069"/>
    <n v="67"/>
    <x v="1"/>
    <x v="1"/>
    <x v="1399"/>
    <n v="9.24"/>
    <n v="9.07"/>
    <x v="2"/>
    <x v="1"/>
    <s v="Mild"/>
    <n v="11"/>
    <x v="1"/>
  </r>
  <r>
    <x v="2070"/>
    <n v="21"/>
    <x v="1"/>
    <x v="3"/>
    <x v="1593"/>
    <n v="2.82"/>
    <n v="17.579999999999998"/>
    <x v="0"/>
    <x v="0"/>
    <s v="Moderate"/>
    <n v="25"/>
    <x v="0"/>
  </r>
  <r>
    <x v="2071"/>
    <n v="35"/>
    <x v="0"/>
    <x v="2"/>
    <x v="1594"/>
    <n v="6.46"/>
    <n v="18.29"/>
    <x v="0"/>
    <x v="1"/>
    <s v="Mild"/>
    <n v="16"/>
    <x v="1"/>
  </r>
  <r>
    <x v="2072"/>
    <n v="79"/>
    <x v="0"/>
    <x v="0"/>
    <x v="1595"/>
    <n v="6.27"/>
    <n v="1.98"/>
    <x v="3"/>
    <x v="0"/>
    <s v="Mild"/>
    <n v="22"/>
    <x v="0"/>
  </r>
  <r>
    <x v="2073"/>
    <n v="54"/>
    <x v="1"/>
    <x v="2"/>
    <x v="60"/>
    <n v="28.88"/>
    <n v="14.32"/>
    <x v="3"/>
    <x v="1"/>
    <s v="None"/>
    <n v="19"/>
    <x v="0"/>
  </r>
  <r>
    <x v="2074"/>
    <n v="42"/>
    <x v="0"/>
    <x v="1"/>
    <x v="224"/>
    <n v="3.59"/>
    <n v="18.850000000000001"/>
    <x v="1"/>
    <x v="1"/>
    <s v="None"/>
    <n v="34"/>
    <x v="0"/>
  </r>
  <r>
    <x v="2075"/>
    <n v="65"/>
    <x v="1"/>
    <x v="0"/>
    <x v="1596"/>
    <n v="5.74"/>
    <n v="10.28"/>
    <x v="3"/>
    <x v="0"/>
    <s v="Mild"/>
    <n v="27"/>
    <x v="0"/>
  </r>
  <r>
    <x v="2076"/>
    <n v="18"/>
    <x v="1"/>
    <x v="1"/>
    <x v="1597"/>
    <n v="13.28"/>
    <n v="0.41"/>
    <x v="0"/>
    <x v="1"/>
    <s v="Moderate"/>
    <n v="32"/>
    <x v="0"/>
  </r>
  <r>
    <x v="2077"/>
    <n v="70"/>
    <x v="0"/>
    <x v="0"/>
    <x v="1598"/>
    <n v="10.42"/>
    <n v="11.08"/>
    <x v="3"/>
    <x v="2"/>
    <s v="Severe"/>
    <n v="29"/>
    <x v="1"/>
  </r>
  <r>
    <x v="2078"/>
    <n v="63"/>
    <x v="1"/>
    <x v="0"/>
    <x v="1599"/>
    <n v="8.5500000000000007"/>
    <n v="6.96"/>
    <x v="2"/>
    <x v="2"/>
    <s v="Mild"/>
    <n v="29"/>
    <x v="0"/>
  </r>
  <r>
    <x v="2079"/>
    <n v="32"/>
    <x v="0"/>
    <x v="1"/>
    <x v="1600"/>
    <n v="8.42"/>
    <n v="11.5"/>
    <x v="0"/>
    <x v="0"/>
    <s v="None"/>
    <n v="33"/>
    <x v="1"/>
  </r>
  <r>
    <x v="2080"/>
    <n v="26"/>
    <x v="0"/>
    <x v="2"/>
    <x v="1601"/>
    <n v="19.14"/>
    <n v="21.92"/>
    <x v="1"/>
    <x v="2"/>
    <s v="None"/>
    <n v="28"/>
    <x v="0"/>
  </r>
  <r>
    <x v="2081"/>
    <n v="32"/>
    <x v="1"/>
    <x v="1"/>
    <x v="1425"/>
    <n v="5.05"/>
    <n v="12.77"/>
    <x v="2"/>
    <x v="2"/>
    <s v="None"/>
    <n v="16"/>
    <x v="0"/>
  </r>
  <r>
    <x v="2082"/>
    <n v="66"/>
    <x v="0"/>
    <x v="3"/>
    <x v="887"/>
    <n v="3.84"/>
    <n v="22.68"/>
    <x v="2"/>
    <x v="1"/>
    <s v="None"/>
    <n v="23"/>
    <x v="0"/>
  </r>
  <r>
    <x v="2083"/>
    <n v="74"/>
    <x v="0"/>
    <x v="3"/>
    <x v="1602"/>
    <n v="1.2"/>
    <n v="4.83"/>
    <x v="2"/>
    <x v="2"/>
    <s v="None"/>
    <n v="30"/>
    <x v="0"/>
  </r>
  <r>
    <x v="2084"/>
    <n v="41"/>
    <x v="1"/>
    <x v="3"/>
    <x v="1603"/>
    <n v="6.76"/>
    <n v="17.43"/>
    <x v="0"/>
    <x v="1"/>
    <s v="None"/>
    <n v="17"/>
    <x v="0"/>
  </r>
  <r>
    <x v="2085"/>
    <n v="21"/>
    <x v="1"/>
    <x v="0"/>
    <x v="1604"/>
    <n v="2.98"/>
    <n v="15.24"/>
    <x v="0"/>
    <x v="1"/>
    <s v="None"/>
    <n v="32"/>
    <x v="0"/>
  </r>
  <r>
    <x v="2086"/>
    <n v="29"/>
    <x v="0"/>
    <x v="2"/>
    <x v="246"/>
    <n v="7.76"/>
    <n v="9.8000000000000007"/>
    <x v="1"/>
    <x v="0"/>
    <s v="Mild"/>
    <n v="27"/>
    <x v="0"/>
  </r>
  <r>
    <x v="2087"/>
    <n v="76"/>
    <x v="0"/>
    <x v="3"/>
    <x v="1605"/>
    <n v="1.72"/>
    <n v="1.5"/>
    <x v="3"/>
    <x v="0"/>
    <s v="None"/>
    <n v="13"/>
    <x v="1"/>
  </r>
  <r>
    <x v="2088"/>
    <n v="75"/>
    <x v="1"/>
    <x v="0"/>
    <x v="591"/>
    <n v="7.67"/>
    <n v="9.43"/>
    <x v="3"/>
    <x v="1"/>
    <s v="Mild"/>
    <n v="13"/>
    <x v="0"/>
  </r>
  <r>
    <x v="2089"/>
    <n v="54"/>
    <x v="0"/>
    <x v="0"/>
    <x v="605"/>
    <n v="12.52"/>
    <n v="5.46"/>
    <x v="3"/>
    <x v="1"/>
    <s v="None"/>
    <n v="30"/>
    <x v="0"/>
  </r>
  <r>
    <x v="2090"/>
    <n v="78"/>
    <x v="0"/>
    <x v="1"/>
    <x v="913"/>
    <n v="9.66"/>
    <n v="1.96"/>
    <x v="3"/>
    <x v="0"/>
    <s v="None"/>
    <n v="7"/>
    <x v="0"/>
  </r>
  <r>
    <x v="2091"/>
    <n v="54"/>
    <x v="0"/>
    <x v="0"/>
    <x v="266"/>
    <n v="15.6"/>
    <n v="5.82"/>
    <x v="2"/>
    <x v="1"/>
    <s v="Severe"/>
    <n v="30"/>
    <x v="1"/>
  </r>
  <r>
    <x v="2092"/>
    <n v="60"/>
    <x v="0"/>
    <x v="1"/>
    <x v="1148"/>
    <n v="21.49"/>
    <n v="13.35"/>
    <x v="0"/>
    <x v="0"/>
    <s v="None"/>
    <n v="10"/>
    <x v="1"/>
  </r>
  <r>
    <x v="2093"/>
    <n v="77"/>
    <x v="0"/>
    <x v="0"/>
    <x v="1606"/>
    <n v="12.27"/>
    <n v="10.93"/>
    <x v="3"/>
    <x v="0"/>
    <s v="Moderate"/>
    <n v="28"/>
    <x v="0"/>
  </r>
  <r>
    <x v="2094"/>
    <n v="23"/>
    <x v="0"/>
    <x v="1"/>
    <x v="621"/>
    <n v="9.84"/>
    <n v="9.2100000000000009"/>
    <x v="2"/>
    <x v="1"/>
    <s v="None"/>
    <n v="8"/>
    <x v="0"/>
  </r>
  <r>
    <x v="2095"/>
    <n v="56"/>
    <x v="0"/>
    <x v="1"/>
    <x v="401"/>
    <n v="13.57"/>
    <n v="3.76"/>
    <x v="0"/>
    <x v="1"/>
    <s v="None"/>
    <n v="34"/>
    <x v="0"/>
  </r>
  <r>
    <x v="2096"/>
    <n v="73"/>
    <x v="1"/>
    <x v="3"/>
    <x v="1607"/>
    <n v="12.59"/>
    <n v="1.1599999999999999"/>
    <x v="0"/>
    <x v="0"/>
    <s v="None"/>
    <n v="34"/>
    <x v="1"/>
  </r>
  <r>
    <x v="2097"/>
    <n v="63"/>
    <x v="1"/>
    <x v="2"/>
    <x v="1608"/>
    <n v="17.63"/>
    <n v="4.4800000000000004"/>
    <x v="0"/>
    <x v="0"/>
    <s v="None"/>
    <n v="14"/>
    <x v="1"/>
  </r>
  <r>
    <x v="2098"/>
    <n v="41"/>
    <x v="1"/>
    <x v="3"/>
    <x v="602"/>
    <n v="10.34"/>
    <n v="7.71"/>
    <x v="2"/>
    <x v="1"/>
    <s v="None"/>
    <n v="8"/>
    <x v="0"/>
  </r>
  <r>
    <x v="2099"/>
    <n v="28"/>
    <x v="1"/>
    <x v="1"/>
    <x v="1609"/>
    <n v="3.26"/>
    <n v="5.77"/>
    <x v="3"/>
    <x v="1"/>
    <s v="Mild"/>
    <n v="15"/>
    <x v="0"/>
  </r>
  <r>
    <x v="2100"/>
    <n v="79"/>
    <x v="1"/>
    <x v="3"/>
    <x v="664"/>
    <n v="20.78"/>
    <n v="7.39"/>
    <x v="0"/>
    <x v="1"/>
    <s v="None"/>
    <n v="25"/>
    <x v="0"/>
  </r>
  <r>
    <x v="2101"/>
    <n v="30"/>
    <x v="0"/>
    <x v="0"/>
    <x v="1610"/>
    <n v="1.84"/>
    <n v="23.65"/>
    <x v="2"/>
    <x v="1"/>
    <s v="Mild"/>
    <n v="19"/>
    <x v="1"/>
  </r>
  <r>
    <x v="2102"/>
    <n v="51"/>
    <x v="0"/>
    <x v="3"/>
    <x v="1611"/>
    <n v="16.59"/>
    <n v="9.59"/>
    <x v="0"/>
    <x v="0"/>
    <s v="None"/>
    <n v="3"/>
    <x v="0"/>
  </r>
  <r>
    <x v="2103"/>
    <n v="42"/>
    <x v="0"/>
    <x v="1"/>
    <x v="1612"/>
    <n v="13.35"/>
    <n v="18.190000000000001"/>
    <x v="1"/>
    <x v="0"/>
    <s v="None"/>
    <n v="9"/>
    <x v="0"/>
  </r>
  <r>
    <x v="2104"/>
    <n v="24"/>
    <x v="0"/>
    <x v="3"/>
    <x v="97"/>
    <n v="13.61"/>
    <n v="5.3"/>
    <x v="1"/>
    <x v="0"/>
    <s v="Moderate"/>
    <n v="15"/>
    <x v="0"/>
  </r>
  <r>
    <x v="2105"/>
    <n v="69"/>
    <x v="1"/>
    <x v="1"/>
    <x v="962"/>
    <n v="10.57"/>
    <n v="5.13"/>
    <x v="2"/>
    <x v="2"/>
    <s v="Moderate"/>
    <n v="16"/>
    <x v="1"/>
  </r>
  <r>
    <x v="2106"/>
    <n v="21"/>
    <x v="0"/>
    <x v="0"/>
    <x v="1613"/>
    <n v="5.55"/>
    <n v="2.71"/>
    <x v="3"/>
    <x v="1"/>
    <s v="None"/>
    <n v="19"/>
    <x v="0"/>
  </r>
  <r>
    <x v="2107"/>
    <n v="76"/>
    <x v="0"/>
    <x v="0"/>
    <x v="19"/>
    <n v="9.17"/>
    <n v="10.02"/>
    <x v="3"/>
    <x v="1"/>
    <s v="None"/>
    <n v="32"/>
    <x v="0"/>
  </r>
  <r>
    <x v="2108"/>
    <n v="25"/>
    <x v="1"/>
    <x v="3"/>
    <x v="1614"/>
    <n v="22.83"/>
    <n v="4.05"/>
    <x v="0"/>
    <x v="0"/>
    <s v="None"/>
    <n v="29"/>
    <x v="0"/>
  </r>
  <r>
    <x v="2109"/>
    <n v="37"/>
    <x v="0"/>
    <x v="3"/>
    <x v="230"/>
    <n v="13.92"/>
    <n v="31.45"/>
    <x v="3"/>
    <x v="0"/>
    <s v="Severe"/>
    <n v="27"/>
    <x v="0"/>
  </r>
  <r>
    <x v="2110"/>
    <n v="46"/>
    <x v="0"/>
    <x v="2"/>
    <x v="1277"/>
    <n v="14.03"/>
    <n v="8.1"/>
    <x v="3"/>
    <x v="0"/>
    <s v="None"/>
    <n v="11"/>
    <x v="0"/>
  </r>
  <r>
    <x v="2111"/>
    <n v="71"/>
    <x v="1"/>
    <x v="3"/>
    <x v="1615"/>
    <n v="23.22"/>
    <n v="8.57"/>
    <x v="1"/>
    <x v="0"/>
    <s v="Moderate"/>
    <n v="8"/>
    <x v="0"/>
  </r>
  <r>
    <x v="2112"/>
    <n v="70"/>
    <x v="0"/>
    <x v="0"/>
    <x v="1112"/>
    <n v="25.09"/>
    <n v="7.63"/>
    <x v="2"/>
    <x v="0"/>
    <s v="None"/>
    <n v="28"/>
    <x v="0"/>
  </r>
  <r>
    <x v="2113"/>
    <n v="68"/>
    <x v="0"/>
    <x v="2"/>
    <x v="1616"/>
    <n v="17.13"/>
    <n v="5.49"/>
    <x v="1"/>
    <x v="1"/>
    <s v="Severe"/>
    <n v="29"/>
    <x v="0"/>
  </r>
  <r>
    <x v="2114"/>
    <n v="62"/>
    <x v="0"/>
    <x v="2"/>
    <x v="1594"/>
    <n v="34.76"/>
    <n v="18.489999999999998"/>
    <x v="2"/>
    <x v="0"/>
    <s v="None"/>
    <n v="33"/>
    <x v="0"/>
  </r>
  <r>
    <x v="2115"/>
    <n v="63"/>
    <x v="0"/>
    <x v="3"/>
    <x v="1617"/>
    <n v="13.85"/>
    <n v="11.77"/>
    <x v="0"/>
    <x v="0"/>
    <s v="None"/>
    <n v="5"/>
    <x v="0"/>
  </r>
  <r>
    <x v="2116"/>
    <n v="27"/>
    <x v="0"/>
    <x v="3"/>
    <x v="1368"/>
    <n v="17.09"/>
    <n v="2.1800000000000002"/>
    <x v="1"/>
    <x v="2"/>
    <s v="Mild"/>
    <n v="26"/>
    <x v="0"/>
  </r>
  <r>
    <x v="2117"/>
    <n v="60"/>
    <x v="1"/>
    <x v="0"/>
    <x v="1618"/>
    <n v="19.75"/>
    <n v="2.11"/>
    <x v="2"/>
    <x v="0"/>
    <s v="Severe"/>
    <n v="17"/>
    <x v="0"/>
  </r>
  <r>
    <x v="2118"/>
    <n v="51"/>
    <x v="1"/>
    <x v="3"/>
    <x v="1619"/>
    <n v="24.25"/>
    <n v="3.03"/>
    <x v="3"/>
    <x v="0"/>
    <s v="Severe"/>
    <n v="8"/>
    <x v="0"/>
  </r>
  <r>
    <x v="2119"/>
    <n v="74"/>
    <x v="1"/>
    <x v="2"/>
    <x v="1620"/>
    <n v="4.58"/>
    <n v="3.55"/>
    <x v="2"/>
    <x v="0"/>
    <s v="Mild"/>
    <n v="13"/>
    <x v="1"/>
  </r>
  <r>
    <x v="2120"/>
    <n v="43"/>
    <x v="1"/>
    <x v="1"/>
    <x v="1621"/>
    <n v="3.01"/>
    <n v="6.98"/>
    <x v="3"/>
    <x v="2"/>
    <s v="Mild"/>
    <n v="32"/>
    <x v="0"/>
  </r>
  <r>
    <x v="2121"/>
    <n v="58"/>
    <x v="1"/>
    <x v="2"/>
    <x v="1622"/>
    <n v="3.47"/>
    <n v="16.57"/>
    <x v="0"/>
    <x v="2"/>
    <s v="Mild"/>
    <n v="31"/>
    <x v="0"/>
  </r>
  <r>
    <x v="2122"/>
    <n v="66"/>
    <x v="1"/>
    <x v="3"/>
    <x v="29"/>
    <n v="6.79"/>
    <n v="9.65"/>
    <x v="3"/>
    <x v="0"/>
    <s v="Mild"/>
    <n v="25"/>
    <x v="0"/>
  </r>
  <r>
    <x v="2123"/>
    <n v="75"/>
    <x v="0"/>
    <x v="1"/>
    <x v="1623"/>
    <n v="20.22"/>
    <n v="2.88"/>
    <x v="2"/>
    <x v="0"/>
    <s v="Moderate"/>
    <n v="5"/>
    <x v="0"/>
  </r>
  <r>
    <x v="2124"/>
    <n v="20"/>
    <x v="1"/>
    <x v="1"/>
    <x v="1114"/>
    <n v="8.2799999999999994"/>
    <n v="4.59"/>
    <x v="1"/>
    <x v="1"/>
    <s v="None"/>
    <n v="28"/>
    <x v="0"/>
  </r>
  <r>
    <x v="2125"/>
    <n v="73"/>
    <x v="1"/>
    <x v="2"/>
    <x v="1624"/>
    <n v="9.2200000000000006"/>
    <n v="1.97"/>
    <x v="2"/>
    <x v="0"/>
    <s v="Mild"/>
    <n v="16"/>
    <x v="1"/>
  </r>
  <r>
    <x v="2126"/>
    <n v="23"/>
    <x v="0"/>
    <x v="2"/>
    <x v="1625"/>
    <n v="3.01"/>
    <n v="8.3000000000000007"/>
    <x v="1"/>
    <x v="0"/>
    <s v="None"/>
    <n v="21"/>
    <x v="0"/>
  </r>
  <r>
    <x v="2127"/>
    <n v="22"/>
    <x v="0"/>
    <x v="3"/>
    <x v="1626"/>
    <n v="3.35"/>
    <n v="15.99"/>
    <x v="2"/>
    <x v="0"/>
    <s v="Mild"/>
    <n v="23"/>
    <x v="0"/>
  </r>
  <r>
    <x v="2128"/>
    <n v="22"/>
    <x v="1"/>
    <x v="1"/>
    <x v="1627"/>
    <n v="6.61"/>
    <n v="30.52"/>
    <x v="2"/>
    <x v="1"/>
    <s v="Moderate"/>
    <n v="23"/>
    <x v="0"/>
  </r>
  <r>
    <x v="2129"/>
    <n v="71"/>
    <x v="0"/>
    <x v="2"/>
    <x v="1628"/>
    <n v="5.32"/>
    <n v="4.0999999999999996"/>
    <x v="0"/>
    <x v="0"/>
    <s v="None"/>
    <n v="11"/>
    <x v="0"/>
  </r>
  <r>
    <x v="2130"/>
    <n v="64"/>
    <x v="1"/>
    <x v="1"/>
    <x v="1629"/>
    <n v="17.36"/>
    <n v="12.25"/>
    <x v="3"/>
    <x v="1"/>
    <s v="None"/>
    <n v="15"/>
    <x v="1"/>
  </r>
  <r>
    <x v="2131"/>
    <n v="40"/>
    <x v="0"/>
    <x v="3"/>
    <x v="1630"/>
    <n v="2.99"/>
    <n v="26.5"/>
    <x v="2"/>
    <x v="0"/>
    <s v="None"/>
    <n v="26"/>
    <x v="0"/>
  </r>
  <r>
    <x v="2132"/>
    <n v="66"/>
    <x v="1"/>
    <x v="1"/>
    <x v="1631"/>
    <n v="3.72"/>
    <n v="16.38"/>
    <x v="1"/>
    <x v="1"/>
    <s v="None"/>
    <n v="13"/>
    <x v="0"/>
  </r>
  <r>
    <x v="2133"/>
    <n v="26"/>
    <x v="0"/>
    <x v="1"/>
    <x v="546"/>
    <n v="12.56"/>
    <n v="15.21"/>
    <x v="3"/>
    <x v="0"/>
    <s v="None"/>
    <n v="31"/>
    <x v="0"/>
  </r>
  <r>
    <x v="2134"/>
    <n v="52"/>
    <x v="0"/>
    <x v="1"/>
    <x v="154"/>
    <n v="8.36"/>
    <n v="11.57"/>
    <x v="0"/>
    <x v="1"/>
    <s v="Moderate"/>
    <n v="19"/>
    <x v="0"/>
  </r>
  <r>
    <x v="2135"/>
    <n v="37"/>
    <x v="1"/>
    <x v="3"/>
    <x v="1344"/>
    <n v="7.82"/>
    <n v="21.75"/>
    <x v="3"/>
    <x v="1"/>
    <s v="Mild"/>
    <n v="28"/>
    <x v="0"/>
  </r>
  <r>
    <x v="2136"/>
    <n v="75"/>
    <x v="1"/>
    <x v="1"/>
    <x v="1632"/>
    <n v="20.05"/>
    <n v="4.97"/>
    <x v="2"/>
    <x v="0"/>
    <s v="Moderate"/>
    <n v="28"/>
    <x v="0"/>
  </r>
  <r>
    <x v="2137"/>
    <n v="66"/>
    <x v="1"/>
    <x v="3"/>
    <x v="1633"/>
    <n v="8"/>
    <n v="12.5"/>
    <x v="1"/>
    <x v="1"/>
    <s v="None"/>
    <n v="14"/>
    <x v="0"/>
  </r>
  <r>
    <x v="2138"/>
    <n v="78"/>
    <x v="1"/>
    <x v="3"/>
    <x v="1308"/>
    <n v="10.28"/>
    <n v="8"/>
    <x v="1"/>
    <x v="0"/>
    <s v="Moderate"/>
    <n v="20"/>
    <x v="0"/>
  </r>
  <r>
    <x v="2139"/>
    <n v="76"/>
    <x v="1"/>
    <x v="3"/>
    <x v="1634"/>
    <n v="6.67"/>
    <n v="5.67"/>
    <x v="3"/>
    <x v="2"/>
    <s v="Mild"/>
    <n v="11"/>
    <x v="0"/>
  </r>
  <r>
    <x v="2140"/>
    <n v="59"/>
    <x v="0"/>
    <x v="3"/>
    <x v="216"/>
    <n v="9.24"/>
    <n v="3.47"/>
    <x v="1"/>
    <x v="2"/>
    <s v="None"/>
    <n v="5"/>
    <x v="0"/>
  </r>
  <r>
    <x v="2141"/>
    <n v="52"/>
    <x v="1"/>
    <x v="0"/>
    <x v="1635"/>
    <n v="17.77"/>
    <n v="30.34"/>
    <x v="2"/>
    <x v="1"/>
    <s v="Mild"/>
    <n v="12"/>
    <x v="1"/>
  </r>
  <r>
    <x v="2142"/>
    <n v="67"/>
    <x v="1"/>
    <x v="1"/>
    <x v="161"/>
    <n v="7.34"/>
    <n v="4.3499999999999996"/>
    <x v="1"/>
    <x v="2"/>
    <s v="Severe"/>
    <n v="4"/>
    <x v="0"/>
  </r>
  <r>
    <x v="2143"/>
    <n v="35"/>
    <x v="0"/>
    <x v="3"/>
    <x v="916"/>
    <n v="11.5"/>
    <n v="10.52"/>
    <x v="1"/>
    <x v="1"/>
    <s v="None"/>
    <n v="10"/>
    <x v="0"/>
  </r>
  <r>
    <x v="2144"/>
    <n v="79"/>
    <x v="0"/>
    <x v="1"/>
    <x v="1636"/>
    <n v="7.42"/>
    <n v="12.75"/>
    <x v="1"/>
    <x v="2"/>
    <s v="Mild"/>
    <n v="20"/>
    <x v="1"/>
  </r>
  <r>
    <x v="2145"/>
    <n v="34"/>
    <x v="1"/>
    <x v="1"/>
    <x v="1637"/>
    <n v="1.1399999999999999"/>
    <n v="3.17"/>
    <x v="2"/>
    <x v="0"/>
    <s v="Moderate"/>
    <n v="33"/>
    <x v="0"/>
  </r>
  <r>
    <x v="2146"/>
    <n v="41"/>
    <x v="0"/>
    <x v="3"/>
    <x v="883"/>
    <n v="5.46"/>
    <n v="13.64"/>
    <x v="0"/>
    <x v="1"/>
    <s v="None"/>
    <n v="16"/>
    <x v="0"/>
  </r>
  <r>
    <x v="2147"/>
    <n v="20"/>
    <x v="0"/>
    <x v="3"/>
    <x v="10"/>
    <n v="6.52"/>
    <n v="23.21"/>
    <x v="1"/>
    <x v="1"/>
    <s v="Mild"/>
    <n v="35"/>
    <x v="1"/>
  </r>
  <r>
    <x v="2148"/>
    <n v="49"/>
    <x v="1"/>
    <x v="0"/>
    <x v="1638"/>
    <n v="10.210000000000001"/>
    <n v="15.35"/>
    <x v="0"/>
    <x v="1"/>
    <s v="None"/>
    <n v="31"/>
    <x v="0"/>
  </r>
  <r>
    <x v="2149"/>
    <n v="52"/>
    <x v="0"/>
    <x v="3"/>
    <x v="1639"/>
    <n v="15.32"/>
    <n v="8.6999999999999993"/>
    <x v="3"/>
    <x v="0"/>
    <s v="None"/>
    <n v="35"/>
    <x v="1"/>
  </r>
  <r>
    <x v="2150"/>
    <n v="55"/>
    <x v="0"/>
    <x v="0"/>
    <x v="1640"/>
    <n v="8.6"/>
    <n v="9.98"/>
    <x v="3"/>
    <x v="1"/>
    <s v="Mild"/>
    <n v="4"/>
    <x v="0"/>
  </r>
  <r>
    <x v="2151"/>
    <n v="30"/>
    <x v="1"/>
    <x v="1"/>
    <x v="1603"/>
    <n v="7.22"/>
    <n v="8.26"/>
    <x v="2"/>
    <x v="0"/>
    <s v="None"/>
    <n v="34"/>
    <x v="0"/>
  </r>
  <r>
    <x v="2152"/>
    <n v="73"/>
    <x v="1"/>
    <x v="1"/>
    <x v="429"/>
    <n v="12.14"/>
    <n v="6.04"/>
    <x v="2"/>
    <x v="0"/>
    <s v="Mild"/>
    <n v="25"/>
    <x v="0"/>
  </r>
  <r>
    <x v="2153"/>
    <n v="78"/>
    <x v="0"/>
    <x v="1"/>
    <x v="1641"/>
    <n v="9.85"/>
    <n v="3.98"/>
    <x v="2"/>
    <x v="2"/>
    <s v="None"/>
    <n v="7"/>
    <x v="0"/>
  </r>
  <r>
    <x v="2154"/>
    <n v="64"/>
    <x v="0"/>
    <x v="1"/>
    <x v="1642"/>
    <n v="2.97"/>
    <n v="6.81"/>
    <x v="2"/>
    <x v="2"/>
    <s v="None"/>
    <n v="18"/>
    <x v="1"/>
  </r>
  <r>
    <x v="2155"/>
    <n v="42"/>
    <x v="1"/>
    <x v="3"/>
    <x v="1643"/>
    <n v="25.57"/>
    <n v="10.92"/>
    <x v="0"/>
    <x v="1"/>
    <s v="None"/>
    <n v="26"/>
    <x v="0"/>
  </r>
  <r>
    <x v="2156"/>
    <n v="26"/>
    <x v="0"/>
    <x v="2"/>
    <x v="975"/>
    <n v="7.65"/>
    <n v="23.89"/>
    <x v="2"/>
    <x v="0"/>
    <s v="None"/>
    <n v="30"/>
    <x v="1"/>
  </r>
  <r>
    <x v="2157"/>
    <n v="21"/>
    <x v="0"/>
    <x v="1"/>
    <x v="824"/>
    <n v="9.85"/>
    <n v="7.74"/>
    <x v="0"/>
    <x v="2"/>
    <s v="None"/>
    <n v="27"/>
    <x v="0"/>
  </r>
  <r>
    <x v="2158"/>
    <n v="31"/>
    <x v="0"/>
    <x v="0"/>
    <x v="1463"/>
    <n v="2.39"/>
    <n v="7.94"/>
    <x v="1"/>
    <x v="2"/>
    <s v="Moderate"/>
    <n v="9"/>
    <x v="0"/>
  </r>
  <r>
    <x v="2159"/>
    <n v="54"/>
    <x v="1"/>
    <x v="0"/>
    <x v="1644"/>
    <n v="20.88"/>
    <n v="5.8"/>
    <x v="1"/>
    <x v="1"/>
    <s v="Moderate"/>
    <n v="9"/>
    <x v="0"/>
  </r>
  <r>
    <x v="2160"/>
    <n v="51"/>
    <x v="0"/>
    <x v="1"/>
    <x v="1645"/>
    <n v="6.85"/>
    <n v="25.86"/>
    <x v="3"/>
    <x v="1"/>
    <s v="Moderate"/>
    <n v="24"/>
    <x v="1"/>
  </r>
  <r>
    <x v="2161"/>
    <n v="28"/>
    <x v="0"/>
    <x v="1"/>
    <x v="534"/>
    <n v="27.42"/>
    <n v="8.89"/>
    <x v="3"/>
    <x v="1"/>
    <s v="None"/>
    <n v="24"/>
    <x v="1"/>
  </r>
  <r>
    <x v="2162"/>
    <n v="58"/>
    <x v="1"/>
    <x v="1"/>
    <x v="1646"/>
    <n v="9.48"/>
    <n v="15.33"/>
    <x v="0"/>
    <x v="1"/>
    <s v="Moderate"/>
    <n v="29"/>
    <x v="0"/>
  </r>
  <r>
    <x v="2163"/>
    <n v="73"/>
    <x v="0"/>
    <x v="1"/>
    <x v="1647"/>
    <n v="14.67"/>
    <n v="13.36"/>
    <x v="2"/>
    <x v="1"/>
    <s v="Moderate"/>
    <n v="35"/>
    <x v="1"/>
  </r>
  <r>
    <x v="2164"/>
    <n v="20"/>
    <x v="0"/>
    <x v="1"/>
    <x v="1648"/>
    <n v="7.37"/>
    <n v="16.100000000000001"/>
    <x v="3"/>
    <x v="0"/>
    <s v="None"/>
    <n v="34"/>
    <x v="0"/>
  </r>
  <r>
    <x v="2165"/>
    <n v="76"/>
    <x v="1"/>
    <x v="3"/>
    <x v="1649"/>
    <n v="3.19"/>
    <n v="16.14"/>
    <x v="0"/>
    <x v="0"/>
    <s v="None"/>
    <n v="34"/>
    <x v="1"/>
  </r>
  <r>
    <x v="2166"/>
    <n v="45"/>
    <x v="1"/>
    <x v="1"/>
    <x v="936"/>
    <n v="13.24"/>
    <n v="7.99"/>
    <x v="3"/>
    <x v="0"/>
    <s v="None"/>
    <n v="3"/>
    <x v="0"/>
  </r>
  <r>
    <x v="2167"/>
    <n v="46"/>
    <x v="1"/>
    <x v="3"/>
    <x v="667"/>
    <n v="13.14"/>
    <n v="6.35"/>
    <x v="2"/>
    <x v="0"/>
    <s v="None"/>
    <n v="12"/>
    <x v="0"/>
  </r>
  <r>
    <x v="2168"/>
    <n v="26"/>
    <x v="1"/>
    <x v="0"/>
    <x v="1650"/>
    <n v="0.85"/>
    <n v="25.82"/>
    <x v="0"/>
    <x v="1"/>
    <s v="Moderate"/>
    <n v="6"/>
    <x v="0"/>
  </r>
  <r>
    <x v="2169"/>
    <n v="20"/>
    <x v="0"/>
    <x v="2"/>
    <x v="98"/>
    <n v="2.89"/>
    <n v="6.29"/>
    <x v="3"/>
    <x v="2"/>
    <s v="Mild"/>
    <n v="31"/>
    <x v="0"/>
  </r>
  <r>
    <x v="2170"/>
    <n v="42"/>
    <x v="0"/>
    <x v="0"/>
    <x v="167"/>
    <n v="20.57"/>
    <n v="9.83"/>
    <x v="2"/>
    <x v="2"/>
    <s v="Mild"/>
    <n v="9"/>
    <x v="0"/>
  </r>
  <r>
    <x v="2171"/>
    <n v="51"/>
    <x v="1"/>
    <x v="1"/>
    <x v="1651"/>
    <n v="6.88"/>
    <n v="5.39"/>
    <x v="0"/>
    <x v="0"/>
    <s v="None"/>
    <n v="8"/>
    <x v="1"/>
  </r>
  <r>
    <x v="2172"/>
    <n v="29"/>
    <x v="1"/>
    <x v="3"/>
    <x v="1652"/>
    <n v="15.97"/>
    <n v="15.76"/>
    <x v="0"/>
    <x v="2"/>
    <s v="None"/>
    <n v="13"/>
    <x v="0"/>
  </r>
  <r>
    <x v="2173"/>
    <n v="59"/>
    <x v="0"/>
    <x v="3"/>
    <x v="187"/>
    <n v="36.19"/>
    <n v="7.55"/>
    <x v="0"/>
    <x v="1"/>
    <s v="None"/>
    <n v="11"/>
    <x v="1"/>
  </r>
  <r>
    <x v="2174"/>
    <n v="26"/>
    <x v="1"/>
    <x v="1"/>
    <x v="1653"/>
    <n v="13.74"/>
    <n v="5.9"/>
    <x v="1"/>
    <x v="0"/>
    <s v="Severe"/>
    <n v="32"/>
    <x v="0"/>
  </r>
  <r>
    <x v="2175"/>
    <n v="32"/>
    <x v="0"/>
    <x v="1"/>
    <x v="1654"/>
    <n v="9.6"/>
    <n v="10.23"/>
    <x v="0"/>
    <x v="1"/>
    <s v="None"/>
    <n v="24"/>
    <x v="0"/>
  </r>
  <r>
    <x v="2176"/>
    <n v="57"/>
    <x v="1"/>
    <x v="2"/>
    <x v="1655"/>
    <n v="5.4"/>
    <n v="22.02"/>
    <x v="3"/>
    <x v="1"/>
    <s v="Moderate"/>
    <n v="11"/>
    <x v="0"/>
  </r>
  <r>
    <x v="2177"/>
    <n v="42"/>
    <x v="0"/>
    <x v="2"/>
    <x v="1656"/>
    <n v="12.17"/>
    <n v="5.26"/>
    <x v="0"/>
    <x v="1"/>
    <s v="None"/>
    <n v="35"/>
    <x v="0"/>
  </r>
  <r>
    <x v="2178"/>
    <n v="22"/>
    <x v="1"/>
    <x v="3"/>
    <x v="929"/>
    <n v="13.2"/>
    <n v="17.100000000000001"/>
    <x v="0"/>
    <x v="0"/>
    <s v="Mild"/>
    <n v="28"/>
    <x v="1"/>
  </r>
  <r>
    <x v="2179"/>
    <n v="28"/>
    <x v="1"/>
    <x v="3"/>
    <x v="1657"/>
    <n v="10.4"/>
    <n v="5.55"/>
    <x v="0"/>
    <x v="1"/>
    <s v="Mild"/>
    <n v="18"/>
    <x v="0"/>
  </r>
  <r>
    <x v="2180"/>
    <n v="76"/>
    <x v="0"/>
    <x v="3"/>
    <x v="1658"/>
    <n v="16.420000000000002"/>
    <n v="1.61"/>
    <x v="0"/>
    <x v="0"/>
    <s v="Moderate"/>
    <n v="11"/>
    <x v="0"/>
  </r>
  <r>
    <x v="2181"/>
    <n v="51"/>
    <x v="1"/>
    <x v="1"/>
    <x v="969"/>
    <n v="3.5"/>
    <n v="10.84"/>
    <x v="0"/>
    <x v="1"/>
    <s v="None"/>
    <n v="25"/>
    <x v="1"/>
  </r>
  <r>
    <x v="2182"/>
    <n v="41"/>
    <x v="0"/>
    <x v="1"/>
    <x v="419"/>
    <n v="10.55"/>
    <n v="4.55"/>
    <x v="1"/>
    <x v="2"/>
    <s v="None"/>
    <n v="17"/>
    <x v="0"/>
  </r>
  <r>
    <x v="2183"/>
    <n v="77"/>
    <x v="0"/>
    <x v="1"/>
    <x v="1659"/>
    <n v="9.6300000000000008"/>
    <n v="5.9"/>
    <x v="2"/>
    <x v="0"/>
    <s v="None"/>
    <n v="21"/>
    <x v="0"/>
  </r>
  <r>
    <x v="2184"/>
    <n v="32"/>
    <x v="0"/>
    <x v="1"/>
    <x v="854"/>
    <n v="6.13"/>
    <n v="4.0599999999999996"/>
    <x v="1"/>
    <x v="1"/>
    <s v="Moderate"/>
    <n v="18"/>
    <x v="0"/>
  </r>
  <r>
    <x v="2185"/>
    <n v="55"/>
    <x v="0"/>
    <x v="0"/>
    <x v="1660"/>
    <n v="12.97"/>
    <n v="27.77"/>
    <x v="3"/>
    <x v="1"/>
    <s v="None"/>
    <n v="27"/>
    <x v="1"/>
  </r>
  <r>
    <x v="2186"/>
    <n v="25"/>
    <x v="0"/>
    <x v="3"/>
    <x v="1661"/>
    <n v="3.17"/>
    <n v="0.47"/>
    <x v="2"/>
    <x v="2"/>
    <s v="None"/>
    <n v="15"/>
    <x v="0"/>
  </r>
  <r>
    <x v="2187"/>
    <n v="76"/>
    <x v="1"/>
    <x v="2"/>
    <x v="133"/>
    <n v="5.1100000000000003"/>
    <n v="10.88"/>
    <x v="3"/>
    <x v="1"/>
    <s v="None"/>
    <n v="9"/>
    <x v="0"/>
  </r>
  <r>
    <x v="2188"/>
    <n v="22"/>
    <x v="1"/>
    <x v="1"/>
    <x v="1329"/>
    <n v="7.5"/>
    <n v="7.66"/>
    <x v="0"/>
    <x v="0"/>
    <s v="None"/>
    <n v="16"/>
    <x v="0"/>
  </r>
  <r>
    <x v="2189"/>
    <n v="65"/>
    <x v="0"/>
    <x v="3"/>
    <x v="290"/>
    <n v="8.4499999999999993"/>
    <n v="3.96"/>
    <x v="3"/>
    <x v="0"/>
    <s v="Moderate"/>
    <n v="25"/>
    <x v="1"/>
  </r>
  <r>
    <x v="2190"/>
    <n v="43"/>
    <x v="1"/>
    <x v="1"/>
    <x v="1662"/>
    <n v="13.46"/>
    <n v="9.86"/>
    <x v="1"/>
    <x v="1"/>
    <s v="Moderate"/>
    <n v="25"/>
    <x v="0"/>
  </r>
  <r>
    <x v="2191"/>
    <n v="35"/>
    <x v="0"/>
    <x v="1"/>
    <x v="1497"/>
    <n v="14.5"/>
    <n v="17.7"/>
    <x v="1"/>
    <x v="1"/>
    <s v="None"/>
    <n v="19"/>
    <x v="0"/>
  </r>
  <r>
    <x v="2192"/>
    <n v="23"/>
    <x v="1"/>
    <x v="1"/>
    <x v="1663"/>
    <n v="4.97"/>
    <n v="11.53"/>
    <x v="0"/>
    <x v="0"/>
    <s v="Moderate"/>
    <n v="15"/>
    <x v="0"/>
  </r>
  <r>
    <x v="2193"/>
    <n v="54"/>
    <x v="1"/>
    <x v="2"/>
    <x v="1348"/>
    <n v="27.26"/>
    <n v="20.010000000000002"/>
    <x v="0"/>
    <x v="1"/>
    <s v="Mild"/>
    <n v="29"/>
    <x v="0"/>
  </r>
  <r>
    <x v="2194"/>
    <n v="77"/>
    <x v="1"/>
    <x v="2"/>
    <x v="1664"/>
    <n v="12.88"/>
    <n v="29.97"/>
    <x v="2"/>
    <x v="1"/>
    <s v="None"/>
    <n v="4"/>
    <x v="0"/>
  </r>
  <r>
    <x v="2195"/>
    <n v="65"/>
    <x v="1"/>
    <x v="3"/>
    <x v="1665"/>
    <n v="32.75"/>
    <n v="8.16"/>
    <x v="1"/>
    <x v="1"/>
    <s v="Moderate"/>
    <n v="32"/>
    <x v="0"/>
  </r>
  <r>
    <x v="2196"/>
    <n v="30"/>
    <x v="0"/>
    <x v="3"/>
    <x v="1666"/>
    <n v="23.9"/>
    <n v="6.19"/>
    <x v="1"/>
    <x v="1"/>
    <s v="Mild"/>
    <n v="6"/>
    <x v="0"/>
  </r>
  <r>
    <x v="2197"/>
    <n v="45"/>
    <x v="0"/>
    <x v="0"/>
    <x v="1667"/>
    <n v="6.27"/>
    <n v="29.07"/>
    <x v="2"/>
    <x v="1"/>
    <s v="None"/>
    <n v="32"/>
    <x v="0"/>
  </r>
  <r>
    <x v="2198"/>
    <n v="22"/>
    <x v="1"/>
    <x v="1"/>
    <x v="591"/>
    <n v="3.16"/>
    <n v="12.87"/>
    <x v="1"/>
    <x v="2"/>
    <s v="Mild"/>
    <n v="5"/>
    <x v="0"/>
  </r>
  <r>
    <x v="2199"/>
    <n v="30"/>
    <x v="1"/>
    <x v="1"/>
    <x v="1087"/>
    <n v="2.44"/>
    <n v="9.14"/>
    <x v="2"/>
    <x v="0"/>
    <s v="None"/>
    <n v="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91AFC-1A8E-427E-8FD3-F74EF897C2C1}" name="PivotTable1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:F15" firstHeaderRow="1" firstDataRow="2" firstDataCol="1"/>
  <pivotFields count="12"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eatment_Type" fld="7" subtotal="count" baseField="0" baseItem="0"/>
  </dataFields>
  <chartFormats count="8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B08C0-AB82-46C0-ACDD-A76827CA2442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4" firstHeaderRow="0" firstDataRow="1" firstDataCol="1"/>
  <pivotFields count="12"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e" fld="1" subtotal="average" baseField="2" baseItem="0"/>
    <dataField name="StdDev of Age" fld="1" subtotal="stdDev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7C8A4-83A7-4215-BBFD-8A602D82203C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6" firstHeaderRow="0" firstDataRow="1" firstDataCol="1"/>
  <pivotFields count="12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RP_mg_L" fld="6" subtotal="average" baseField="3" baseItem="0"/>
    <dataField name="StdDev of CRP_mg_L" fld="6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3CBC9-604D-4082-B56A-0855F2D259B1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G3" firstHeaderRow="0" firstDataRow="1" firstDataCol="1"/>
  <pivotFields count="12">
    <pivotField showAll="0"/>
    <pivotField showAll="0"/>
    <pivotField showAll="0"/>
    <pivotField axis="axisRow" showAll="0">
      <items count="5">
        <item x="1"/>
        <item h="1" x="2"/>
        <item h="1" x="0"/>
        <item h="1" x="3"/>
        <item t="default"/>
      </items>
    </pivotField>
    <pivotField showAll="0">
      <items count="1669">
        <item x="374"/>
        <item x="1608"/>
        <item x="379"/>
        <item x="291"/>
        <item x="1232"/>
        <item x="1407"/>
        <item x="275"/>
        <item x="1322"/>
        <item x="479"/>
        <item x="13"/>
        <item x="1094"/>
        <item x="242"/>
        <item x="1445"/>
        <item x="1390"/>
        <item x="461"/>
        <item x="1136"/>
        <item x="1296"/>
        <item x="1590"/>
        <item x="1666"/>
        <item x="487"/>
        <item x="1111"/>
        <item x="482"/>
        <item x="901"/>
        <item x="965"/>
        <item x="723"/>
        <item x="138"/>
        <item x="568"/>
        <item x="1152"/>
        <item x="1448"/>
        <item x="1465"/>
        <item x="655"/>
        <item x="91"/>
        <item x="741"/>
        <item x="264"/>
        <item x="157"/>
        <item x="268"/>
        <item x="1392"/>
        <item x="447"/>
        <item x="1339"/>
        <item x="413"/>
        <item x="590"/>
        <item x="410"/>
        <item x="1294"/>
        <item x="952"/>
        <item x="1466"/>
        <item x="1523"/>
        <item x="659"/>
        <item x="1277"/>
        <item x="1444"/>
        <item x="492"/>
        <item x="315"/>
        <item x="1635"/>
        <item x="1104"/>
        <item x="926"/>
        <item x="336"/>
        <item x="1645"/>
        <item x="383"/>
        <item x="284"/>
        <item x="839"/>
        <item x="32"/>
        <item x="1508"/>
        <item x="1641"/>
        <item x="18"/>
        <item x="1336"/>
        <item x="542"/>
        <item x="388"/>
        <item x="1375"/>
        <item x="125"/>
        <item x="486"/>
        <item x="1013"/>
        <item x="938"/>
        <item x="155"/>
        <item x="1419"/>
        <item x="1359"/>
        <item x="430"/>
        <item x="1026"/>
        <item x="457"/>
        <item x="1623"/>
        <item x="1037"/>
        <item x="1544"/>
        <item x="1439"/>
        <item x="1383"/>
        <item x="1173"/>
        <item x="1250"/>
        <item x="772"/>
        <item x="1567"/>
        <item x="1099"/>
        <item x="981"/>
        <item x="124"/>
        <item x="906"/>
        <item x="864"/>
        <item x="1076"/>
        <item x="171"/>
        <item x="662"/>
        <item x="515"/>
        <item x="1305"/>
        <item x="446"/>
        <item x="1138"/>
        <item x="1122"/>
        <item x="393"/>
        <item x="1395"/>
        <item x="373"/>
        <item x="395"/>
        <item x="786"/>
        <item x="500"/>
        <item x="587"/>
        <item x="76"/>
        <item x="309"/>
        <item x="211"/>
        <item x="930"/>
        <item x="425"/>
        <item x="1541"/>
        <item x="348"/>
        <item x="1655"/>
        <item x="921"/>
        <item x="888"/>
        <item x="1186"/>
        <item x="326"/>
        <item x="911"/>
        <item x="880"/>
        <item x="1045"/>
        <item x="422"/>
        <item x="1467"/>
        <item x="57"/>
        <item x="208"/>
        <item x="872"/>
        <item x="1510"/>
        <item x="1553"/>
        <item x="1207"/>
        <item x="986"/>
        <item x="617"/>
        <item x="1389"/>
        <item x="195"/>
        <item x="187"/>
        <item x="1283"/>
        <item x="924"/>
        <item x="949"/>
        <item x="806"/>
        <item x="1363"/>
        <item x="728"/>
        <item x="856"/>
        <item x="593"/>
        <item x="795"/>
        <item x="170"/>
        <item x="1326"/>
        <item x="968"/>
        <item x="808"/>
        <item x="1618"/>
        <item x="72"/>
        <item x="1535"/>
        <item x="522"/>
        <item x="946"/>
        <item x="133"/>
        <item x="1486"/>
        <item x="1255"/>
        <item x="780"/>
        <item x="869"/>
        <item x="732"/>
        <item x="922"/>
        <item x="1139"/>
        <item x="1240"/>
        <item x="831"/>
        <item x="51"/>
        <item x="720"/>
        <item x="1382"/>
        <item x="1308"/>
        <item x="964"/>
        <item x="756"/>
        <item x="713"/>
        <item x="44"/>
        <item x="1046"/>
        <item x="873"/>
        <item x="95"/>
        <item x="1492"/>
        <item x="21"/>
        <item x="764"/>
        <item x="1070"/>
        <item x="554"/>
        <item x="49"/>
        <item x="708"/>
        <item x="776"/>
        <item x="1063"/>
        <item x="1225"/>
        <item x="1268"/>
        <item x="1332"/>
        <item x="871"/>
        <item x="744"/>
        <item x="1107"/>
        <item x="512"/>
        <item x="1275"/>
        <item x="307"/>
        <item x="676"/>
        <item x="1329"/>
        <item x="396"/>
        <item x="783"/>
        <item x="559"/>
        <item x="17"/>
        <item x="1651"/>
        <item x="1451"/>
        <item x="1427"/>
        <item x="504"/>
        <item x="440"/>
        <item x="290"/>
        <item x="1194"/>
        <item x="1650"/>
        <item x="863"/>
        <item x="1504"/>
        <item x="825"/>
        <item x="830"/>
        <item x="1534"/>
        <item x="1494"/>
        <item x="777"/>
        <item x="1097"/>
        <item x="85"/>
        <item x="28"/>
        <item x="197"/>
        <item x="1102"/>
        <item x="320"/>
        <item x="207"/>
        <item x="339"/>
        <item x="573"/>
        <item x="376"/>
        <item x="566"/>
        <item x="847"/>
        <item x="436"/>
        <item x="1231"/>
        <item x="804"/>
        <item x="852"/>
        <item x="550"/>
        <item x="47"/>
        <item x="709"/>
        <item x="478"/>
        <item x="854"/>
        <item x="605"/>
        <item x="896"/>
        <item x="19"/>
        <item x="1660"/>
        <item x="1048"/>
        <item x="1436"/>
        <item x="1071"/>
        <item x="1272"/>
        <item x="1293"/>
        <item x="1056"/>
        <item x="323"/>
        <item x="711"/>
        <item x="1358"/>
        <item x="1626"/>
        <item x="699"/>
        <item x="740"/>
        <item x="548"/>
        <item x="1256"/>
        <item x="1440"/>
        <item x="1155"/>
        <item x="992"/>
        <item x="646"/>
        <item x="616"/>
        <item x="306"/>
        <item x="70"/>
        <item x="279"/>
        <item x="1119"/>
        <item x="884"/>
        <item x="149"/>
        <item x="58"/>
        <item x="1614"/>
        <item x="360"/>
        <item x="14"/>
        <item x="469"/>
        <item x="521"/>
        <item x="518"/>
        <item x="1441"/>
        <item x="1042"/>
        <item x="610"/>
        <item x="1460"/>
        <item x="75"/>
        <item x="1401"/>
        <item x="529"/>
        <item x="1538"/>
        <item x="1615"/>
        <item x="1289"/>
        <item x="1409"/>
        <item x="1034"/>
        <item x="1109"/>
        <item x="881"/>
        <item x="531"/>
        <item x="1649"/>
        <item x="917"/>
        <item x="1461"/>
        <item x="907"/>
        <item x="468"/>
        <item x="1627"/>
        <item x="533"/>
        <item x="1198"/>
        <item x="172"/>
        <item x="213"/>
        <item x="406"/>
        <item x="1216"/>
        <item x="1379"/>
        <item x="538"/>
        <item x="7"/>
        <item x="1201"/>
        <item x="1193"/>
        <item x="822"/>
        <item x="638"/>
        <item x="1462"/>
        <item x="1498"/>
        <item x="176"/>
        <item x="1399"/>
        <item x="704"/>
        <item x="944"/>
        <item x="1334"/>
        <item x="841"/>
        <item x="670"/>
        <item x="226"/>
        <item x="858"/>
        <item x="1560"/>
        <item x="1464"/>
        <item x="1078"/>
        <item x="246"/>
        <item x="129"/>
        <item x="693"/>
        <item x="89"/>
        <item x="707"/>
        <item x="862"/>
        <item x="1206"/>
        <item x="46"/>
        <item x="147"/>
        <item x="23"/>
        <item x="84"/>
        <item x="1384"/>
        <item x="681"/>
        <item x="666"/>
        <item x="599"/>
        <item x="1158"/>
        <item x="10"/>
        <item x="426"/>
        <item x="633"/>
        <item x="1019"/>
        <item x="153"/>
        <item x="286"/>
        <item x="64"/>
        <item x="1205"/>
        <item x="332"/>
        <item x="1571"/>
        <item x="266"/>
        <item x="240"/>
        <item x="705"/>
        <item x="937"/>
        <item x="798"/>
        <item x="829"/>
        <item x="493"/>
        <item x="1397"/>
        <item x="154"/>
        <item x="680"/>
        <item x="37"/>
        <item x="1246"/>
        <item x="1477"/>
        <item x="1001"/>
        <item x="1473"/>
        <item x="558"/>
        <item x="1227"/>
        <item x="350"/>
        <item x="972"/>
        <item x="1049"/>
        <item x="1572"/>
        <item x="1017"/>
        <item x="731"/>
        <item x="224"/>
        <item x="340"/>
        <item x="757"/>
        <item x="586"/>
        <item x="730"/>
        <item x="93"/>
        <item x="1200"/>
        <item x="200"/>
        <item x="1408"/>
        <item x="1195"/>
        <item x="1144"/>
        <item x="1610"/>
        <item x="134"/>
        <item x="793"/>
        <item x="358"/>
        <item x="191"/>
        <item x="794"/>
        <item x="1421"/>
        <item x="609"/>
        <item x="1115"/>
        <item x="1420"/>
        <item x="815"/>
        <item x="770"/>
        <item x="1356"/>
        <item x="1081"/>
        <item x="700"/>
        <item x="1314"/>
        <item x="589"/>
        <item x="1524"/>
        <item x="182"/>
        <item x="1511"/>
        <item x="585"/>
        <item x="642"/>
        <item x="1306"/>
        <item x="973"/>
        <item x="816"/>
        <item x="887"/>
        <item x="738"/>
        <item x="1391"/>
        <item x="1415"/>
        <item x="1086"/>
        <item x="441"/>
        <item x="1593"/>
        <item x="602"/>
        <item x="874"/>
        <item x="540"/>
        <item x="1116"/>
        <item x="837"/>
        <item x="77"/>
        <item x="1161"/>
        <item x="276"/>
        <item x="951"/>
        <item x="1"/>
        <item x="989"/>
        <item x="1381"/>
        <item x="1328"/>
        <item x="1480"/>
        <item x="1661"/>
        <item x="190"/>
        <item x="941"/>
        <item x="248"/>
        <item x="253"/>
        <item x="337"/>
        <item x="878"/>
        <item x="1052"/>
        <item x="1141"/>
        <item x="1260"/>
        <item x="1114"/>
        <item x="543"/>
        <item x="241"/>
        <item x="437"/>
        <item x="1150"/>
        <item x="1587"/>
        <item x="325"/>
        <item x="528"/>
        <item x="1196"/>
        <item x="1171"/>
        <item x="139"/>
        <item x="1598"/>
        <item x="16"/>
        <item x="247"/>
        <item x="282"/>
        <item x="517"/>
        <item x="607"/>
        <item x="112"/>
        <item x="552"/>
        <item x="934"/>
        <item x="560"/>
        <item x="600"/>
        <item x="1044"/>
        <item x="686"/>
        <item x="1024"/>
        <item x="220"/>
        <item x="152"/>
        <item x="1235"/>
        <item x="162"/>
        <item x="1416"/>
        <item x="868"/>
        <item x="458"/>
        <item x="945"/>
        <item x="588"/>
        <item x="381"/>
        <item x="640"/>
        <item x="467"/>
        <item x="685"/>
        <item x="1565"/>
        <item x="932"/>
        <item x="455"/>
        <item x="412"/>
        <item x="696"/>
        <item x="1072"/>
        <item x="283"/>
        <item x="1357"/>
        <item x="349"/>
        <item x="579"/>
        <item x="760"/>
        <item x="364"/>
        <item x="849"/>
        <item x="845"/>
        <item x="1634"/>
        <item x="828"/>
        <item x="1629"/>
        <item x="719"/>
        <item x="954"/>
        <item x="894"/>
        <item x="82"/>
        <item x="371"/>
        <item x="982"/>
        <item x="1282"/>
        <item x="630"/>
        <item x="277"/>
        <item x="359"/>
        <item x="969"/>
        <item x="957"/>
        <item x="386"/>
        <item x="365"/>
        <item x="1561"/>
        <item x="352"/>
        <item x="692"/>
        <item x="1619"/>
        <item x="601"/>
        <item x="1371"/>
        <item x="679"/>
        <item x="1321"/>
        <item x="510"/>
        <item x="565"/>
        <item x="419"/>
        <item x="1612"/>
        <item x="754"/>
        <item x="1625"/>
        <item x="1653"/>
        <item x="142"/>
        <item x="1062"/>
        <item x="833"/>
        <item x="1288"/>
        <item x="1285"/>
        <item x="809"/>
        <item x="1060"/>
        <item x="355"/>
        <item x="87"/>
        <item x="1506"/>
        <item x="840"/>
        <item x="753"/>
        <item x="1455"/>
        <item x="664"/>
        <item x="367"/>
        <item x="297"/>
        <item x="1539"/>
        <item x="165"/>
        <item x="961"/>
        <item x="431"/>
        <item x="818"/>
        <item x="639"/>
        <item x="464"/>
        <item x="1265"/>
        <item x="180"/>
        <item x="1398"/>
        <item x="53"/>
        <item x="216"/>
        <item x="1563"/>
        <item x="312"/>
        <item x="1067"/>
        <item x="178"/>
        <item x="1223"/>
        <item x="1331"/>
        <item x="1008"/>
        <item x="1463"/>
        <item x="994"/>
        <item x="334"/>
        <item x="1214"/>
        <item x="132"/>
        <item x="835"/>
        <item x="1509"/>
        <item x="1497"/>
        <item x="1310"/>
        <item x="198"/>
        <item x="1244"/>
        <item x="311"/>
        <item x="1263"/>
        <item x="92"/>
        <item x="1579"/>
        <item x="1234"/>
        <item x="1080"/>
        <item x="978"/>
        <item x="481"/>
        <item x="239"/>
        <item x="1351"/>
        <item x="895"/>
        <item x="575"/>
        <item x="993"/>
        <item x="362"/>
        <item x="1043"/>
        <item x="489"/>
        <item x="1021"/>
        <item x="80"/>
        <item x="434"/>
        <item x="232"/>
        <item x="779"/>
        <item x="1191"/>
        <item x="1257"/>
        <item x="898"/>
        <item x="1242"/>
        <item x="160"/>
        <item x="167"/>
        <item x="1662"/>
        <item x="223"/>
        <item x="270"/>
        <item x="1075"/>
        <item x="1169"/>
        <item x="442"/>
        <item x="1638"/>
        <item x="1335"/>
        <item x="883"/>
        <item x="581"/>
        <item x="1348"/>
        <item x="313"/>
        <item x="629"/>
        <item x="1366"/>
        <item x="1487"/>
        <item x="557"/>
        <item x="1233"/>
        <item x="42"/>
        <item x="329"/>
        <item x="408"/>
        <item x="1428"/>
        <item x="1286"/>
        <item x="1376"/>
        <item x="637"/>
        <item x="71"/>
        <item x="1582"/>
        <item x="1362"/>
        <item x="669"/>
        <item x="569"/>
        <item x="1004"/>
        <item x="900"/>
        <item x="811"/>
        <item x="885"/>
        <item x="1096"/>
        <item x="231"/>
        <item x="1059"/>
        <item x="287"/>
        <item x="1297"/>
        <item x="810"/>
        <item x="855"/>
        <item x="380"/>
        <item x="574"/>
        <item x="1426"/>
        <item x="595"/>
        <item x="667"/>
        <item x="1295"/>
        <item x="1338"/>
        <item x="335"/>
        <item x="1273"/>
        <item x="1088"/>
        <item x="78"/>
        <item x="1130"/>
        <item x="1528"/>
        <item x="546"/>
        <item x="1092"/>
        <item x="1316"/>
        <item x="61"/>
        <item x="1646"/>
        <item x="591"/>
        <item x="317"/>
        <item x="293"/>
        <item x="889"/>
        <item x="784"/>
        <item x="541"/>
        <item x="571"/>
        <item x="203"/>
        <item x="523"/>
        <item x="820"/>
        <item x="423"/>
        <item x="1546"/>
        <item x="212"/>
        <item x="201"/>
        <item x="910"/>
        <item x="1488"/>
        <item x="563"/>
        <item x="824"/>
        <item x="1267"/>
        <item x="83"/>
        <item x="122"/>
        <item x="974"/>
        <item x="530"/>
        <item x="1360"/>
        <item x="1128"/>
        <item x="984"/>
        <item x="1298"/>
        <item x="656"/>
        <item x="955"/>
        <item x="1576"/>
        <item x="1012"/>
        <item x="1291"/>
        <item x="168"/>
        <item x="214"/>
        <item x="1221"/>
        <item x="977"/>
        <item x="1217"/>
        <item x="1258"/>
        <item x="1224"/>
        <item x="1550"/>
        <item x="1126"/>
        <item x="199"/>
        <item x="159"/>
        <item x="194"/>
        <item x="1425"/>
        <item x="310"/>
        <item x="721"/>
        <item x="96"/>
        <item x="684"/>
        <item x="116"/>
        <item x="778"/>
        <item x="338"/>
        <item x="411"/>
        <item x="1029"/>
        <item x="221"/>
        <item x="619"/>
        <item x="1556"/>
        <item x="1303"/>
        <item x="474"/>
        <item x="819"/>
        <item x="179"/>
        <item x="131"/>
        <item x="1594"/>
        <item x="1573"/>
        <item x="657"/>
        <item x="1290"/>
        <item x="975"/>
        <item x="1364"/>
        <item x="1084"/>
        <item x="123"/>
        <item x="583"/>
        <item x="298"/>
        <item x="20"/>
        <item x="857"/>
        <item x="414"/>
        <item x="1312"/>
        <item x="1015"/>
        <item x="1664"/>
        <item x="1190"/>
        <item x="1542"/>
        <item x="826"/>
        <item x="405"/>
        <item x="227"/>
        <item x="1129"/>
        <item x="158"/>
        <item x="103"/>
        <item x="611"/>
        <item x="1583"/>
        <item x="1432"/>
        <item x="281"/>
        <item x="398"/>
        <item x="694"/>
        <item x="1352"/>
        <item x="527"/>
        <item x="415"/>
        <item x="913"/>
        <item x="100"/>
        <item x="1555"/>
        <item x="368"/>
        <item x="672"/>
        <item x="5"/>
        <item x="943"/>
        <item x="1516"/>
        <item x="762"/>
        <item x="661"/>
        <item x="344"/>
        <item x="1033"/>
        <item x="536"/>
        <item x="735"/>
        <item x="1418"/>
        <item x="631"/>
        <item x="445"/>
        <item x="908"/>
        <item x="1211"/>
        <item x="1069"/>
        <item x="1032"/>
        <item x="838"/>
        <item x="1192"/>
        <item x="805"/>
        <item x="621"/>
        <item x="624"/>
        <item x="29"/>
        <item x="594"/>
        <item x="514"/>
        <item x="33"/>
        <item x="987"/>
        <item x="651"/>
        <item x="1228"/>
        <item x="146"/>
        <item x="774"/>
        <item x="936"/>
        <item x="582"/>
        <item x="671"/>
        <item x="860"/>
        <item x="1471"/>
        <item x="823"/>
        <item x="361"/>
        <item x="1281"/>
        <item x="202"/>
        <item x="389"/>
        <item x="1304"/>
        <item x="1388"/>
        <item x="63"/>
        <item x="1140"/>
        <item x="1176"/>
        <item x="725"/>
        <item x="90"/>
        <item x="166"/>
        <item x="1453"/>
        <item x="1601"/>
        <item x="353"/>
        <item x="851"/>
        <item x="556"/>
        <item x="1595"/>
        <item x="827"/>
        <item x="273"/>
        <item x="650"/>
        <item x="1503"/>
        <item x="1478"/>
        <item x="920"/>
        <item x="1143"/>
        <item x="628"/>
        <item x="269"/>
        <item x="1074"/>
        <item x="781"/>
        <item x="456"/>
        <item x="66"/>
        <item x="1209"/>
        <item x="959"/>
        <item x="1124"/>
        <item x="1575"/>
        <item x="119"/>
        <item x="1652"/>
        <item x="787"/>
        <item x="1580"/>
        <item x="429"/>
        <item x="2"/>
        <item x="448"/>
        <item x="251"/>
        <item x="3"/>
        <item x="39"/>
        <item x="1551"/>
        <item x="1496"/>
        <item x="580"/>
        <item x="1269"/>
        <item x="1051"/>
        <item x="237"/>
        <item x="1213"/>
        <item x="1585"/>
        <item x="577"/>
        <item x="799"/>
        <item x="50"/>
        <item x="1301"/>
        <item x="101"/>
        <item x="682"/>
        <item x="759"/>
        <item x="1603"/>
        <item x="319"/>
        <item x="623"/>
        <item x="1132"/>
        <item x="729"/>
        <item x="792"/>
        <item x="258"/>
        <item x="1055"/>
        <item x="929"/>
        <item x="1011"/>
        <item x="1512"/>
        <item x="1514"/>
        <item x="177"/>
        <item x="923"/>
        <item x="143"/>
        <item x="939"/>
        <item x="846"/>
        <item x="377"/>
        <item x="67"/>
        <item x="1005"/>
        <item x="909"/>
        <item x="743"/>
        <item x="1170"/>
        <item x="1307"/>
        <item x="1609"/>
        <item x="35"/>
        <item x="953"/>
        <item x="1149"/>
        <item x="1238"/>
        <item x="960"/>
        <item x="1323"/>
        <item x="789"/>
        <item x="1090"/>
        <item x="1318"/>
        <item x="1261"/>
        <item x="1543"/>
        <item x="1218"/>
        <item x="1350"/>
        <item x="465"/>
        <item x="695"/>
        <item x="1203"/>
        <item x="689"/>
        <item x="812"/>
        <item x="433"/>
        <item x="462"/>
        <item x="206"/>
        <item x="1372"/>
        <item x="1100"/>
        <item x="1557"/>
        <item x="400"/>
        <item x="967"/>
        <item x="1133"/>
        <item x="904"/>
        <item x="137"/>
        <item x="463"/>
        <item x="104"/>
        <item x="1040"/>
        <item x="163"/>
        <item x="1604"/>
        <item x="420"/>
        <item x="250"/>
        <item x="1385"/>
        <item x="748"/>
        <item x="995"/>
        <item x="1167"/>
        <item x="301"/>
        <item x="1667"/>
        <item x="280"/>
        <item x="1164"/>
        <item x="803"/>
        <item x="1068"/>
        <item x="294"/>
        <item x="1117"/>
        <item x="562"/>
        <item x="402"/>
        <item x="714"/>
        <item x="169"/>
        <item x="836"/>
        <item x="892"/>
        <item x="832"/>
        <item x="890"/>
        <item x="230"/>
        <item x="40"/>
        <item x="1197"/>
        <item x="1022"/>
        <item x="36"/>
        <item x="403"/>
        <item x="733"/>
        <item x="673"/>
        <item x="1621"/>
        <item x="263"/>
        <item x="210"/>
        <item x="1377"/>
        <item x="598"/>
        <item x="647"/>
        <item x="1374"/>
        <item x="893"/>
        <item x="1402"/>
        <item x="971"/>
        <item x="480"/>
        <item x="370"/>
        <item x="107"/>
        <item x="525"/>
        <item x="181"/>
        <item x="866"/>
        <item x="991"/>
        <item x="453"/>
        <item x="145"/>
        <item x="363"/>
        <item x="305"/>
        <item x="120"/>
        <item x="1430"/>
        <item x="513"/>
        <item x="45"/>
        <item x="499"/>
        <item x="409"/>
        <item x="653"/>
        <item x="1654"/>
        <item x="641"/>
        <item x="1087"/>
        <item x="497"/>
        <item x="1054"/>
        <item x="1622"/>
        <item x="1253"/>
        <item x="717"/>
        <item x="1631"/>
        <item x="1159"/>
        <item x="117"/>
        <item x="1259"/>
        <item x="737"/>
        <item x="1568"/>
        <item x="1533"/>
        <item x="927"/>
        <item x="27"/>
        <item x="1639"/>
        <item x="1578"/>
        <item x="204"/>
        <item x="948"/>
        <item x="1520"/>
        <item x="136"/>
        <item x="4"/>
        <item x="387"/>
        <item x="734"/>
        <item x="140"/>
        <item x="1309"/>
        <item x="24"/>
        <item x="1047"/>
        <item x="113"/>
        <item x="60"/>
        <item x="345"/>
        <item x="97"/>
        <item x="1180"/>
        <item x="942"/>
        <item x="30"/>
        <item x="257"/>
        <item x="532"/>
        <item x="485"/>
        <item x="73"/>
        <item x="1106"/>
        <item x="366"/>
        <item x="549"/>
        <item x="272"/>
        <item x="254"/>
        <item x="416"/>
        <item x="1313"/>
        <item x="1016"/>
        <item x="1412"/>
        <item x="81"/>
        <item x="1393"/>
        <item x="903"/>
        <item x="189"/>
        <item x="1642"/>
        <item x="1002"/>
        <item x="645"/>
        <item x="1410"/>
        <item x="1474"/>
        <item x="238"/>
        <item x="813"/>
        <item x="299"/>
        <item x="369"/>
        <item x="1637"/>
        <item x="1057"/>
        <item x="1168"/>
        <item x="1647"/>
        <item x="802"/>
        <item x="1342"/>
        <item x="1135"/>
        <item x="449"/>
        <item x="1531"/>
        <item x="1484"/>
        <item x="1003"/>
        <item x="545"/>
        <item x="1624"/>
        <item x="1449"/>
        <item x="877"/>
        <item x="506"/>
        <item x="392"/>
        <item x="516"/>
        <item x="118"/>
        <item x="11"/>
        <item x="897"/>
        <item x="244"/>
        <item x="963"/>
        <item x="914"/>
        <item x="1502"/>
        <item x="8"/>
        <item x="1476"/>
        <item x="1222"/>
        <item x="1311"/>
        <item x="1472"/>
        <item x="88"/>
        <item x="718"/>
        <item x="303"/>
        <item x="1493"/>
        <item x="1058"/>
        <item x="1079"/>
        <item x="814"/>
        <item x="1396"/>
        <item x="1082"/>
        <item x="1006"/>
        <item x="1355"/>
        <item x="300"/>
        <item x="1540"/>
        <item x="234"/>
        <item x="161"/>
        <item x="1422"/>
        <item x="156"/>
        <item x="274"/>
        <item x="1617"/>
        <item x="1659"/>
        <item x="9"/>
        <item x="687"/>
        <item x="354"/>
        <item x="494"/>
        <item x="185"/>
        <item x="658"/>
        <item x="472"/>
        <item x="576"/>
        <item x="1315"/>
        <item x="378"/>
        <item x="635"/>
        <item x="126"/>
        <item x="1249"/>
        <item x="771"/>
        <item x="490"/>
        <item x="537"/>
        <item x="801"/>
        <item x="12"/>
        <item x="736"/>
        <item x="848"/>
        <item x="1324"/>
        <item x="259"/>
        <item x="660"/>
        <item x="421"/>
        <item x="1319"/>
        <item x="614"/>
        <item x="173"/>
        <item x="509"/>
        <item x="245"/>
        <item x="1564"/>
        <item x="292"/>
        <item x="1442"/>
        <item x="634"/>
        <item x="135"/>
        <item x="351"/>
        <item x="613"/>
        <item x="1325"/>
        <item x="688"/>
        <item x="108"/>
        <item x="928"/>
        <item x="1515"/>
        <item x="243"/>
        <item x="767"/>
        <item x="476"/>
        <item x="724"/>
        <item x="567"/>
        <item x="228"/>
        <item x="491"/>
        <item x="1400"/>
        <item x="384"/>
        <item x="1549"/>
        <item x="746"/>
        <item x="750"/>
        <item x="1433"/>
        <item x="375"/>
        <item x="1636"/>
        <item x="1185"/>
        <item x="618"/>
        <item x="1354"/>
        <item x="1065"/>
        <item x="215"/>
        <item x="544"/>
        <item x="466"/>
        <item x="164"/>
        <item x="677"/>
        <item x="451"/>
        <item x="622"/>
        <item x="324"/>
        <item x="1183"/>
        <item x="853"/>
        <item x="1146"/>
        <item x="55"/>
        <item x="1279"/>
        <item x="916"/>
        <item x="785"/>
        <item x="1110"/>
        <item x="1050"/>
        <item x="902"/>
        <item x="1337"/>
        <item x="346"/>
        <item x="678"/>
        <item x="1154"/>
        <item x="1562"/>
        <item x="596"/>
        <item x="668"/>
        <item x="1656"/>
        <item x="278"/>
        <item x="1616"/>
        <item x="970"/>
        <item x="985"/>
        <item x="34"/>
        <item x="1131"/>
        <item x="933"/>
        <item x="649"/>
        <item x="460"/>
        <item x="604"/>
        <item x="174"/>
        <item x="526"/>
        <item x="875"/>
        <item x="665"/>
        <item x="1570"/>
        <item x="501"/>
        <item x="1344"/>
        <item x="151"/>
        <item x="1485"/>
        <item x="710"/>
        <item x="235"/>
        <item x="644"/>
        <item x="1120"/>
        <item x="22"/>
        <item x="452"/>
        <item x="439"/>
        <item x="1212"/>
        <item x="1095"/>
        <item x="1454"/>
        <item x="683"/>
        <item x="1151"/>
        <item x="1581"/>
        <item x="1456"/>
        <item x="940"/>
        <item x="1592"/>
        <item x="524"/>
        <item x="1287"/>
        <item x="68"/>
        <item x="1035"/>
        <item x="488"/>
        <item x="1077"/>
        <item x="399"/>
        <item x="1644"/>
        <item x="1411"/>
        <item x="1340"/>
        <item x="427"/>
        <item x="1020"/>
        <item x="1368"/>
        <item x="219"/>
        <item x="751"/>
        <item x="1417"/>
        <item x="450"/>
        <item x="1036"/>
        <item x="1596"/>
        <item x="1108"/>
        <item x="643"/>
        <item x="627"/>
        <item x="870"/>
        <item x="1591"/>
        <item x="775"/>
        <item x="766"/>
        <item x="428"/>
        <item x="755"/>
        <item x="758"/>
        <item x="69"/>
        <item x="915"/>
        <item x="1264"/>
        <item x="539"/>
        <item x="79"/>
        <item x="990"/>
        <item x="1470"/>
        <item x="304"/>
        <item x="267"/>
        <item x="511"/>
        <item x="882"/>
        <item x="407"/>
        <item x="1025"/>
        <item x="1633"/>
        <item x="295"/>
        <item x="1387"/>
        <item x="252"/>
        <item x="843"/>
        <item x="584"/>
        <item x="988"/>
        <item x="1658"/>
        <item x="1414"/>
        <item x="1648"/>
        <item x="86"/>
        <item x="285"/>
        <item x="1527"/>
        <item x="1023"/>
        <item x="1657"/>
        <item x="130"/>
        <item x="356"/>
        <item x="648"/>
        <item x="382"/>
        <item x="289"/>
        <item x="925"/>
        <item x="1353"/>
        <item x="1333"/>
        <item x="1145"/>
        <item x="175"/>
        <item x="1438"/>
        <item x="1174"/>
        <item x="861"/>
        <item x="1447"/>
        <item x="1103"/>
        <item x="1202"/>
        <item x="148"/>
        <item x="1517"/>
        <item x="193"/>
        <item x="1243"/>
        <item x="561"/>
        <item x="1405"/>
        <item x="1162"/>
        <item x="109"/>
        <item x="919"/>
        <item x="508"/>
        <item x="475"/>
        <item x="505"/>
        <item x="553"/>
        <item x="1073"/>
        <item x="519"/>
        <item x="128"/>
        <item x="318"/>
        <item x="1172"/>
        <item x="1406"/>
        <item x="1018"/>
        <item x="1552"/>
        <item x="1184"/>
        <item x="675"/>
        <item x="690"/>
        <item x="1219"/>
        <item x="99"/>
        <item x="547"/>
        <item x="1602"/>
        <item x="477"/>
        <item x="1505"/>
        <item x="328"/>
        <item x="745"/>
        <item x="797"/>
        <item x="1457"/>
        <item x="1443"/>
        <item x="1481"/>
        <item x="438"/>
        <item x="1327"/>
        <item x="1605"/>
        <item x="1300"/>
        <item x="1266"/>
        <item x="879"/>
        <item x="1270"/>
        <item x="674"/>
        <item x="842"/>
        <item x="1248"/>
        <item x="296"/>
        <item x="1413"/>
        <item x="572"/>
        <item x="1028"/>
        <item x="471"/>
        <item x="484"/>
        <item x="1495"/>
        <item x="1663"/>
        <item x="691"/>
        <item x="209"/>
        <item x="612"/>
        <item x="620"/>
        <item x="790"/>
        <item x="632"/>
        <item x="38"/>
        <item x="233"/>
        <item x="1526"/>
        <item x="1386"/>
        <item x="935"/>
        <item x="1226"/>
        <item x="1262"/>
        <item x="701"/>
        <item x="1245"/>
        <item x="1007"/>
        <item x="859"/>
        <item x="418"/>
        <item x="1053"/>
        <item x="1278"/>
        <item x="727"/>
        <item x="1239"/>
        <item x="357"/>
        <item x="1584"/>
        <item x="702"/>
        <item x="459"/>
        <item x="1330"/>
        <item x="1423"/>
        <item x="1345"/>
        <item x="217"/>
        <item x="1521"/>
        <item x="432"/>
        <item x="1251"/>
        <item x="59"/>
        <item x="225"/>
        <item x="1031"/>
        <item x="1490"/>
        <item x="1271"/>
        <item x="1179"/>
        <item x="962"/>
        <item x="1064"/>
        <item x="997"/>
        <item x="444"/>
        <item x="800"/>
        <item x="98"/>
        <item x="817"/>
        <item x="404"/>
        <item x="186"/>
        <item x="788"/>
        <item x="1632"/>
        <item x="1010"/>
        <item x="834"/>
        <item x="1607"/>
        <item x="1431"/>
        <item x="308"/>
        <item x="111"/>
        <item x="1127"/>
        <item x="1199"/>
        <item x="114"/>
        <item x="54"/>
        <item x="1500"/>
        <item x="127"/>
        <item x="342"/>
        <item x="773"/>
        <item x="473"/>
        <item x="41"/>
        <item x="401"/>
        <item x="470"/>
        <item x="1123"/>
        <item x="65"/>
        <item x="1230"/>
        <item x="891"/>
        <item x="1574"/>
        <item x="1434"/>
        <item x="1210"/>
        <item x="1125"/>
        <item x="867"/>
        <item x="1165"/>
        <item x="1483"/>
        <item x="722"/>
        <item x="372"/>
        <item x="1299"/>
        <item x="958"/>
        <item x="1093"/>
        <item x="606"/>
        <item x="1589"/>
        <item x="1365"/>
        <item x="249"/>
        <item x="1611"/>
        <item x="1276"/>
        <item x="1030"/>
        <item x="1163"/>
        <item x="535"/>
        <item x="331"/>
        <item x="496"/>
        <item x="931"/>
        <item x="1160"/>
        <item x="1586"/>
        <item x="1373"/>
        <item x="1361"/>
        <item x="417"/>
        <item x="844"/>
        <item x="905"/>
        <item x="1499"/>
        <item x="1519"/>
        <item x="1142"/>
        <item x="998"/>
        <item x="183"/>
        <item x="1089"/>
        <item x="390"/>
        <item x="1630"/>
        <item x="534"/>
        <item x="0"/>
        <item x="1134"/>
        <item x="184"/>
        <item x="626"/>
        <item x="999"/>
        <item x="1577"/>
        <item x="502"/>
        <item x="1424"/>
        <item x="102"/>
        <item x="94"/>
        <item x="564"/>
        <item x="454"/>
        <item x="1098"/>
        <item x="1435"/>
        <item x="1241"/>
        <item x="1452"/>
        <item x="652"/>
        <item x="1547"/>
        <item x="424"/>
        <item x="110"/>
        <item x="435"/>
        <item x="6"/>
        <item x="1537"/>
        <item x="1137"/>
        <item x="1113"/>
        <item x="105"/>
        <item x="726"/>
        <item x="1280"/>
        <item x="886"/>
        <item x="322"/>
        <item x="188"/>
        <item x="52"/>
        <item x="1112"/>
        <item x="141"/>
        <item x="1548"/>
        <item x="483"/>
        <item x="498"/>
        <item x="1346"/>
        <item x="1118"/>
        <item x="343"/>
        <item x="615"/>
        <item x="1229"/>
        <item x="1640"/>
        <item x="507"/>
        <item x="765"/>
        <item x="1369"/>
        <item x="1532"/>
        <item x="256"/>
        <item x="570"/>
        <item x="715"/>
        <item x="196"/>
        <item x="1507"/>
        <item x="1317"/>
        <item x="150"/>
        <item x="316"/>
        <item x="43"/>
        <item x="1558"/>
        <item x="976"/>
        <item x="1343"/>
        <item x="712"/>
        <item x="983"/>
        <item x="1247"/>
        <item x="1038"/>
        <item x="1188"/>
        <item x="1041"/>
        <item x="1367"/>
        <item x="327"/>
        <item x="1320"/>
        <item x="1566"/>
        <item x="1530"/>
        <item x="394"/>
        <item x="330"/>
        <item x="698"/>
        <item x="1101"/>
        <item x="261"/>
        <item x="1643"/>
        <item x="1569"/>
        <item x="1148"/>
        <item x="703"/>
        <item x="26"/>
        <item x="1178"/>
        <item x="742"/>
        <item x="592"/>
        <item x="1254"/>
        <item x="1284"/>
        <item x="218"/>
        <item x="1620"/>
        <item x="1066"/>
        <item x="1628"/>
        <item x="321"/>
        <item x="1347"/>
        <item x="663"/>
        <item x="1429"/>
        <item x="1613"/>
        <item x="578"/>
        <item x="1105"/>
        <item x="260"/>
        <item x="1027"/>
        <item x="25"/>
        <item x="555"/>
        <item x="115"/>
        <item x="739"/>
        <item x="397"/>
        <item x="1394"/>
        <item x="302"/>
        <item x="1274"/>
        <item x="1380"/>
        <item x="608"/>
        <item x="495"/>
        <item x="1181"/>
        <item x="236"/>
        <item x="1204"/>
        <item x="1177"/>
        <item x="1404"/>
        <item x="1458"/>
        <item x="1000"/>
        <item x="1189"/>
        <item x="1588"/>
        <item x="1522"/>
        <item x="1459"/>
        <item x="1220"/>
        <item x="912"/>
        <item x="1378"/>
        <item x="288"/>
        <item x="966"/>
        <item x="636"/>
        <item x="1536"/>
        <item x="782"/>
        <item x="1529"/>
        <item x="192"/>
        <item x="706"/>
        <item x="222"/>
        <item x="876"/>
        <item x="1156"/>
        <item x="15"/>
        <item x="333"/>
        <item x="747"/>
        <item x="956"/>
        <item x="347"/>
        <item x="262"/>
        <item x="271"/>
        <item x="1450"/>
        <item x="1153"/>
        <item x="205"/>
        <item x="341"/>
        <item x="716"/>
        <item x="603"/>
        <item x="980"/>
        <item x="1121"/>
        <item x="807"/>
        <item x="899"/>
        <item x="520"/>
        <item x="314"/>
        <item x="918"/>
        <item x="979"/>
        <item x="1349"/>
        <item x="1479"/>
        <item x="796"/>
        <item x="950"/>
        <item x="1187"/>
        <item x="1014"/>
        <item x="551"/>
        <item x="1061"/>
        <item x="1665"/>
        <item x="1501"/>
        <item x="1559"/>
        <item x="1009"/>
        <item x="947"/>
        <item x="1437"/>
        <item x="850"/>
        <item x="1489"/>
        <item x="1513"/>
        <item x="1403"/>
        <item x="1597"/>
        <item x="1469"/>
        <item x="503"/>
        <item x="229"/>
        <item x="385"/>
        <item x="1237"/>
        <item x="1208"/>
        <item x="391"/>
        <item x="1475"/>
        <item x="1215"/>
        <item x="74"/>
        <item x="996"/>
        <item x="1518"/>
        <item x="48"/>
        <item x="265"/>
        <item x="1482"/>
        <item x="1085"/>
        <item x="443"/>
        <item x="1545"/>
        <item x="1606"/>
        <item x="1600"/>
        <item x="1157"/>
        <item x="1468"/>
        <item x="255"/>
        <item x="865"/>
        <item x="144"/>
        <item x="761"/>
        <item x="62"/>
        <item x="1302"/>
        <item x="1446"/>
        <item x="1525"/>
        <item x="1083"/>
        <item x="1147"/>
        <item x="1370"/>
        <item x="597"/>
        <item x="1166"/>
        <item x="769"/>
        <item x="1175"/>
        <item x="821"/>
        <item x="763"/>
        <item x="1236"/>
        <item x="56"/>
        <item x="791"/>
        <item x="625"/>
        <item x="749"/>
        <item x="768"/>
        <item x="1599"/>
        <item x="106"/>
        <item x="1341"/>
        <item x="31"/>
        <item x="1252"/>
        <item x="1182"/>
        <item x="1091"/>
        <item x="1554"/>
        <item x="654"/>
        <item x="1292"/>
        <item x="1039"/>
        <item x="697"/>
        <item x="752"/>
        <item x="121"/>
        <item x="1491"/>
        <item t="default"/>
      </items>
    </pivotField>
    <pivotField dataField="1" showAll="0"/>
    <pivotField showAll="0"/>
    <pivotField showAll="0">
      <items count="5">
        <item h="1" x="3"/>
        <item x="0"/>
        <item h="1" x="2"/>
        <item h="1"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3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iomarker_TNF_alpha_pg_ml" fld="5" subtotal="average" baseField="3" baseItem="0"/>
    <dataField name="StdDev of Biomarker_TNF_alpha_pg_ml" fld="5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46BE0-70DA-4E72-9736-EA0AC904A427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6" firstHeaderRow="0" firstDataRow="1" firstDataCol="1"/>
  <pivotFields count="12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>
      <items count="1669">
        <item x="374"/>
        <item x="1608"/>
        <item x="379"/>
        <item x="291"/>
        <item x="1232"/>
        <item x="1407"/>
        <item x="275"/>
        <item x="1322"/>
        <item x="479"/>
        <item x="13"/>
        <item x="1094"/>
        <item x="242"/>
        <item x="1445"/>
        <item x="1390"/>
        <item x="461"/>
        <item x="1136"/>
        <item x="1296"/>
        <item x="1590"/>
        <item x="1666"/>
        <item x="487"/>
        <item x="1111"/>
        <item x="482"/>
        <item x="901"/>
        <item x="965"/>
        <item x="723"/>
        <item x="138"/>
        <item x="568"/>
        <item x="1152"/>
        <item x="1448"/>
        <item x="1465"/>
        <item x="655"/>
        <item x="91"/>
        <item x="741"/>
        <item x="264"/>
        <item x="157"/>
        <item x="268"/>
        <item x="1392"/>
        <item x="447"/>
        <item x="1339"/>
        <item x="413"/>
        <item x="590"/>
        <item x="410"/>
        <item x="1294"/>
        <item x="952"/>
        <item x="1466"/>
        <item x="1523"/>
        <item x="659"/>
        <item x="1277"/>
        <item x="1444"/>
        <item x="492"/>
        <item x="315"/>
        <item x="1635"/>
        <item x="1104"/>
        <item x="926"/>
        <item x="336"/>
        <item x="1645"/>
        <item x="383"/>
        <item x="284"/>
        <item x="839"/>
        <item x="32"/>
        <item x="1508"/>
        <item x="1641"/>
        <item x="18"/>
        <item x="1336"/>
        <item x="542"/>
        <item x="388"/>
        <item x="1375"/>
        <item x="125"/>
        <item x="486"/>
        <item x="1013"/>
        <item x="938"/>
        <item x="155"/>
        <item x="1419"/>
        <item x="1359"/>
        <item x="430"/>
        <item x="1026"/>
        <item x="457"/>
        <item x="1623"/>
        <item x="1037"/>
        <item x="1544"/>
        <item x="1439"/>
        <item x="1383"/>
        <item x="1173"/>
        <item x="1250"/>
        <item x="772"/>
        <item x="1567"/>
        <item x="1099"/>
        <item x="981"/>
        <item x="124"/>
        <item x="906"/>
        <item x="864"/>
        <item x="1076"/>
        <item x="171"/>
        <item x="662"/>
        <item x="515"/>
        <item x="1305"/>
        <item x="446"/>
        <item x="1138"/>
        <item x="1122"/>
        <item x="393"/>
        <item x="1395"/>
        <item x="373"/>
        <item x="395"/>
        <item x="786"/>
        <item x="500"/>
        <item x="587"/>
        <item x="76"/>
        <item x="309"/>
        <item x="211"/>
        <item x="930"/>
        <item x="425"/>
        <item x="1541"/>
        <item x="348"/>
        <item x="1655"/>
        <item x="921"/>
        <item x="888"/>
        <item x="1186"/>
        <item x="326"/>
        <item x="911"/>
        <item x="880"/>
        <item x="1045"/>
        <item x="422"/>
        <item x="1467"/>
        <item x="57"/>
        <item x="208"/>
        <item x="872"/>
        <item x="1510"/>
        <item x="1553"/>
        <item x="1207"/>
        <item x="986"/>
        <item x="617"/>
        <item x="1389"/>
        <item x="195"/>
        <item x="187"/>
        <item x="1283"/>
        <item x="924"/>
        <item x="949"/>
        <item x="806"/>
        <item x="1363"/>
        <item x="728"/>
        <item x="856"/>
        <item x="593"/>
        <item x="795"/>
        <item x="170"/>
        <item x="1326"/>
        <item x="968"/>
        <item x="808"/>
        <item x="1618"/>
        <item x="72"/>
        <item x="1535"/>
        <item x="522"/>
        <item x="946"/>
        <item x="133"/>
        <item x="1486"/>
        <item x="1255"/>
        <item x="780"/>
        <item x="869"/>
        <item x="732"/>
        <item x="922"/>
        <item x="1139"/>
        <item x="1240"/>
        <item x="831"/>
        <item x="51"/>
        <item x="720"/>
        <item x="1382"/>
        <item x="1308"/>
        <item x="964"/>
        <item x="756"/>
        <item x="713"/>
        <item x="44"/>
        <item x="1046"/>
        <item x="873"/>
        <item x="95"/>
        <item x="1492"/>
        <item x="21"/>
        <item x="764"/>
        <item x="1070"/>
        <item x="554"/>
        <item x="49"/>
        <item x="708"/>
        <item x="776"/>
        <item x="1063"/>
        <item x="1225"/>
        <item x="1268"/>
        <item x="1332"/>
        <item x="871"/>
        <item x="744"/>
        <item x="1107"/>
        <item x="512"/>
        <item x="1275"/>
        <item x="307"/>
        <item x="676"/>
        <item x="1329"/>
        <item x="396"/>
        <item x="783"/>
        <item x="559"/>
        <item x="17"/>
        <item x="1651"/>
        <item x="1451"/>
        <item x="1427"/>
        <item x="504"/>
        <item x="440"/>
        <item x="290"/>
        <item x="1194"/>
        <item x="1650"/>
        <item x="863"/>
        <item x="1504"/>
        <item x="825"/>
        <item x="830"/>
        <item x="1534"/>
        <item x="1494"/>
        <item x="777"/>
        <item x="1097"/>
        <item x="85"/>
        <item x="28"/>
        <item x="197"/>
        <item x="1102"/>
        <item x="320"/>
        <item x="207"/>
        <item x="339"/>
        <item x="573"/>
        <item x="376"/>
        <item x="566"/>
        <item x="847"/>
        <item x="436"/>
        <item x="1231"/>
        <item x="804"/>
        <item x="852"/>
        <item x="550"/>
        <item x="47"/>
        <item x="709"/>
        <item x="478"/>
        <item x="854"/>
        <item x="605"/>
        <item x="896"/>
        <item x="19"/>
        <item x="1660"/>
        <item x="1048"/>
        <item x="1436"/>
        <item x="1071"/>
        <item x="1272"/>
        <item x="1293"/>
        <item x="1056"/>
        <item x="323"/>
        <item x="711"/>
        <item x="1358"/>
        <item x="1626"/>
        <item x="699"/>
        <item x="740"/>
        <item x="548"/>
        <item x="1256"/>
        <item x="1440"/>
        <item x="1155"/>
        <item x="992"/>
        <item x="646"/>
        <item x="616"/>
        <item x="306"/>
        <item x="70"/>
        <item x="279"/>
        <item x="1119"/>
        <item x="884"/>
        <item x="149"/>
        <item x="58"/>
        <item x="1614"/>
        <item x="360"/>
        <item x="14"/>
        <item x="469"/>
        <item x="521"/>
        <item x="518"/>
        <item x="1441"/>
        <item x="1042"/>
        <item x="610"/>
        <item x="1460"/>
        <item x="75"/>
        <item x="1401"/>
        <item x="529"/>
        <item x="1538"/>
        <item x="1615"/>
        <item x="1289"/>
        <item x="1409"/>
        <item x="1034"/>
        <item x="1109"/>
        <item x="881"/>
        <item x="531"/>
        <item x="1649"/>
        <item x="917"/>
        <item x="1461"/>
        <item x="907"/>
        <item x="468"/>
        <item x="1627"/>
        <item x="533"/>
        <item x="1198"/>
        <item x="172"/>
        <item x="213"/>
        <item x="406"/>
        <item x="1216"/>
        <item x="1379"/>
        <item x="538"/>
        <item x="7"/>
        <item x="1201"/>
        <item x="1193"/>
        <item x="822"/>
        <item x="638"/>
        <item x="1462"/>
        <item x="1498"/>
        <item x="176"/>
        <item x="1399"/>
        <item x="704"/>
        <item x="944"/>
        <item x="1334"/>
        <item x="841"/>
        <item x="670"/>
        <item x="226"/>
        <item x="858"/>
        <item x="1560"/>
        <item x="1464"/>
        <item x="1078"/>
        <item x="246"/>
        <item x="129"/>
        <item x="693"/>
        <item x="89"/>
        <item x="707"/>
        <item x="862"/>
        <item x="1206"/>
        <item x="46"/>
        <item x="147"/>
        <item x="23"/>
        <item x="84"/>
        <item x="1384"/>
        <item x="681"/>
        <item x="666"/>
        <item x="599"/>
        <item x="1158"/>
        <item x="10"/>
        <item x="426"/>
        <item x="633"/>
        <item x="1019"/>
        <item x="153"/>
        <item x="286"/>
        <item x="64"/>
        <item x="1205"/>
        <item x="332"/>
        <item x="1571"/>
        <item x="266"/>
        <item x="240"/>
        <item x="705"/>
        <item x="937"/>
        <item x="798"/>
        <item x="829"/>
        <item x="493"/>
        <item x="1397"/>
        <item x="154"/>
        <item x="680"/>
        <item x="37"/>
        <item x="1246"/>
        <item x="1477"/>
        <item x="1001"/>
        <item x="1473"/>
        <item x="558"/>
        <item x="1227"/>
        <item x="350"/>
        <item x="972"/>
        <item x="1049"/>
        <item x="1572"/>
        <item x="1017"/>
        <item x="731"/>
        <item x="224"/>
        <item x="340"/>
        <item x="757"/>
        <item x="586"/>
        <item x="730"/>
        <item x="93"/>
        <item x="1200"/>
        <item x="200"/>
        <item x="1408"/>
        <item x="1195"/>
        <item x="1144"/>
        <item x="1610"/>
        <item x="134"/>
        <item x="793"/>
        <item x="358"/>
        <item x="191"/>
        <item x="794"/>
        <item x="1421"/>
        <item x="609"/>
        <item x="1115"/>
        <item x="1420"/>
        <item x="815"/>
        <item x="770"/>
        <item x="1356"/>
        <item x="1081"/>
        <item x="700"/>
        <item x="1314"/>
        <item x="589"/>
        <item x="1524"/>
        <item x="182"/>
        <item x="1511"/>
        <item x="585"/>
        <item x="642"/>
        <item x="1306"/>
        <item x="973"/>
        <item x="816"/>
        <item x="887"/>
        <item x="738"/>
        <item x="1391"/>
        <item x="1415"/>
        <item x="1086"/>
        <item x="441"/>
        <item x="1593"/>
        <item x="602"/>
        <item x="874"/>
        <item x="540"/>
        <item x="1116"/>
        <item x="837"/>
        <item x="77"/>
        <item x="1161"/>
        <item x="276"/>
        <item x="951"/>
        <item x="1"/>
        <item x="989"/>
        <item x="1381"/>
        <item x="1328"/>
        <item x="1480"/>
        <item x="1661"/>
        <item x="190"/>
        <item x="941"/>
        <item x="248"/>
        <item x="253"/>
        <item x="337"/>
        <item x="878"/>
        <item x="1052"/>
        <item x="1141"/>
        <item x="1260"/>
        <item x="1114"/>
        <item x="543"/>
        <item x="241"/>
        <item x="437"/>
        <item x="1150"/>
        <item x="1587"/>
        <item x="325"/>
        <item x="528"/>
        <item x="1196"/>
        <item x="1171"/>
        <item x="139"/>
        <item x="1598"/>
        <item x="16"/>
        <item x="247"/>
        <item x="282"/>
        <item x="517"/>
        <item x="607"/>
        <item x="112"/>
        <item x="552"/>
        <item x="934"/>
        <item x="560"/>
        <item x="600"/>
        <item x="1044"/>
        <item x="686"/>
        <item x="1024"/>
        <item x="220"/>
        <item x="152"/>
        <item x="1235"/>
        <item x="162"/>
        <item x="1416"/>
        <item x="868"/>
        <item x="458"/>
        <item x="945"/>
        <item x="588"/>
        <item x="381"/>
        <item x="640"/>
        <item x="467"/>
        <item x="685"/>
        <item x="1565"/>
        <item x="932"/>
        <item x="455"/>
        <item x="412"/>
        <item x="696"/>
        <item x="1072"/>
        <item x="283"/>
        <item x="1357"/>
        <item x="349"/>
        <item x="579"/>
        <item x="760"/>
        <item x="364"/>
        <item x="849"/>
        <item x="845"/>
        <item x="1634"/>
        <item x="828"/>
        <item x="1629"/>
        <item x="719"/>
        <item x="954"/>
        <item x="894"/>
        <item x="82"/>
        <item x="371"/>
        <item x="982"/>
        <item x="1282"/>
        <item x="630"/>
        <item x="277"/>
        <item x="359"/>
        <item x="969"/>
        <item x="957"/>
        <item x="386"/>
        <item x="365"/>
        <item x="1561"/>
        <item x="352"/>
        <item x="692"/>
        <item x="1619"/>
        <item x="601"/>
        <item x="1371"/>
        <item x="679"/>
        <item x="1321"/>
        <item x="510"/>
        <item x="565"/>
        <item x="419"/>
        <item x="1612"/>
        <item x="754"/>
        <item x="1625"/>
        <item x="1653"/>
        <item x="142"/>
        <item x="1062"/>
        <item x="833"/>
        <item x="1288"/>
        <item x="1285"/>
        <item x="809"/>
        <item x="1060"/>
        <item x="355"/>
        <item x="87"/>
        <item x="1506"/>
        <item x="840"/>
        <item x="753"/>
        <item x="1455"/>
        <item x="664"/>
        <item x="367"/>
        <item x="297"/>
        <item x="1539"/>
        <item x="165"/>
        <item x="961"/>
        <item x="431"/>
        <item x="818"/>
        <item x="639"/>
        <item x="464"/>
        <item x="1265"/>
        <item x="180"/>
        <item x="1398"/>
        <item x="53"/>
        <item x="216"/>
        <item x="1563"/>
        <item x="312"/>
        <item x="1067"/>
        <item x="178"/>
        <item x="1223"/>
        <item x="1331"/>
        <item x="1008"/>
        <item x="1463"/>
        <item x="994"/>
        <item x="334"/>
        <item x="1214"/>
        <item x="132"/>
        <item x="835"/>
        <item x="1509"/>
        <item x="1497"/>
        <item x="1310"/>
        <item x="198"/>
        <item x="1244"/>
        <item x="311"/>
        <item x="1263"/>
        <item x="92"/>
        <item x="1579"/>
        <item x="1234"/>
        <item x="1080"/>
        <item x="978"/>
        <item x="481"/>
        <item x="239"/>
        <item x="1351"/>
        <item x="895"/>
        <item x="575"/>
        <item x="993"/>
        <item x="362"/>
        <item x="1043"/>
        <item x="489"/>
        <item x="1021"/>
        <item x="80"/>
        <item x="434"/>
        <item x="232"/>
        <item x="779"/>
        <item x="1191"/>
        <item x="1257"/>
        <item x="898"/>
        <item x="1242"/>
        <item x="160"/>
        <item x="167"/>
        <item x="1662"/>
        <item x="223"/>
        <item x="270"/>
        <item x="1075"/>
        <item x="1169"/>
        <item x="442"/>
        <item x="1638"/>
        <item x="1335"/>
        <item x="883"/>
        <item x="581"/>
        <item x="1348"/>
        <item x="313"/>
        <item x="629"/>
        <item x="1366"/>
        <item x="1487"/>
        <item x="557"/>
        <item x="1233"/>
        <item x="42"/>
        <item x="329"/>
        <item x="408"/>
        <item x="1428"/>
        <item x="1286"/>
        <item x="1376"/>
        <item x="637"/>
        <item x="71"/>
        <item x="1582"/>
        <item x="1362"/>
        <item x="669"/>
        <item x="569"/>
        <item x="1004"/>
        <item x="900"/>
        <item x="811"/>
        <item x="885"/>
        <item x="1096"/>
        <item x="231"/>
        <item x="1059"/>
        <item x="287"/>
        <item x="1297"/>
        <item x="810"/>
        <item x="855"/>
        <item x="380"/>
        <item x="574"/>
        <item x="1426"/>
        <item x="595"/>
        <item x="667"/>
        <item x="1295"/>
        <item x="1338"/>
        <item x="335"/>
        <item x="1273"/>
        <item x="1088"/>
        <item x="78"/>
        <item x="1130"/>
        <item x="1528"/>
        <item x="546"/>
        <item x="1092"/>
        <item x="1316"/>
        <item x="61"/>
        <item x="1646"/>
        <item x="591"/>
        <item x="317"/>
        <item x="293"/>
        <item x="889"/>
        <item x="784"/>
        <item x="541"/>
        <item x="571"/>
        <item x="203"/>
        <item x="523"/>
        <item x="820"/>
        <item x="423"/>
        <item x="1546"/>
        <item x="212"/>
        <item x="201"/>
        <item x="910"/>
        <item x="1488"/>
        <item x="563"/>
        <item x="824"/>
        <item x="1267"/>
        <item x="83"/>
        <item x="122"/>
        <item x="974"/>
        <item x="530"/>
        <item x="1360"/>
        <item x="1128"/>
        <item x="984"/>
        <item x="1298"/>
        <item x="656"/>
        <item x="955"/>
        <item x="1576"/>
        <item x="1012"/>
        <item x="1291"/>
        <item x="168"/>
        <item x="214"/>
        <item x="1221"/>
        <item x="977"/>
        <item x="1217"/>
        <item x="1258"/>
        <item x="1224"/>
        <item x="1550"/>
        <item x="1126"/>
        <item x="199"/>
        <item x="159"/>
        <item x="194"/>
        <item x="1425"/>
        <item x="310"/>
        <item x="721"/>
        <item x="96"/>
        <item x="684"/>
        <item x="116"/>
        <item x="778"/>
        <item x="338"/>
        <item x="411"/>
        <item x="1029"/>
        <item x="221"/>
        <item x="619"/>
        <item x="1556"/>
        <item x="1303"/>
        <item x="474"/>
        <item x="819"/>
        <item x="179"/>
        <item x="131"/>
        <item x="1594"/>
        <item x="1573"/>
        <item x="657"/>
        <item x="1290"/>
        <item x="975"/>
        <item x="1364"/>
        <item x="1084"/>
        <item x="123"/>
        <item x="583"/>
        <item x="298"/>
        <item x="20"/>
        <item x="857"/>
        <item x="414"/>
        <item x="1312"/>
        <item x="1015"/>
        <item x="1664"/>
        <item x="1190"/>
        <item x="1542"/>
        <item x="826"/>
        <item x="405"/>
        <item x="227"/>
        <item x="1129"/>
        <item x="158"/>
        <item x="103"/>
        <item x="611"/>
        <item x="1583"/>
        <item x="1432"/>
        <item x="281"/>
        <item x="398"/>
        <item x="694"/>
        <item x="1352"/>
        <item x="527"/>
        <item x="415"/>
        <item x="913"/>
        <item x="100"/>
        <item x="1555"/>
        <item x="368"/>
        <item x="672"/>
        <item x="5"/>
        <item x="943"/>
        <item x="1516"/>
        <item x="762"/>
        <item x="661"/>
        <item x="344"/>
        <item x="1033"/>
        <item x="536"/>
        <item x="735"/>
        <item x="1418"/>
        <item x="631"/>
        <item x="445"/>
        <item x="908"/>
        <item x="1211"/>
        <item x="1069"/>
        <item x="1032"/>
        <item x="838"/>
        <item x="1192"/>
        <item x="805"/>
        <item x="621"/>
        <item x="624"/>
        <item x="29"/>
        <item x="594"/>
        <item x="514"/>
        <item x="33"/>
        <item x="987"/>
        <item x="651"/>
        <item x="1228"/>
        <item x="146"/>
        <item x="774"/>
        <item x="936"/>
        <item x="582"/>
        <item x="671"/>
        <item x="860"/>
        <item x="1471"/>
        <item x="823"/>
        <item x="361"/>
        <item x="1281"/>
        <item x="202"/>
        <item x="389"/>
        <item x="1304"/>
        <item x="1388"/>
        <item x="63"/>
        <item x="1140"/>
        <item x="1176"/>
        <item x="725"/>
        <item x="90"/>
        <item x="166"/>
        <item x="1453"/>
        <item x="1601"/>
        <item x="353"/>
        <item x="851"/>
        <item x="556"/>
        <item x="1595"/>
        <item x="827"/>
        <item x="273"/>
        <item x="650"/>
        <item x="1503"/>
        <item x="1478"/>
        <item x="920"/>
        <item x="1143"/>
        <item x="628"/>
        <item x="269"/>
        <item x="1074"/>
        <item x="781"/>
        <item x="456"/>
        <item x="66"/>
        <item x="1209"/>
        <item x="959"/>
        <item x="1124"/>
        <item x="1575"/>
        <item x="119"/>
        <item x="1652"/>
        <item x="787"/>
        <item x="1580"/>
        <item x="429"/>
        <item x="2"/>
        <item x="448"/>
        <item x="251"/>
        <item x="3"/>
        <item x="39"/>
        <item x="1551"/>
        <item x="1496"/>
        <item x="580"/>
        <item x="1269"/>
        <item x="1051"/>
        <item x="237"/>
        <item x="1213"/>
        <item x="1585"/>
        <item x="577"/>
        <item x="799"/>
        <item x="50"/>
        <item x="1301"/>
        <item x="101"/>
        <item x="682"/>
        <item x="759"/>
        <item x="1603"/>
        <item x="319"/>
        <item x="623"/>
        <item x="1132"/>
        <item x="729"/>
        <item x="792"/>
        <item x="258"/>
        <item x="1055"/>
        <item x="929"/>
        <item x="1011"/>
        <item x="1512"/>
        <item x="1514"/>
        <item x="177"/>
        <item x="923"/>
        <item x="143"/>
        <item x="939"/>
        <item x="846"/>
        <item x="377"/>
        <item x="67"/>
        <item x="1005"/>
        <item x="909"/>
        <item x="743"/>
        <item x="1170"/>
        <item x="1307"/>
        <item x="1609"/>
        <item x="35"/>
        <item x="953"/>
        <item x="1149"/>
        <item x="1238"/>
        <item x="960"/>
        <item x="1323"/>
        <item x="789"/>
        <item x="1090"/>
        <item x="1318"/>
        <item x="1261"/>
        <item x="1543"/>
        <item x="1218"/>
        <item x="1350"/>
        <item x="465"/>
        <item x="695"/>
        <item x="1203"/>
        <item x="689"/>
        <item x="812"/>
        <item x="433"/>
        <item x="462"/>
        <item x="206"/>
        <item x="1372"/>
        <item x="1100"/>
        <item x="1557"/>
        <item x="400"/>
        <item x="967"/>
        <item x="1133"/>
        <item x="904"/>
        <item x="137"/>
        <item x="463"/>
        <item x="104"/>
        <item x="1040"/>
        <item x="163"/>
        <item x="1604"/>
        <item x="420"/>
        <item x="250"/>
        <item x="1385"/>
        <item x="748"/>
        <item x="995"/>
        <item x="1167"/>
        <item x="301"/>
        <item x="1667"/>
        <item x="280"/>
        <item x="1164"/>
        <item x="803"/>
        <item x="1068"/>
        <item x="294"/>
        <item x="1117"/>
        <item x="562"/>
        <item x="402"/>
        <item x="714"/>
        <item x="169"/>
        <item x="836"/>
        <item x="892"/>
        <item x="832"/>
        <item x="890"/>
        <item x="230"/>
        <item x="40"/>
        <item x="1197"/>
        <item x="1022"/>
        <item x="36"/>
        <item x="403"/>
        <item x="733"/>
        <item x="673"/>
        <item x="1621"/>
        <item x="263"/>
        <item x="210"/>
        <item x="1377"/>
        <item x="598"/>
        <item x="647"/>
        <item x="1374"/>
        <item x="893"/>
        <item x="1402"/>
        <item x="971"/>
        <item x="480"/>
        <item x="370"/>
        <item x="107"/>
        <item x="525"/>
        <item x="181"/>
        <item x="866"/>
        <item x="991"/>
        <item x="453"/>
        <item x="145"/>
        <item x="363"/>
        <item x="305"/>
        <item x="120"/>
        <item x="1430"/>
        <item x="513"/>
        <item x="45"/>
        <item x="499"/>
        <item x="409"/>
        <item x="653"/>
        <item x="1654"/>
        <item x="641"/>
        <item x="1087"/>
        <item x="497"/>
        <item x="1054"/>
        <item x="1622"/>
        <item x="1253"/>
        <item x="717"/>
        <item x="1631"/>
        <item x="1159"/>
        <item x="117"/>
        <item x="1259"/>
        <item x="737"/>
        <item x="1568"/>
        <item x="1533"/>
        <item x="927"/>
        <item x="27"/>
        <item x="1639"/>
        <item x="1578"/>
        <item x="204"/>
        <item x="948"/>
        <item x="1520"/>
        <item x="136"/>
        <item x="4"/>
        <item x="387"/>
        <item x="734"/>
        <item x="140"/>
        <item x="1309"/>
        <item x="24"/>
        <item x="1047"/>
        <item x="113"/>
        <item x="60"/>
        <item x="345"/>
        <item x="97"/>
        <item x="1180"/>
        <item x="942"/>
        <item x="30"/>
        <item x="257"/>
        <item x="532"/>
        <item x="485"/>
        <item x="73"/>
        <item x="1106"/>
        <item x="366"/>
        <item x="549"/>
        <item x="272"/>
        <item x="254"/>
        <item x="416"/>
        <item x="1313"/>
        <item x="1016"/>
        <item x="1412"/>
        <item x="81"/>
        <item x="1393"/>
        <item x="903"/>
        <item x="189"/>
        <item x="1642"/>
        <item x="1002"/>
        <item x="645"/>
        <item x="1410"/>
        <item x="1474"/>
        <item x="238"/>
        <item x="813"/>
        <item x="299"/>
        <item x="369"/>
        <item x="1637"/>
        <item x="1057"/>
        <item x="1168"/>
        <item x="1647"/>
        <item x="802"/>
        <item x="1342"/>
        <item x="1135"/>
        <item x="449"/>
        <item x="1531"/>
        <item x="1484"/>
        <item x="1003"/>
        <item x="545"/>
        <item x="1624"/>
        <item x="1449"/>
        <item x="877"/>
        <item x="506"/>
        <item x="392"/>
        <item x="516"/>
        <item x="118"/>
        <item x="11"/>
        <item x="897"/>
        <item x="244"/>
        <item x="963"/>
        <item x="914"/>
        <item x="1502"/>
        <item x="8"/>
        <item x="1476"/>
        <item x="1222"/>
        <item x="1311"/>
        <item x="1472"/>
        <item x="88"/>
        <item x="718"/>
        <item x="303"/>
        <item x="1493"/>
        <item x="1058"/>
        <item x="1079"/>
        <item x="814"/>
        <item x="1396"/>
        <item x="1082"/>
        <item x="1006"/>
        <item x="1355"/>
        <item x="300"/>
        <item x="1540"/>
        <item x="234"/>
        <item x="161"/>
        <item x="1422"/>
        <item x="156"/>
        <item x="274"/>
        <item x="1617"/>
        <item x="1659"/>
        <item x="9"/>
        <item x="687"/>
        <item x="354"/>
        <item x="494"/>
        <item x="185"/>
        <item x="658"/>
        <item x="472"/>
        <item x="576"/>
        <item x="1315"/>
        <item x="378"/>
        <item x="635"/>
        <item x="126"/>
        <item x="1249"/>
        <item x="771"/>
        <item x="490"/>
        <item x="537"/>
        <item x="801"/>
        <item x="12"/>
        <item x="736"/>
        <item x="848"/>
        <item x="1324"/>
        <item x="259"/>
        <item x="660"/>
        <item x="421"/>
        <item x="1319"/>
        <item x="614"/>
        <item x="173"/>
        <item x="509"/>
        <item x="245"/>
        <item x="1564"/>
        <item x="292"/>
        <item x="1442"/>
        <item x="634"/>
        <item x="135"/>
        <item x="351"/>
        <item x="613"/>
        <item x="1325"/>
        <item x="688"/>
        <item x="108"/>
        <item x="928"/>
        <item x="1515"/>
        <item x="243"/>
        <item x="767"/>
        <item x="476"/>
        <item x="724"/>
        <item x="567"/>
        <item x="228"/>
        <item x="491"/>
        <item x="1400"/>
        <item x="384"/>
        <item x="1549"/>
        <item x="746"/>
        <item x="750"/>
        <item x="1433"/>
        <item x="375"/>
        <item x="1636"/>
        <item x="1185"/>
        <item x="618"/>
        <item x="1354"/>
        <item x="1065"/>
        <item x="215"/>
        <item x="544"/>
        <item x="466"/>
        <item x="164"/>
        <item x="677"/>
        <item x="451"/>
        <item x="622"/>
        <item x="324"/>
        <item x="1183"/>
        <item x="853"/>
        <item x="1146"/>
        <item x="55"/>
        <item x="1279"/>
        <item x="916"/>
        <item x="785"/>
        <item x="1110"/>
        <item x="1050"/>
        <item x="902"/>
        <item x="1337"/>
        <item x="346"/>
        <item x="678"/>
        <item x="1154"/>
        <item x="1562"/>
        <item x="596"/>
        <item x="668"/>
        <item x="1656"/>
        <item x="278"/>
        <item x="1616"/>
        <item x="970"/>
        <item x="985"/>
        <item x="34"/>
        <item x="1131"/>
        <item x="933"/>
        <item x="649"/>
        <item x="460"/>
        <item x="604"/>
        <item x="174"/>
        <item x="526"/>
        <item x="875"/>
        <item x="665"/>
        <item x="1570"/>
        <item x="501"/>
        <item x="1344"/>
        <item x="151"/>
        <item x="1485"/>
        <item x="710"/>
        <item x="235"/>
        <item x="644"/>
        <item x="1120"/>
        <item x="22"/>
        <item x="452"/>
        <item x="439"/>
        <item x="1212"/>
        <item x="1095"/>
        <item x="1454"/>
        <item x="683"/>
        <item x="1151"/>
        <item x="1581"/>
        <item x="1456"/>
        <item x="940"/>
        <item x="1592"/>
        <item x="524"/>
        <item x="1287"/>
        <item x="68"/>
        <item x="1035"/>
        <item x="488"/>
        <item x="1077"/>
        <item x="399"/>
        <item x="1644"/>
        <item x="1411"/>
        <item x="1340"/>
        <item x="427"/>
        <item x="1020"/>
        <item x="1368"/>
        <item x="219"/>
        <item x="751"/>
        <item x="1417"/>
        <item x="450"/>
        <item x="1036"/>
        <item x="1596"/>
        <item x="1108"/>
        <item x="643"/>
        <item x="627"/>
        <item x="870"/>
        <item x="1591"/>
        <item x="775"/>
        <item x="766"/>
        <item x="428"/>
        <item x="755"/>
        <item x="758"/>
        <item x="69"/>
        <item x="915"/>
        <item x="1264"/>
        <item x="539"/>
        <item x="79"/>
        <item x="990"/>
        <item x="1470"/>
        <item x="304"/>
        <item x="267"/>
        <item x="511"/>
        <item x="882"/>
        <item x="407"/>
        <item x="1025"/>
        <item x="1633"/>
        <item x="295"/>
        <item x="1387"/>
        <item x="252"/>
        <item x="843"/>
        <item x="584"/>
        <item x="988"/>
        <item x="1658"/>
        <item x="1414"/>
        <item x="1648"/>
        <item x="86"/>
        <item x="285"/>
        <item x="1527"/>
        <item x="1023"/>
        <item x="1657"/>
        <item x="130"/>
        <item x="356"/>
        <item x="648"/>
        <item x="382"/>
        <item x="289"/>
        <item x="925"/>
        <item x="1353"/>
        <item x="1333"/>
        <item x="1145"/>
        <item x="175"/>
        <item x="1438"/>
        <item x="1174"/>
        <item x="861"/>
        <item x="1447"/>
        <item x="1103"/>
        <item x="1202"/>
        <item x="148"/>
        <item x="1517"/>
        <item x="193"/>
        <item x="1243"/>
        <item x="561"/>
        <item x="1405"/>
        <item x="1162"/>
        <item x="109"/>
        <item x="919"/>
        <item x="508"/>
        <item x="475"/>
        <item x="505"/>
        <item x="553"/>
        <item x="1073"/>
        <item x="519"/>
        <item x="128"/>
        <item x="318"/>
        <item x="1172"/>
        <item x="1406"/>
        <item x="1018"/>
        <item x="1552"/>
        <item x="1184"/>
        <item x="675"/>
        <item x="690"/>
        <item x="1219"/>
        <item x="99"/>
        <item x="547"/>
        <item x="1602"/>
        <item x="477"/>
        <item x="1505"/>
        <item x="328"/>
        <item x="745"/>
        <item x="797"/>
        <item x="1457"/>
        <item x="1443"/>
        <item x="1481"/>
        <item x="438"/>
        <item x="1327"/>
        <item x="1605"/>
        <item x="1300"/>
        <item x="1266"/>
        <item x="879"/>
        <item x="1270"/>
        <item x="674"/>
        <item x="842"/>
        <item x="1248"/>
        <item x="296"/>
        <item x="1413"/>
        <item x="572"/>
        <item x="1028"/>
        <item x="471"/>
        <item x="484"/>
        <item x="1495"/>
        <item x="1663"/>
        <item x="691"/>
        <item x="209"/>
        <item x="612"/>
        <item x="620"/>
        <item x="790"/>
        <item x="632"/>
        <item x="38"/>
        <item x="233"/>
        <item x="1526"/>
        <item x="1386"/>
        <item x="935"/>
        <item x="1226"/>
        <item x="1262"/>
        <item x="701"/>
        <item x="1245"/>
        <item x="1007"/>
        <item x="859"/>
        <item x="418"/>
        <item x="1053"/>
        <item x="1278"/>
        <item x="727"/>
        <item x="1239"/>
        <item x="357"/>
        <item x="1584"/>
        <item x="702"/>
        <item x="459"/>
        <item x="1330"/>
        <item x="1423"/>
        <item x="1345"/>
        <item x="217"/>
        <item x="1521"/>
        <item x="432"/>
        <item x="1251"/>
        <item x="59"/>
        <item x="225"/>
        <item x="1031"/>
        <item x="1490"/>
        <item x="1271"/>
        <item x="1179"/>
        <item x="962"/>
        <item x="1064"/>
        <item x="997"/>
        <item x="444"/>
        <item x="800"/>
        <item x="98"/>
        <item x="817"/>
        <item x="404"/>
        <item x="186"/>
        <item x="788"/>
        <item x="1632"/>
        <item x="1010"/>
        <item x="834"/>
        <item x="1607"/>
        <item x="1431"/>
        <item x="308"/>
        <item x="111"/>
        <item x="1127"/>
        <item x="1199"/>
        <item x="114"/>
        <item x="54"/>
        <item x="1500"/>
        <item x="127"/>
        <item x="342"/>
        <item x="773"/>
        <item x="473"/>
        <item x="41"/>
        <item x="401"/>
        <item x="470"/>
        <item x="1123"/>
        <item x="65"/>
        <item x="1230"/>
        <item x="891"/>
        <item x="1574"/>
        <item x="1434"/>
        <item x="1210"/>
        <item x="1125"/>
        <item x="867"/>
        <item x="1165"/>
        <item x="1483"/>
        <item x="722"/>
        <item x="372"/>
        <item x="1299"/>
        <item x="958"/>
        <item x="1093"/>
        <item x="606"/>
        <item x="1589"/>
        <item x="1365"/>
        <item x="249"/>
        <item x="1611"/>
        <item x="1276"/>
        <item x="1030"/>
        <item x="1163"/>
        <item x="535"/>
        <item x="331"/>
        <item x="496"/>
        <item x="931"/>
        <item x="1160"/>
        <item x="1586"/>
        <item x="1373"/>
        <item x="1361"/>
        <item x="417"/>
        <item x="844"/>
        <item x="905"/>
        <item x="1499"/>
        <item x="1519"/>
        <item x="1142"/>
        <item x="998"/>
        <item x="183"/>
        <item x="1089"/>
        <item x="390"/>
        <item x="1630"/>
        <item x="534"/>
        <item x="0"/>
        <item x="1134"/>
        <item x="184"/>
        <item x="626"/>
        <item x="999"/>
        <item x="1577"/>
        <item x="502"/>
        <item x="1424"/>
        <item x="102"/>
        <item x="94"/>
        <item x="564"/>
        <item x="454"/>
        <item x="1098"/>
        <item x="1435"/>
        <item x="1241"/>
        <item x="1452"/>
        <item x="652"/>
        <item x="1547"/>
        <item x="424"/>
        <item x="110"/>
        <item x="435"/>
        <item x="6"/>
        <item x="1537"/>
        <item x="1137"/>
        <item x="1113"/>
        <item x="105"/>
        <item x="726"/>
        <item x="1280"/>
        <item x="886"/>
        <item x="322"/>
        <item x="188"/>
        <item x="52"/>
        <item x="1112"/>
        <item x="141"/>
        <item x="1548"/>
        <item x="483"/>
        <item x="498"/>
        <item x="1346"/>
        <item x="1118"/>
        <item x="343"/>
        <item x="615"/>
        <item x="1229"/>
        <item x="1640"/>
        <item x="507"/>
        <item x="765"/>
        <item x="1369"/>
        <item x="1532"/>
        <item x="256"/>
        <item x="570"/>
        <item x="715"/>
        <item x="196"/>
        <item x="1507"/>
        <item x="1317"/>
        <item x="150"/>
        <item x="316"/>
        <item x="43"/>
        <item x="1558"/>
        <item x="976"/>
        <item x="1343"/>
        <item x="712"/>
        <item x="983"/>
        <item x="1247"/>
        <item x="1038"/>
        <item x="1188"/>
        <item x="1041"/>
        <item x="1367"/>
        <item x="327"/>
        <item x="1320"/>
        <item x="1566"/>
        <item x="1530"/>
        <item x="394"/>
        <item x="330"/>
        <item x="698"/>
        <item x="1101"/>
        <item x="261"/>
        <item x="1643"/>
        <item x="1569"/>
        <item x="1148"/>
        <item x="703"/>
        <item x="26"/>
        <item x="1178"/>
        <item x="742"/>
        <item x="592"/>
        <item x="1254"/>
        <item x="1284"/>
        <item x="218"/>
        <item x="1620"/>
        <item x="1066"/>
        <item x="1628"/>
        <item x="321"/>
        <item x="1347"/>
        <item x="663"/>
        <item x="1429"/>
        <item x="1613"/>
        <item x="578"/>
        <item x="1105"/>
        <item x="260"/>
        <item x="1027"/>
        <item x="25"/>
        <item x="555"/>
        <item x="115"/>
        <item x="739"/>
        <item x="397"/>
        <item x="1394"/>
        <item x="302"/>
        <item x="1274"/>
        <item x="1380"/>
        <item x="608"/>
        <item x="495"/>
        <item x="1181"/>
        <item x="236"/>
        <item x="1204"/>
        <item x="1177"/>
        <item x="1404"/>
        <item x="1458"/>
        <item x="1000"/>
        <item x="1189"/>
        <item x="1588"/>
        <item x="1522"/>
        <item x="1459"/>
        <item x="1220"/>
        <item x="912"/>
        <item x="1378"/>
        <item x="288"/>
        <item x="966"/>
        <item x="636"/>
        <item x="1536"/>
        <item x="782"/>
        <item x="1529"/>
        <item x="192"/>
        <item x="706"/>
        <item x="222"/>
        <item x="876"/>
        <item x="1156"/>
        <item x="15"/>
        <item x="333"/>
        <item x="747"/>
        <item x="956"/>
        <item x="347"/>
        <item x="262"/>
        <item x="271"/>
        <item x="1450"/>
        <item x="1153"/>
        <item x="205"/>
        <item x="341"/>
        <item x="716"/>
        <item x="603"/>
        <item x="980"/>
        <item x="1121"/>
        <item x="807"/>
        <item x="899"/>
        <item x="520"/>
        <item x="314"/>
        <item x="918"/>
        <item x="979"/>
        <item x="1349"/>
        <item x="1479"/>
        <item x="796"/>
        <item x="950"/>
        <item x="1187"/>
        <item x="1014"/>
        <item x="551"/>
        <item x="1061"/>
        <item x="1665"/>
        <item x="1501"/>
        <item x="1559"/>
        <item x="1009"/>
        <item x="947"/>
        <item x="1437"/>
        <item x="850"/>
        <item x="1489"/>
        <item x="1513"/>
        <item x="1403"/>
        <item x="1597"/>
        <item x="1469"/>
        <item x="503"/>
        <item x="229"/>
        <item x="385"/>
        <item x="1237"/>
        <item x="1208"/>
        <item x="391"/>
        <item x="1475"/>
        <item x="1215"/>
        <item x="74"/>
        <item x="996"/>
        <item x="1518"/>
        <item x="48"/>
        <item x="265"/>
        <item x="1482"/>
        <item x="1085"/>
        <item x="443"/>
        <item x="1545"/>
        <item x="1606"/>
        <item x="1600"/>
        <item x="1157"/>
        <item x="1468"/>
        <item x="255"/>
        <item x="865"/>
        <item x="144"/>
        <item x="761"/>
        <item x="62"/>
        <item x="1302"/>
        <item x="1446"/>
        <item x="1525"/>
        <item x="1083"/>
        <item x="1147"/>
        <item x="1370"/>
        <item x="597"/>
        <item x="1166"/>
        <item x="769"/>
        <item x="1175"/>
        <item x="821"/>
        <item x="763"/>
        <item x="1236"/>
        <item x="56"/>
        <item x="791"/>
        <item x="625"/>
        <item x="749"/>
        <item x="768"/>
        <item x="1599"/>
        <item x="106"/>
        <item x="1341"/>
        <item x="31"/>
        <item x="1252"/>
        <item x="1182"/>
        <item x="1091"/>
        <item x="1554"/>
        <item x="654"/>
        <item x="1292"/>
        <item x="1039"/>
        <item x="697"/>
        <item x="752"/>
        <item x="121"/>
        <item x="149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iomarker_IL6_pg_ml" fld="4" subtotal="average" baseField="3" baseItem="0"/>
    <dataField name="StdDev of Biomarker_IL6_pg_ml" fld="4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84CD0-F577-414F-8B85-5A8DD93810B0}" name="PivotTable15" cacheId="1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0">
  <location ref="K1:L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7"/>
  </rowFields>
  <rowItems count="4">
    <i>
      <x v="3"/>
    </i>
    <i>
      <x/>
    </i>
    <i>
      <x v="2"/>
    </i>
    <i>
      <x v="1"/>
    </i>
  </rowItems>
  <colItems count="1">
    <i/>
  </colItems>
  <dataFields count="1">
    <dataField name="Count of Relapse" fld="11" subtotal="count" showDataAs="percentOfCol" baseField="7" baseItem="0" numFmtId="10"/>
  </dataField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82EE1-1EAD-4045-B2F5-DB432BACBD5D}" name="PivotTable1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1:G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Treatment_Response" fld="8" subtotal="count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1"/>
  <sheetViews>
    <sheetView workbookViewId="0">
      <selection activeCell="A2" sqref="A2"/>
    </sheetView>
  </sheetViews>
  <sheetFormatPr defaultRowHeight="15" x14ac:dyDescent="0.25"/>
  <cols>
    <col min="4" max="4" width="15" bestFit="1" customWidth="1"/>
    <col min="5" max="5" width="20.28515625" bestFit="1" customWidth="1"/>
    <col min="6" max="6" width="27.42578125" bestFit="1" customWidth="1"/>
    <col min="9" max="9" width="20.140625" bestFit="1" customWidth="1"/>
  </cols>
  <sheetData>
    <row r="1" spans="1:13" s="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/>
    </row>
    <row r="2" spans="1:13" x14ac:dyDescent="0.25">
      <c r="A2">
        <v>1</v>
      </c>
      <c r="B2">
        <v>56</v>
      </c>
      <c r="C2" t="s">
        <v>12</v>
      </c>
      <c r="D2" t="s">
        <v>14</v>
      </c>
      <c r="E2">
        <v>35.28</v>
      </c>
      <c r="F2">
        <v>6.27</v>
      </c>
      <c r="G2">
        <v>1.1200000000000001</v>
      </c>
      <c r="H2" t="s">
        <v>18</v>
      </c>
      <c r="I2" t="s">
        <v>22</v>
      </c>
      <c r="J2" t="s">
        <v>25</v>
      </c>
      <c r="K2">
        <v>3</v>
      </c>
      <c r="L2" t="s">
        <v>29</v>
      </c>
    </row>
    <row r="3" spans="1:13" x14ac:dyDescent="0.25">
      <c r="A3">
        <v>2</v>
      </c>
      <c r="B3">
        <v>69</v>
      </c>
      <c r="C3" t="s">
        <v>13</v>
      </c>
      <c r="D3" t="s">
        <v>15</v>
      </c>
      <c r="E3">
        <v>10.95</v>
      </c>
      <c r="F3">
        <v>7.77</v>
      </c>
      <c r="G3">
        <v>10.77</v>
      </c>
      <c r="H3" t="s">
        <v>19</v>
      </c>
      <c r="I3" t="s">
        <v>23</v>
      </c>
      <c r="J3" t="s">
        <v>26</v>
      </c>
      <c r="K3">
        <v>7</v>
      </c>
      <c r="L3" t="s">
        <v>29</v>
      </c>
    </row>
    <row r="4" spans="1:13" x14ac:dyDescent="0.25">
      <c r="A4">
        <v>3</v>
      </c>
      <c r="B4">
        <v>46</v>
      </c>
      <c r="C4" t="s">
        <v>13</v>
      </c>
      <c r="D4" t="s">
        <v>15</v>
      </c>
      <c r="E4">
        <v>17.87</v>
      </c>
      <c r="F4">
        <v>22.86</v>
      </c>
      <c r="G4">
        <v>5.64</v>
      </c>
      <c r="H4" t="s">
        <v>19</v>
      </c>
      <c r="I4" t="s">
        <v>23</v>
      </c>
      <c r="J4" t="s">
        <v>26</v>
      </c>
      <c r="K4">
        <v>32</v>
      </c>
      <c r="L4" t="s">
        <v>29</v>
      </c>
    </row>
    <row r="5" spans="1:13" x14ac:dyDescent="0.25">
      <c r="A5">
        <v>4</v>
      </c>
      <c r="B5">
        <v>32</v>
      </c>
      <c r="C5" t="s">
        <v>12</v>
      </c>
      <c r="D5" t="s">
        <v>15</v>
      </c>
      <c r="E5">
        <v>17.940000000000001</v>
      </c>
      <c r="F5">
        <v>14.01</v>
      </c>
      <c r="G5">
        <v>13.81</v>
      </c>
      <c r="H5" t="s">
        <v>20</v>
      </c>
      <c r="I5" t="s">
        <v>24</v>
      </c>
      <c r="J5" t="s">
        <v>27</v>
      </c>
      <c r="K5">
        <v>13</v>
      </c>
      <c r="L5" t="s">
        <v>29</v>
      </c>
    </row>
    <row r="6" spans="1:13" x14ac:dyDescent="0.25">
      <c r="A6">
        <v>5</v>
      </c>
      <c r="B6">
        <v>60</v>
      </c>
      <c r="C6" t="s">
        <v>13</v>
      </c>
      <c r="D6" t="s">
        <v>16</v>
      </c>
      <c r="E6">
        <v>21.42</v>
      </c>
      <c r="F6">
        <v>8.09</v>
      </c>
      <c r="G6">
        <v>5.87</v>
      </c>
      <c r="H6" t="s">
        <v>18</v>
      </c>
      <c r="I6" t="s">
        <v>24</v>
      </c>
      <c r="J6" t="s">
        <v>25</v>
      </c>
      <c r="K6">
        <v>30</v>
      </c>
      <c r="L6" t="s">
        <v>29</v>
      </c>
    </row>
    <row r="7" spans="1:13" x14ac:dyDescent="0.25">
      <c r="A7">
        <v>6</v>
      </c>
      <c r="B7">
        <v>25</v>
      </c>
      <c r="C7" t="s">
        <v>13</v>
      </c>
      <c r="D7" t="s">
        <v>15</v>
      </c>
      <c r="E7">
        <v>16.62</v>
      </c>
      <c r="F7">
        <v>5.12</v>
      </c>
      <c r="G7">
        <v>4.8</v>
      </c>
      <c r="H7" t="s">
        <v>20</v>
      </c>
      <c r="I7" t="s">
        <v>22</v>
      </c>
      <c r="J7" t="s">
        <v>26</v>
      </c>
      <c r="K7">
        <v>19</v>
      </c>
      <c r="L7" t="s">
        <v>29</v>
      </c>
    </row>
    <row r="8" spans="1:13" x14ac:dyDescent="0.25">
      <c r="A8">
        <v>7</v>
      </c>
      <c r="B8">
        <v>78</v>
      </c>
      <c r="C8" t="s">
        <v>12</v>
      </c>
      <c r="D8" t="s">
        <v>17</v>
      </c>
      <c r="E8">
        <v>36.049999999999997</v>
      </c>
      <c r="F8">
        <v>3.83</v>
      </c>
      <c r="G8">
        <v>13.25</v>
      </c>
      <c r="H8" t="s">
        <v>19</v>
      </c>
      <c r="I8" t="s">
        <v>23</v>
      </c>
      <c r="J8" t="s">
        <v>26</v>
      </c>
      <c r="K8">
        <v>25</v>
      </c>
      <c r="L8" t="s">
        <v>29</v>
      </c>
    </row>
    <row r="9" spans="1:13" x14ac:dyDescent="0.25">
      <c r="A9">
        <v>8</v>
      </c>
      <c r="B9">
        <v>38</v>
      </c>
      <c r="C9" t="s">
        <v>12</v>
      </c>
      <c r="D9" t="s">
        <v>14</v>
      </c>
      <c r="E9">
        <v>8.92</v>
      </c>
      <c r="F9">
        <v>6.6</v>
      </c>
      <c r="G9">
        <v>33.6</v>
      </c>
      <c r="H9" t="s">
        <v>18</v>
      </c>
      <c r="I9" t="s">
        <v>23</v>
      </c>
      <c r="J9" t="s">
        <v>26</v>
      </c>
      <c r="K9">
        <v>20</v>
      </c>
      <c r="L9" t="s">
        <v>30</v>
      </c>
    </row>
    <row r="10" spans="1:13" x14ac:dyDescent="0.25">
      <c r="A10">
        <v>9</v>
      </c>
      <c r="B10">
        <v>56</v>
      </c>
      <c r="C10" t="s">
        <v>13</v>
      </c>
      <c r="D10" t="s">
        <v>14</v>
      </c>
      <c r="E10">
        <v>22.97</v>
      </c>
      <c r="F10">
        <v>8.67</v>
      </c>
      <c r="G10">
        <v>21.07</v>
      </c>
      <c r="H10" t="s">
        <v>19</v>
      </c>
      <c r="I10" t="s">
        <v>23</v>
      </c>
      <c r="J10" t="s">
        <v>27</v>
      </c>
      <c r="K10">
        <v>29</v>
      </c>
      <c r="L10" t="s">
        <v>30</v>
      </c>
    </row>
    <row r="11" spans="1:13" x14ac:dyDescent="0.25">
      <c r="A11">
        <v>10</v>
      </c>
      <c r="B11">
        <v>75</v>
      </c>
      <c r="C11" t="s">
        <v>12</v>
      </c>
      <c r="D11" t="s">
        <v>17</v>
      </c>
      <c r="E11">
        <v>23.56</v>
      </c>
      <c r="F11">
        <v>30.21</v>
      </c>
      <c r="G11">
        <v>13.4</v>
      </c>
      <c r="H11" t="s">
        <v>20</v>
      </c>
      <c r="I11" t="s">
        <v>22</v>
      </c>
      <c r="J11" t="s">
        <v>26</v>
      </c>
      <c r="K11">
        <v>27</v>
      </c>
      <c r="L11" t="s">
        <v>30</v>
      </c>
    </row>
    <row r="12" spans="1:13" x14ac:dyDescent="0.25">
      <c r="A12">
        <v>11</v>
      </c>
      <c r="B12">
        <v>36</v>
      </c>
      <c r="C12" t="s">
        <v>13</v>
      </c>
      <c r="D12" t="s">
        <v>15</v>
      </c>
      <c r="E12">
        <v>9.5500000000000007</v>
      </c>
      <c r="F12">
        <v>10.97</v>
      </c>
      <c r="G12">
        <v>19.71</v>
      </c>
      <c r="H12" t="s">
        <v>20</v>
      </c>
      <c r="I12" t="s">
        <v>23</v>
      </c>
      <c r="J12" t="s">
        <v>25</v>
      </c>
      <c r="K12">
        <v>7</v>
      </c>
      <c r="L12" t="s">
        <v>29</v>
      </c>
    </row>
    <row r="13" spans="1:13" x14ac:dyDescent="0.25">
      <c r="A13">
        <v>12</v>
      </c>
      <c r="B13">
        <v>40</v>
      </c>
      <c r="C13" t="s">
        <v>13</v>
      </c>
      <c r="D13" t="s">
        <v>14</v>
      </c>
      <c r="E13">
        <v>22.83</v>
      </c>
      <c r="F13">
        <v>5.67</v>
      </c>
      <c r="G13">
        <v>12.45</v>
      </c>
      <c r="H13" t="s">
        <v>20</v>
      </c>
      <c r="I13" t="s">
        <v>24</v>
      </c>
      <c r="J13" t="s">
        <v>25</v>
      </c>
      <c r="K13">
        <v>21</v>
      </c>
      <c r="L13" t="s">
        <v>30</v>
      </c>
    </row>
    <row r="14" spans="1:13" x14ac:dyDescent="0.25">
      <c r="A14">
        <v>13</v>
      </c>
      <c r="B14">
        <v>28</v>
      </c>
      <c r="C14" t="s">
        <v>13</v>
      </c>
      <c r="D14" t="s">
        <v>17</v>
      </c>
      <c r="E14">
        <v>23.95</v>
      </c>
      <c r="F14">
        <v>0.75</v>
      </c>
      <c r="G14">
        <v>0.97</v>
      </c>
      <c r="H14" t="s">
        <v>20</v>
      </c>
      <c r="I14" t="s">
        <v>24</v>
      </c>
      <c r="J14" t="s">
        <v>28</v>
      </c>
      <c r="K14">
        <v>29</v>
      </c>
      <c r="L14" t="s">
        <v>30</v>
      </c>
    </row>
    <row r="15" spans="1:13" x14ac:dyDescent="0.25">
      <c r="A15">
        <v>14</v>
      </c>
      <c r="B15">
        <v>28</v>
      </c>
      <c r="C15" t="s">
        <v>13</v>
      </c>
      <c r="D15" t="s">
        <v>15</v>
      </c>
      <c r="E15">
        <v>1.43</v>
      </c>
      <c r="F15">
        <v>4.99</v>
      </c>
      <c r="G15">
        <v>15.11</v>
      </c>
      <c r="H15" t="s">
        <v>20</v>
      </c>
      <c r="I15" t="s">
        <v>23</v>
      </c>
      <c r="J15" t="s">
        <v>27</v>
      </c>
      <c r="K15">
        <v>15</v>
      </c>
      <c r="L15" t="s">
        <v>30</v>
      </c>
    </row>
    <row r="16" spans="1:13" x14ac:dyDescent="0.25">
      <c r="A16">
        <v>15</v>
      </c>
      <c r="B16">
        <v>41</v>
      </c>
      <c r="C16" t="s">
        <v>12</v>
      </c>
      <c r="D16" t="s">
        <v>15</v>
      </c>
      <c r="E16">
        <v>8.27</v>
      </c>
      <c r="F16">
        <v>6.61</v>
      </c>
      <c r="G16">
        <v>13.09</v>
      </c>
      <c r="H16" t="s">
        <v>21</v>
      </c>
      <c r="I16" t="s">
        <v>22</v>
      </c>
      <c r="J16" t="s">
        <v>26</v>
      </c>
      <c r="K16">
        <v>9</v>
      </c>
      <c r="L16" t="s">
        <v>29</v>
      </c>
    </row>
    <row r="17" spans="1:12" x14ac:dyDescent="0.25">
      <c r="A17">
        <v>16</v>
      </c>
      <c r="B17">
        <v>70</v>
      </c>
      <c r="C17" t="s">
        <v>12</v>
      </c>
      <c r="D17" t="s">
        <v>14</v>
      </c>
      <c r="E17">
        <v>44.47</v>
      </c>
      <c r="F17">
        <v>11.78</v>
      </c>
      <c r="G17">
        <v>17.18</v>
      </c>
      <c r="H17" t="s">
        <v>20</v>
      </c>
      <c r="I17" t="s">
        <v>22</v>
      </c>
      <c r="J17" t="s">
        <v>25</v>
      </c>
      <c r="K17">
        <v>28</v>
      </c>
      <c r="L17" t="s">
        <v>29</v>
      </c>
    </row>
    <row r="18" spans="1:12" x14ac:dyDescent="0.25">
      <c r="A18">
        <v>17</v>
      </c>
      <c r="B18">
        <v>53</v>
      </c>
      <c r="C18" t="s">
        <v>12</v>
      </c>
      <c r="D18" t="s">
        <v>16</v>
      </c>
      <c r="E18">
        <v>11.35</v>
      </c>
      <c r="F18">
        <v>6.81</v>
      </c>
      <c r="G18">
        <v>5.61</v>
      </c>
      <c r="H18" t="s">
        <v>20</v>
      </c>
      <c r="I18" t="s">
        <v>24</v>
      </c>
      <c r="J18" t="s">
        <v>25</v>
      </c>
      <c r="K18">
        <v>16</v>
      </c>
      <c r="L18" t="s">
        <v>30</v>
      </c>
    </row>
    <row r="19" spans="1:12" x14ac:dyDescent="0.25">
      <c r="A19">
        <v>18</v>
      </c>
      <c r="B19">
        <v>57</v>
      </c>
      <c r="C19" t="s">
        <v>12</v>
      </c>
      <c r="D19" t="s">
        <v>14</v>
      </c>
      <c r="E19">
        <v>6.86</v>
      </c>
      <c r="F19">
        <v>31.14</v>
      </c>
      <c r="G19">
        <v>18.940000000000001</v>
      </c>
      <c r="H19" t="s">
        <v>19</v>
      </c>
      <c r="I19" t="s">
        <v>24</v>
      </c>
      <c r="J19" t="s">
        <v>25</v>
      </c>
      <c r="K19">
        <v>29</v>
      </c>
      <c r="L19" t="s">
        <v>29</v>
      </c>
    </row>
    <row r="20" spans="1:12" x14ac:dyDescent="0.25">
      <c r="A20">
        <v>19</v>
      </c>
      <c r="B20">
        <v>41</v>
      </c>
      <c r="C20" t="s">
        <v>13</v>
      </c>
      <c r="D20" t="s">
        <v>14</v>
      </c>
      <c r="E20">
        <v>3.47</v>
      </c>
      <c r="F20">
        <v>8.1999999999999993</v>
      </c>
      <c r="G20">
        <v>3.45</v>
      </c>
      <c r="H20" t="s">
        <v>20</v>
      </c>
      <c r="I20" t="s">
        <v>23</v>
      </c>
      <c r="J20" t="s">
        <v>27</v>
      </c>
      <c r="K20">
        <v>10</v>
      </c>
      <c r="L20" t="s">
        <v>30</v>
      </c>
    </row>
    <row r="21" spans="1:12" x14ac:dyDescent="0.25">
      <c r="A21">
        <v>20</v>
      </c>
      <c r="B21">
        <v>20</v>
      </c>
      <c r="C21" t="s">
        <v>13</v>
      </c>
      <c r="D21" t="s">
        <v>17</v>
      </c>
      <c r="E21">
        <v>7.67</v>
      </c>
      <c r="F21">
        <v>19.739999999999998</v>
      </c>
      <c r="G21">
        <v>10.220000000000001</v>
      </c>
      <c r="H21" t="s">
        <v>18</v>
      </c>
      <c r="I21" t="s">
        <v>23</v>
      </c>
      <c r="J21" t="s">
        <v>27</v>
      </c>
      <c r="K21">
        <v>33</v>
      </c>
      <c r="L21" t="s">
        <v>29</v>
      </c>
    </row>
    <row r="22" spans="1:12" x14ac:dyDescent="0.25">
      <c r="A22">
        <v>21</v>
      </c>
      <c r="B22">
        <v>39</v>
      </c>
      <c r="C22" t="s">
        <v>12</v>
      </c>
      <c r="D22" t="s">
        <v>17</v>
      </c>
      <c r="E22">
        <v>16.14</v>
      </c>
      <c r="F22">
        <v>2.06</v>
      </c>
      <c r="G22">
        <v>9.11</v>
      </c>
      <c r="H22" t="s">
        <v>20</v>
      </c>
      <c r="I22" t="s">
        <v>22</v>
      </c>
      <c r="J22" t="s">
        <v>26</v>
      </c>
      <c r="K22">
        <v>29</v>
      </c>
      <c r="L22" t="s">
        <v>29</v>
      </c>
    </row>
    <row r="23" spans="1:12" x14ac:dyDescent="0.25">
      <c r="A23">
        <v>22</v>
      </c>
      <c r="B23">
        <v>70</v>
      </c>
      <c r="C23" t="s">
        <v>13</v>
      </c>
      <c r="D23" t="s">
        <v>17</v>
      </c>
      <c r="E23">
        <v>6.45</v>
      </c>
      <c r="F23">
        <v>9.44</v>
      </c>
      <c r="G23">
        <v>0.59</v>
      </c>
      <c r="H23" t="s">
        <v>21</v>
      </c>
      <c r="I23" t="s">
        <v>22</v>
      </c>
      <c r="J23" t="s">
        <v>26</v>
      </c>
      <c r="K23">
        <v>6</v>
      </c>
      <c r="L23" t="s">
        <v>29</v>
      </c>
    </row>
    <row r="24" spans="1:12" x14ac:dyDescent="0.25">
      <c r="A24">
        <v>23</v>
      </c>
      <c r="B24">
        <v>19</v>
      </c>
      <c r="C24" t="s">
        <v>13</v>
      </c>
      <c r="D24" t="s">
        <v>15</v>
      </c>
      <c r="E24">
        <v>26.62</v>
      </c>
      <c r="F24">
        <v>5.04</v>
      </c>
      <c r="G24">
        <v>6.13</v>
      </c>
      <c r="H24" t="s">
        <v>20</v>
      </c>
      <c r="I24" t="s">
        <v>23</v>
      </c>
      <c r="J24" t="s">
        <v>25</v>
      </c>
      <c r="K24">
        <v>6</v>
      </c>
      <c r="L24" t="s">
        <v>29</v>
      </c>
    </row>
    <row r="25" spans="1:12" x14ac:dyDescent="0.25">
      <c r="A25">
        <v>24</v>
      </c>
      <c r="B25">
        <v>41</v>
      </c>
      <c r="C25" t="s">
        <v>13</v>
      </c>
      <c r="D25" t="s">
        <v>17</v>
      </c>
      <c r="E25">
        <v>9.42</v>
      </c>
      <c r="F25">
        <v>20.11</v>
      </c>
      <c r="G25">
        <v>12.97</v>
      </c>
      <c r="H25" t="s">
        <v>19</v>
      </c>
      <c r="I25" t="s">
        <v>22</v>
      </c>
      <c r="J25" t="s">
        <v>26</v>
      </c>
      <c r="K25">
        <v>20</v>
      </c>
      <c r="L25" t="s">
        <v>29</v>
      </c>
    </row>
    <row r="26" spans="1:12" x14ac:dyDescent="0.25">
      <c r="A26">
        <v>25</v>
      </c>
      <c r="B26">
        <v>61</v>
      </c>
      <c r="C26" t="s">
        <v>12</v>
      </c>
      <c r="D26" t="s">
        <v>16</v>
      </c>
      <c r="E26">
        <v>21.53</v>
      </c>
      <c r="F26">
        <v>7.19</v>
      </c>
      <c r="G26">
        <v>6.26</v>
      </c>
      <c r="H26" t="s">
        <v>18</v>
      </c>
      <c r="I26" t="s">
        <v>22</v>
      </c>
      <c r="J26" t="s">
        <v>26</v>
      </c>
      <c r="K26">
        <v>25</v>
      </c>
      <c r="L26" t="s">
        <v>29</v>
      </c>
    </row>
    <row r="27" spans="1:12" x14ac:dyDescent="0.25">
      <c r="A27">
        <v>26</v>
      </c>
      <c r="B27">
        <v>47</v>
      </c>
      <c r="C27" t="s">
        <v>12</v>
      </c>
      <c r="D27" t="s">
        <v>16</v>
      </c>
      <c r="E27">
        <v>40.65</v>
      </c>
      <c r="F27">
        <v>23.29</v>
      </c>
      <c r="G27">
        <v>22.87</v>
      </c>
      <c r="H27" t="s">
        <v>18</v>
      </c>
      <c r="I27" t="s">
        <v>23</v>
      </c>
      <c r="J27" t="s">
        <v>26</v>
      </c>
      <c r="K27">
        <v>34</v>
      </c>
      <c r="L27" t="s">
        <v>29</v>
      </c>
    </row>
    <row r="28" spans="1:12" x14ac:dyDescent="0.25">
      <c r="A28">
        <v>27</v>
      </c>
      <c r="B28">
        <v>55</v>
      </c>
      <c r="C28" t="s">
        <v>12</v>
      </c>
      <c r="D28" t="s">
        <v>14</v>
      </c>
      <c r="E28">
        <v>39.119999999999997</v>
      </c>
      <c r="F28">
        <v>15.58</v>
      </c>
      <c r="G28">
        <v>10.8</v>
      </c>
      <c r="H28" t="s">
        <v>20</v>
      </c>
      <c r="I28" t="s">
        <v>24</v>
      </c>
      <c r="J28" t="s">
        <v>27</v>
      </c>
      <c r="K28">
        <v>14</v>
      </c>
      <c r="L28" t="s">
        <v>29</v>
      </c>
    </row>
    <row r="29" spans="1:12" x14ac:dyDescent="0.25">
      <c r="A29">
        <v>28</v>
      </c>
      <c r="B29">
        <v>19</v>
      </c>
      <c r="C29" t="s">
        <v>13</v>
      </c>
      <c r="D29" t="s">
        <v>17</v>
      </c>
      <c r="E29">
        <v>21.29</v>
      </c>
      <c r="F29">
        <v>6.44</v>
      </c>
      <c r="G29">
        <v>7.57</v>
      </c>
      <c r="H29" t="s">
        <v>20</v>
      </c>
      <c r="I29" t="s">
        <v>23</v>
      </c>
      <c r="J29" t="s">
        <v>26</v>
      </c>
      <c r="K29">
        <v>22</v>
      </c>
      <c r="L29" t="s">
        <v>29</v>
      </c>
    </row>
    <row r="30" spans="1:12" x14ac:dyDescent="0.25">
      <c r="A30">
        <v>29</v>
      </c>
      <c r="B30">
        <v>77</v>
      </c>
      <c r="C30" t="s">
        <v>12</v>
      </c>
      <c r="D30" t="s">
        <v>16</v>
      </c>
      <c r="E30">
        <v>7.26</v>
      </c>
      <c r="F30">
        <v>3.77</v>
      </c>
      <c r="G30">
        <v>19.010000000000002</v>
      </c>
      <c r="H30" t="s">
        <v>20</v>
      </c>
      <c r="I30" t="s">
        <v>22</v>
      </c>
      <c r="J30" t="s">
        <v>25</v>
      </c>
      <c r="K30">
        <v>14</v>
      </c>
      <c r="L30" t="s">
        <v>30</v>
      </c>
    </row>
    <row r="31" spans="1:12" x14ac:dyDescent="0.25">
      <c r="A31">
        <v>30</v>
      </c>
      <c r="B31">
        <v>38</v>
      </c>
      <c r="C31" t="s">
        <v>12</v>
      </c>
      <c r="D31" t="s">
        <v>16</v>
      </c>
      <c r="E31">
        <v>16.91</v>
      </c>
      <c r="F31">
        <v>5.31</v>
      </c>
      <c r="G31">
        <v>6.7</v>
      </c>
      <c r="H31" t="s">
        <v>20</v>
      </c>
      <c r="I31" t="s">
        <v>22</v>
      </c>
      <c r="J31" t="s">
        <v>26</v>
      </c>
      <c r="K31">
        <v>10</v>
      </c>
      <c r="L31" t="s">
        <v>29</v>
      </c>
    </row>
    <row r="32" spans="1:12" x14ac:dyDescent="0.25">
      <c r="A32">
        <v>31</v>
      </c>
      <c r="B32">
        <v>50</v>
      </c>
      <c r="C32" t="s">
        <v>12</v>
      </c>
      <c r="D32" t="s">
        <v>17</v>
      </c>
      <c r="E32">
        <v>21.75</v>
      </c>
      <c r="F32">
        <v>7.78</v>
      </c>
      <c r="G32">
        <v>3.72</v>
      </c>
      <c r="H32" t="s">
        <v>19</v>
      </c>
      <c r="I32" t="s">
        <v>23</v>
      </c>
      <c r="J32" t="s">
        <v>26</v>
      </c>
      <c r="K32">
        <v>24</v>
      </c>
      <c r="L32" t="s">
        <v>29</v>
      </c>
    </row>
    <row r="33" spans="1:12" x14ac:dyDescent="0.25">
      <c r="A33">
        <v>32</v>
      </c>
      <c r="B33">
        <v>29</v>
      </c>
      <c r="C33" t="s">
        <v>12</v>
      </c>
      <c r="D33" t="s">
        <v>16</v>
      </c>
      <c r="E33">
        <v>66.92</v>
      </c>
      <c r="F33">
        <v>15.51</v>
      </c>
      <c r="G33">
        <v>13.66</v>
      </c>
      <c r="H33" t="s">
        <v>19</v>
      </c>
      <c r="I33" t="s">
        <v>22</v>
      </c>
      <c r="J33" t="s">
        <v>26</v>
      </c>
      <c r="K33">
        <v>29</v>
      </c>
      <c r="L33" t="s">
        <v>29</v>
      </c>
    </row>
    <row r="34" spans="1:12" x14ac:dyDescent="0.25">
      <c r="A34">
        <v>33</v>
      </c>
      <c r="B34">
        <v>75</v>
      </c>
      <c r="C34" t="s">
        <v>12</v>
      </c>
      <c r="D34" t="s">
        <v>15</v>
      </c>
      <c r="E34">
        <v>3.44</v>
      </c>
      <c r="F34">
        <v>9.69</v>
      </c>
      <c r="G34">
        <v>3.14</v>
      </c>
      <c r="H34" t="s">
        <v>18</v>
      </c>
      <c r="I34" t="s">
        <v>22</v>
      </c>
      <c r="J34" t="s">
        <v>26</v>
      </c>
      <c r="K34">
        <v>19</v>
      </c>
      <c r="L34" t="s">
        <v>29</v>
      </c>
    </row>
    <row r="35" spans="1:12" x14ac:dyDescent="0.25">
      <c r="A35">
        <v>34</v>
      </c>
      <c r="B35">
        <v>39</v>
      </c>
      <c r="C35" t="s">
        <v>12</v>
      </c>
      <c r="D35" t="s">
        <v>17</v>
      </c>
      <c r="E35">
        <v>16.96</v>
      </c>
      <c r="F35">
        <v>17.510000000000002</v>
      </c>
      <c r="G35">
        <v>6.35</v>
      </c>
      <c r="H35" t="s">
        <v>20</v>
      </c>
      <c r="I35" t="s">
        <v>24</v>
      </c>
      <c r="J35" t="s">
        <v>27</v>
      </c>
      <c r="K35">
        <v>34</v>
      </c>
      <c r="L35" t="s">
        <v>29</v>
      </c>
    </row>
    <row r="36" spans="1:12" x14ac:dyDescent="0.25">
      <c r="A36">
        <v>35</v>
      </c>
      <c r="B36">
        <v>78</v>
      </c>
      <c r="C36" t="s">
        <v>13</v>
      </c>
      <c r="D36" t="s">
        <v>15</v>
      </c>
      <c r="E36">
        <v>26.02</v>
      </c>
      <c r="F36">
        <v>24.51</v>
      </c>
      <c r="G36">
        <v>9.5</v>
      </c>
      <c r="H36" t="s">
        <v>19</v>
      </c>
      <c r="I36" t="s">
        <v>23</v>
      </c>
      <c r="J36" t="s">
        <v>27</v>
      </c>
      <c r="K36">
        <v>35</v>
      </c>
      <c r="L36" t="s">
        <v>29</v>
      </c>
    </row>
    <row r="37" spans="1:12" x14ac:dyDescent="0.25">
      <c r="A37">
        <v>36</v>
      </c>
      <c r="B37">
        <v>61</v>
      </c>
      <c r="C37" t="s">
        <v>13</v>
      </c>
      <c r="D37" t="s">
        <v>17</v>
      </c>
      <c r="E37">
        <v>18.82</v>
      </c>
      <c r="F37">
        <v>10.09</v>
      </c>
      <c r="G37">
        <v>7.5</v>
      </c>
      <c r="H37" t="s">
        <v>19</v>
      </c>
      <c r="I37" t="s">
        <v>22</v>
      </c>
      <c r="J37" t="s">
        <v>25</v>
      </c>
      <c r="K37">
        <v>33</v>
      </c>
      <c r="L37" t="s">
        <v>29</v>
      </c>
    </row>
    <row r="38" spans="1:12" x14ac:dyDescent="0.25">
      <c r="A38">
        <v>37</v>
      </c>
      <c r="B38">
        <v>42</v>
      </c>
      <c r="C38" t="s">
        <v>12</v>
      </c>
      <c r="D38" t="s">
        <v>17</v>
      </c>
      <c r="E38">
        <v>20.22</v>
      </c>
      <c r="F38">
        <v>4.16</v>
      </c>
      <c r="G38">
        <v>50.3</v>
      </c>
      <c r="H38" t="s">
        <v>18</v>
      </c>
      <c r="I38" t="s">
        <v>22</v>
      </c>
      <c r="J38" t="s">
        <v>26</v>
      </c>
      <c r="K38">
        <v>8</v>
      </c>
      <c r="L38" t="s">
        <v>29</v>
      </c>
    </row>
    <row r="39" spans="1:12" x14ac:dyDescent="0.25">
      <c r="A39">
        <v>38</v>
      </c>
      <c r="B39">
        <v>66</v>
      </c>
      <c r="C39" t="s">
        <v>12</v>
      </c>
      <c r="D39" t="s">
        <v>16</v>
      </c>
      <c r="E39">
        <v>9.86</v>
      </c>
      <c r="F39">
        <v>12.89</v>
      </c>
      <c r="G39">
        <v>12.54</v>
      </c>
      <c r="H39" t="s">
        <v>18</v>
      </c>
      <c r="I39" t="s">
        <v>22</v>
      </c>
      <c r="J39" t="s">
        <v>26</v>
      </c>
      <c r="K39">
        <v>11</v>
      </c>
      <c r="L39" t="s">
        <v>29</v>
      </c>
    </row>
    <row r="40" spans="1:12" x14ac:dyDescent="0.25">
      <c r="A40">
        <v>39</v>
      </c>
      <c r="B40">
        <v>44</v>
      </c>
      <c r="C40" t="s">
        <v>13</v>
      </c>
      <c r="D40" t="s">
        <v>14</v>
      </c>
      <c r="E40">
        <v>31.25</v>
      </c>
      <c r="F40">
        <v>33.42</v>
      </c>
      <c r="G40">
        <v>8.5</v>
      </c>
      <c r="H40" t="s">
        <v>21</v>
      </c>
      <c r="I40" t="s">
        <v>24</v>
      </c>
      <c r="J40" t="s">
        <v>26</v>
      </c>
      <c r="K40">
        <v>34</v>
      </c>
      <c r="L40" t="s">
        <v>30</v>
      </c>
    </row>
    <row r="41" spans="1:12" x14ac:dyDescent="0.25">
      <c r="A41">
        <v>40</v>
      </c>
      <c r="B41">
        <v>76</v>
      </c>
      <c r="C41" t="s">
        <v>13</v>
      </c>
      <c r="D41" t="s">
        <v>16</v>
      </c>
      <c r="E41">
        <v>17.95</v>
      </c>
      <c r="F41">
        <v>18.190000000000001</v>
      </c>
      <c r="G41">
        <v>5.74</v>
      </c>
      <c r="H41" t="s">
        <v>19</v>
      </c>
      <c r="I41" t="s">
        <v>23</v>
      </c>
      <c r="J41" t="s">
        <v>26</v>
      </c>
      <c r="K41">
        <v>18</v>
      </c>
      <c r="L41" t="s">
        <v>29</v>
      </c>
    </row>
    <row r="42" spans="1:12" x14ac:dyDescent="0.25">
      <c r="A42">
        <v>41</v>
      </c>
      <c r="B42">
        <v>59</v>
      </c>
      <c r="C42" t="s">
        <v>12</v>
      </c>
      <c r="D42" t="s">
        <v>16</v>
      </c>
      <c r="E42">
        <v>20.170000000000002</v>
      </c>
      <c r="F42">
        <v>12.19</v>
      </c>
      <c r="G42">
        <v>11.8</v>
      </c>
      <c r="H42" t="s">
        <v>18</v>
      </c>
      <c r="I42" t="s">
        <v>23</v>
      </c>
      <c r="J42" t="s">
        <v>26</v>
      </c>
      <c r="K42">
        <v>14</v>
      </c>
      <c r="L42" t="s">
        <v>30</v>
      </c>
    </row>
    <row r="43" spans="1:12" x14ac:dyDescent="0.25">
      <c r="A43">
        <v>42</v>
      </c>
      <c r="B43">
        <v>45</v>
      </c>
      <c r="C43" t="s">
        <v>12</v>
      </c>
      <c r="D43" t="s">
        <v>17</v>
      </c>
      <c r="E43">
        <v>33.31</v>
      </c>
      <c r="F43">
        <v>4.67</v>
      </c>
      <c r="G43">
        <v>19.53</v>
      </c>
      <c r="H43" t="s">
        <v>19</v>
      </c>
      <c r="I43" t="s">
        <v>22</v>
      </c>
      <c r="J43" t="s">
        <v>25</v>
      </c>
      <c r="K43">
        <v>5</v>
      </c>
      <c r="L43" t="s">
        <v>29</v>
      </c>
    </row>
    <row r="44" spans="1:12" x14ac:dyDescent="0.25">
      <c r="A44">
        <v>43</v>
      </c>
      <c r="B44">
        <v>77</v>
      </c>
      <c r="C44" t="s">
        <v>12</v>
      </c>
      <c r="D44" t="s">
        <v>16</v>
      </c>
      <c r="E44">
        <v>14.06</v>
      </c>
      <c r="F44">
        <v>8.44</v>
      </c>
      <c r="G44">
        <v>2.17</v>
      </c>
      <c r="H44" t="s">
        <v>19</v>
      </c>
      <c r="I44" t="s">
        <v>23</v>
      </c>
      <c r="J44" t="s">
        <v>26</v>
      </c>
      <c r="K44">
        <v>29</v>
      </c>
      <c r="L44" t="s">
        <v>29</v>
      </c>
    </row>
    <row r="45" spans="1:12" x14ac:dyDescent="0.25">
      <c r="A45">
        <v>44</v>
      </c>
      <c r="B45">
        <v>33</v>
      </c>
      <c r="C45" t="s">
        <v>12</v>
      </c>
      <c r="D45" t="s">
        <v>15</v>
      </c>
      <c r="E45">
        <v>37.83</v>
      </c>
      <c r="F45">
        <v>2.21</v>
      </c>
      <c r="G45">
        <v>11.58</v>
      </c>
      <c r="H45" t="s">
        <v>20</v>
      </c>
      <c r="I45" t="s">
        <v>24</v>
      </c>
      <c r="J45" t="s">
        <v>26</v>
      </c>
      <c r="K45">
        <v>29</v>
      </c>
      <c r="L45" t="s">
        <v>29</v>
      </c>
    </row>
    <row r="46" spans="1:12" x14ac:dyDescent="0.25">
      <c r="A46">
        <v>45</v>
      </c>
      <c r="B46">
        <v>32</v>
      </c>
      <c r="C46" t="s">
        <v>13</v>
      </c>
      <c r="D46" t="s">
        <v>15</v>
      </c>
      <c r="E46">
        <v>6.27</v>
      </c>
      <c r="F46">
        <v>3.56</v>
      </c>
      <c r="G46">
        <v>8.14</v>
      </c>
      <c r="H46" t="s">
        <v>20</v>
      </c>
      <c r="I46" t="s">
        <v>22</v>
      </c>
      <c r="J46" t="s">
        <v>27</v>
      </c>
      <c r="K46">
        <v>11</v>
      </c>
      <c r="L46" t="s">
        <v>29</v>
      </c>
    </row>
    <row r="47" spans="1:12" x14ac:dyDescent="0.25">
      <c r="A47">
        <v>46</v>
      </c>
      <c r="B47">
        <v>79</v>
      </c>
      <c r="C47" t="s">
        <v>12</v>
      </c>
      <c r="D47" t="s">
        <v>17</v>
      </c>
      <c r="E47">
        <v>20.94</v>
      </c>
      <c r="F47">
        <v>13.08</v>
      </c>
      <c r="G47">
        <v>15.63</v>
      </c>
      <c r="H47" t="s">
        <v>20</v>
      </c>
      <c r="I47" t="s">
        <v>22</v>
      </c>
      <c r="J47" t="s">
        <v>26</v>
      </c>
      <c r="K47">
        <v>19</v>
      </c>
      <c r="L47" t="s">
        <v>29</v>
      </c>
    </row>
    <row r="48" spans="1:12" x14ac:dyDescent="0.25">
      <c r="A48">
        <v>47</v>
      </c>
      <c r="B48">
        <v>79</v>
      </c>
      <c r="C48" t="s">
        <v>12</v>
      </c>
      <c r="D48" t="s">
        <v>17</v>
      </c>
      <c r="E48">
        <v>9.4</v>
      </c>
      <c r="F48">
        <v>1.72</v>
      </c>
      <c r="G48">
        <v>9.58</v>
      </c>
      <c r="H48" t="s">
        <v>20</v>
      </c>
      <c r="I48" t="s">
        <v>24</v>
      </c>
      <c r="J48" t="s">
        <v>27</v>
      </c>
      <c r="K48">
        <v>7</v>
      </c>
      <c r="L48" t="s">
        <v>29</v>
      </c>
    </row>
    <row r="49" spans="1:12" x14ac:dyDescent="0.25">
      <c r="A49">
        <v>48</v>
      </c>
      <c r="B49">
        <v>64</v>
      </c>
      <c r="C49" t="s">
        <v>12</v>
      </c>
      <c r="D49" t="s">
        <v>15</v>
      </c>
      <c r="E49">
        <v>7.57</v>
      </c>
      <c r="F49">
        <v>7.47</v>
      </c>
      <c r="G49">
        <v>12.84</v>
      </c>
      <c r="H49" t="s">
        <v>19</v>
      </c>
      <c r="I49" t="s">
        <v>22</v>
      </c>
      <c r="J49" t="s">
        <v>28</v>
      </c>
      <c r="K49">
        <v>28</v>
      </c>
      <c r="L49" t="s">
        <v>30</v>
      </c>
    </row>
    <row r="50" spans="1:12" x14ac:dyDescent="0.25">
      <c r="A50">
        <v>49</v>
      </c>
      <c r="B50">
        <v>79</v>
      </c>
      <c r="C50" t="s">
        <v>12</v>
      </c>
      <c r="D50" t="s">
        <v>15</v>
      </c>
      <c r="E50">
        <v>51.21</v>
      </c>
      <c r="F50">
        <v>3.2</v>
      </c>
      <c r="G50">
        <v>30.15</v>
      </c>
      <c r="H50" t="s">
        <v>21</v>
      </c>
      <c r="I50" t="s">
        <v>22</v>
      </c>
      <c r="J50" t="s">
        <v>26</v>
      </c>
      <c r="K50">
        <v>23</v>
      </c>
      <c r="L50" t="s">
        <v>29</v>
      </c>
    </row>
    <row r="51" spans="1:12" x14ac:dyDescent="0.25">
      <c r="A51">
        <v>50</v>
      </c>
      <c r="B51">
        <v>68</v>
      </c>
      <c r="C51" t="s">
        <v>13</v>
      </c>
      <c r="D51" t="s">
        <v>15</v>
      </c>
      <c r="E51">
        <v>6.55</v>
      </c>
      <c r="F51">
        <v>3.73</v>
      </c>
      <c r="G51">
        <v>15.98</v>
      </c>
      <c r="H51" t="s">
        <v>21</v>
      </c>
      <c r="I51" t="s">
        <v>23</v>
      </c>
      <c r="J51" t="s">
        <v>26</v>
      </c>
      <c r="K51">
        <v>3</v>
      </c>
      <c r="L51" t="s">
        <v>30</v>
      </c>
    </row>
    <row r="52" spans="1:12" x14ac:dyDescent="0.25">
      <c r="A52">
        <v>51</v>
      </c>
      <c r="B52">
        <v>61</v>
      </c>
      <c r="C52" t="s">
        <v>13</v>
      </c>
      <c r="D52" t="s">
        <v>14</v>
      </c>
      <c r="E52">
        <v>18.190000000000001</v>
      </c>
      <c r="F52">
        <v>10.23</v>
      </c>
      <c r="G52">
        <v>7.47</v>
      </c>
      <c r="H52" t="s">
        <v>21</v>
      </c>
      <c r="I52" t="s">
        <v>23</v>
      </c>
      <c r="J52" t="s">
        <v>25</v>
      </c>
      <c r="K52">
        <v>3</v>
      </c>
      <c r="L52" t="s">
        <v>29</v>
      </c>
    </row>
    <row r="53" spans="1:12" x14ac:dyDescent="0.25">
      <c r="A53">
        <v>52</v>
      </c>
      <c r="B53">
        <v>72</v>
      </c>
      <c r="C53" t="s">
        <v>13</v>
      </c>
      <c r="D53" t="s">
        <v>15</v>
      </c>
      <c r="E53">
        <v>6.13</v>
      </c>
      <c r="F53">
        <v>5.32</v>
      </c>
      <c r="G53">
        <v>4.18</v>
      </c>
      <c r="H53" t="s">
        <v>19</v>
      </c>
      <c r="I53" t="s">
        <v>23</v>
      </c>
      <c r="J53" t="s">
        <v>26</v>
      </c>
      <c r="K53">
        <v>11</v>
      </c>
      <c r="L53" t="s">
        <v>30</v>
      </c>
    </row>
    <row r="54" spans="1:12" x14ac:dyDescent="0.25">
      <c r="A54">
        <v>53</v>
      </c>
      <c r="B54">
        <v>69</v>
      </c>
      <c r="C54" t="s">
        <v>12</v>
      </c>
      <c r="D54" t="s">
        <v>17</v>
      </c>
      <c r="E54">
        <v>36.409999999999997</v>
      </c>
      <c r="F54">
        <v>2.61</v>
      </c>
      <c r="G54">
        <v>8.15</v>
      </c>
      <c r="H54" t="s">
        <v>21</v>
      </c>
      <c r="I54" t="s">
        <v>22</v>
      </c>
      <c r="J54" t="s">
        <v>26</v>
      </c>
      <c r="K54">
        <v>25</v>
      </c>
      <c r="L54" t="s">
        <v>29</v>
      </c>
    </row>
    <row r="55" spans="1:12" x14ac:dyDescent="0.25">
      <c r="A55">
        <v>54</v>
      </c>
      <c r="B55">
        <v>74</v>
      </c>
      <c r="C55" t="s">
        <v>12</v>
      </c>
      <c r="D55" t="s">
        <v>15</v>
      </c>
      <c r="E55">
        <v>13.07</v>
      </c>
      <c r="F55">
        <v>6.25</v>
      </c>
      <c r="G55">
        <v>4.24</v>
      </c>
      <c r="H55" t="s">
        <v>19</v>
      </c>
      <c r="I55" t="s">
        <v>22</v>
      </c>
      <c r="J55" t="s">
        <v>25</v>
      </c>
      <c r="K55">
        <v>6</v>
      </c>
      <c r="L55" t="s">
        <v>29</v>
      </c>
    </row>
    <row r="56" spans="1:12" x14ac:dyDescent="0.25">
      <c r="A56">
        <v>55</v>
      </c>
      <c r="B56">
        <v>20</v>
      </c>
      <c r="C56" t="s">
        <v>13</v>
      </c>
      <c r="D56" t="s">
        <v>16</v>
      </c>
      <c r="E56">
        <v>33.200000000000003</v>
      </c>
      <c r="F56">
        <v>2.5099999999999998</v>
      </c>
      <c r="G56">
        <v>10.199999999999999</v>
      </c>
      <c r="H56" t="s">
        <v>18</v>
      </c>
      <c r="I56" t="s">
        <v>23</v>
      </c>
      <c r="J56" t="s">
        <v>26</v>
      </c>
      <c r="K56">
        <v>21</v>
      </c>
      <c r="L56" t="s">
        <v>29</v>
      </c>
    </row>
    <row r="57" spans="1:12" x14ac:dyDescent="0.25">
      <c r="A57">
        <v>56</v>
      </c>
      <c r="B57">
        <v>54</v>
      </c>
      <c r="C57" t="s">
        <v>12</v>
      </c>
      <c r="D57" t="s">
        <v>15</v>
      </c>
      <c r="E57">
        <v>25.46</v>
      </c>
      <c r="F57">
        <v>22.33</v>
      </c>
      <c r="G57">
        <v>10.220000000000001</v>
      </c>
      <c r="H57" t="s">
        <v>21</v>
      </c>
      <c r="I57" t="s">
        <v>22</v>
      </c>
      <c r="J57" t="s">
        <v>26</v>
      </c>
      <c r="K57">
        <v>7</v>
      </c>
      <c r="L57" t="s">
        <v>29</v>
      </c>
    </row>
    <row r="58" spans="1:12" x14ac:dyDescent="0.25">
      <c r="A58">
        <v>57</v>
      </c>
      <c r="B58">
        <v>68</v>
      </c>
      <c r="C58" t="s">
        <v>12</v>
      </c>
      <c r="D58" t="s">
        <v>15</v>
      </c>
      <c r="E58">
        <v>61.07</v>
      </c>
      <c r="F58">
        <v>16.11</v>
      </c>
      <c r="G58">
        <v>2.63</v>
      </c>
      <c r="H58" t="s">
        <v>19</v>
      </c>
      <c r="I58" t="s">
        <v>23</v>
      </c>
      <c r="J58" t="s">
        <v>25</v>
      </c>
      <c r="K58">
        <v>30</v>
      </c>
      <c r="L58" t="s">
        <v>29</v>
      </c>
    </row>
    <row r="59" spans="1:12" x14ac:dyDescent="0.25">
      <c r="A59">
        <v>58</v>
      </c>
      <c r="B59">
        <v>24</v>
      </c>
      <c r="C59" t="s">
        <v>13</v>
      </c>
      <c r="D59" t="s">
        <v>17</v>
      </c>
      <c r="E59">
        <v>5.0999999999999996</v>
      </c>
      <c r="F59">
        <v>16.059999999999999</v>
      </c>
      <c r="G59">
        <v>10</v>
      </c>
      <c r="H59" t="s">
        <v>18</v>
      </c>
      <c r="I59" t="s">
        <v>24</v>
      </c>
      <c r="J59" t="s">
        <v>25</v>
      </c>
      <c r="K59">
        <v>25</v>
      </c>
      <c r="L59" t="s">
        <v>29</v>
      </c>
    </row>
    <row r="60" spans="1:12" x14ac:dyDescent="0.25">
      <c r="A60">
        <v>59</v>
      </c>
      <c r="B60">
        <v>38</v>
      </c>
      <c r="C60" t="s">
        <v>13</v>
      </c>
      <c r="D60" t="s">
        <v>15</v>
      </c>
      <c r="E60">
        <v>8.2100000000000009</v>
      </c>
      <c r="F60">
        <v>4.88</v>
      </c>
      <c r="G60">
        <v>24.5</v>
      </c>
      <c r="H60" t="s">
        <v>20</v>
      </c>
      <c r="I60" t="s">
        <v>23</v>
      </c>
      <c r="J60" t="s">
        <v>26</v>
      </c>
      <c r="K60">
        <v>25</v>
      </c>
      <c r="L60" t="s">
        <v>30</v>
      </c>
    </row>
    <row r="61" spans="1:12" x14ac:dyDescent="0.25">
      <c r="A61">
        <v>60</v>
      </c>
      <c r="B61">
        <v>26</v>
      </c>
      <c r="C61" t="s">
        <v>13</v>
      </c>
      <c r="D61" t="s">
        <v>15</v>
      </c>
      <c r="E61">
        <v>32.1</v>
      </c>
      <c r="F61">
        <v>13.4</v>
      </c>
      <c r="G61">
        <v>9.74</v>
      </c>
      <c r="H61" t="s">
        <v>18</v>
      </c>
      <c r="I61" t="s">
        <v>24</v>
      </c>
      <c r="J61" t="s">
        <v>26</v>
      </c>
      <c r="K61">
        <v>20</v>
      </c>
      <c r="L61" t="s">
        <v>29</v>
      </c>
    </row>
    <row r="62" spans="1:12" x14ac:dyDescent="0.25">
      <c r="A62">
        <v>61</v>
      </c>
      <c r="B62">
        <v>56</v>
      </c>
      <c r="C62" t="s">
        <v>13</v>
      </c>
      <c r="D62" t="s">
        <v>15</v>
      </c>
      <c r="E62">
        <v>21.6</v>
      </c>
      <c r="F62">
        <v>11.37</v>
      </c>
      <c r="G62">
        <v>6.87</v>
      </c>
      <c r="H62" t="s">
        <v>18</v>
      </c>
      <c r="I62" t="s">
        <v>22</v>
      </c>
      <c r="J62" t="s">
        <v>26</v>
      </c>
      <c r="K62">
        <v>31</v>
      </c>
      <c r="L62" t="s">
        <v>29</v>
      </c>
    </row>
    <row r="63" spans="1:12" x14ac:dyDescent="0.25">
      <c r="A63">
        <v>62</v>
      </c>
      <c r="B63">
        <v>35</v>
      </c>
      <c r="C63" t="s">
        <v>12</v>
      </c>
      <c r="D63" t="s">
        <v>15</v>
      </c>
      <c r="E63">
        <v>14.79</v>
      </c>
      <c r="F63">
        <v>5.22</v>
      </c>
      <c r="G63">
        <v>15.15</v>
      </c>
      <c r="H63" t="s">
        <v>21</v>
      </c>
      <c r="I63" t="s">
        <v>22</v>
      </c>
      <c r="J63" t="s">
        <v>26</v>
      </c>
      <c r="K63">
        <v>30</v>
      </c>
      <c r="L63" t="s">
        <v>29</v>
      </c>
    </row>
    <row r="64" spans="1:12" x14ac:dyDescent="0.25">
      <c r="A64">
        <v>63</v>
      </c>
      <c r="B64">
        <v>21</v>
      </c>
      <c r="C64" t="s">
        <v>12</v>
      </c>
      <c r="D64" t="s">
        <v>15</v>
      </c>
      <c r="E64">
        <v>54.41</v>
      </c>
      <c r="F64">
        <v>9.23</v>
      </c>
      <c r="G64">
        <v>8.2799999999999994</v>
      </c>
      <c r="H64" t="s">
        <v>20</v>
      </c>
      <c r="I64" t="s">
        <v>23</v>
      </c>
      <c r="J64" t="s">
        <v>25</v>
      </c>
      <c r="K64">
        <v>11</v>
      </c>
      <c r="L64" t="s">
        <v>30</v>
      </c>
    </row>
    <row r="65" spans="1:12" x14ac:dyDescent="0.25">
      <c r="A65">
        <v>64</v>
      </c>
      <c r="B65">
        <v>42</v>
      </c>
      <c r="C65" t="s">
        <v>13</v>
      </c>
      <c r="D65" t="s">
        <v>15</v>
      </c>
      <c r="E65">
        <v>17.34</v>
      </c>
      <c r="F65">
        <v>2.09</v>
      </c>
      <c r="G65">
        <v>8.7799999999999994</v>
      </c>
      <c r="H65" t="s">
        <v>20</v>
      </c>
      <c r="I65" t="s">
        <v>24</v>
      </c>
      <c r="J65" t="s">
        <v>25</v>
      </c>
      <c r="K65">
        <v>12</v>
      </c>
      <c r="L65" t="s">
        <v>30</v>
      </c>
    </row>
    <row r="66" spans="1:12" x14ac:dyDescent="0.25">
      <c r="A66">
        <v>65</v>
      </c>
      <c r="B66">
        <v>77</v>
      </c>
      <c r="C66" t="s">
        <v>12</v>
      </c>
      <c r="D66" t="s">
        <v>14</v>
      </c>
      <c r="E66">
        <v>9.68</v>
      </c>
      <c r="F66">
        <v>3.86</v>
      </c>
      <c r="G66">
        <v>19.010000000000002</v>
      </c>
      <c r="H66" t="s">
        <v>21</v>
      </c>
      <c r="I66" t="s">
        <v>23</v>
      </c>
      <c r="J66" t="s">
        <v>25</v>
      </c>
      <c r="K66">
        <v>4</v>
      </c>
      <c r="L66" t="s">
        <v>29</v>
      </c>
    </row>
    <row r="67" spans="1:12" x14ac:dyDescent="0.25">
      <c r="A67">
        <v>66</v>
      </c>
      <c r="B67">
        <v>31</v>
      </c>
      <c r="C67" t="s">
        <v>13</v>
      </c>
      <c r="D67" t="s">
        <v>17</v>
      </c>
      <c r="E67">
        <v>33.450000000000003</v>
      </c>
      <c r="F67">
        <v>9.0299999999999994</v>
      </c>
      <c r="G67">
        <v>4.4800000000000004</v>
      </c>
      <c r="H67" t="s">
        <v>18</v>
      </c>
      <c r="I67" t="s">
        <v>22</v>
      </c>
      <c r="J67" t="s">
        <v>26</v>
      </c>
      <c r="K67">
        <v>15</v>
      </c>
      <c r="L67" t="s">
        <v>29</v>
      </c>
    </row>
    <row r="68" spans="1:12" x14ac:dyDescent="0.25">
      <c r="A68">
        <v>67</v>
      </c>
      <c r="B68">
        <v>67</v>
      </c>
      <c r="C68" t="s">
        <v>13</v>
      </c>
      <c r="D68" t="s">
        <v>17</v>
      </c>
      <c r="E68">
        <v>17.739999999999998</v>
      </c>
      <c r="F68">
        <v>6.55</v>
      </c>
      <c r="G68">
        <v>16.96</v>
      </c>
      <c r="H68" t="s">
        <v>19</v>
      </c>
      <c r="I68" t="s">
        <v>24</v>
      </c>
      <c r="J68" t="s">
        <v>26</v>
      </c>
      <c r="K68">
        <v>29</v>
      </c>
      <c r="L68" t="s">
        <v>29</v>
      </c>
    </row>
    <row r="69" spans="1:12" x14ac:dyDescent="0.25">
      <c r="A69">
        <v>68</v>
      </c>
      <c r="B69">
        <v>75</v>
      </c>
      <c r="C69" t="s">
        <v>12</v>
      </c>
      <c r="D69" t="s">
        <v>15</v>
      </c>
      <c r="E69">
        <v>18.68</v>
      </c>
      <c r="F69">
        <v>12.56</v>
      </c>
      <c r="G69">
        <v>2.5</v>
      </c>
      <c r="H69" t="s">
        <v>21</v>
      </c>
      <c r="I69" t="s">
        <v>24</v>
      </c>
      <c r="J69" t="s">
        <v>26</v>
      </c>
      <c r="K69">
        <v>22</v>
      </c>
      <c r="L69" t="s">
        <v>29</v>
      </c>
    </row>
    <row r="70" spans="1:12" x14ac:dyDescent="0.25">
      <c r="A70">
        <v>69</v>
      </c>
      <c r="B70">
        <v>26</v>
      </c>
      <c r="C70" t="s">
        <v>13</v>
      </c>
      <c r="D70" t="s">
        <v>14</v>
      </c>
      <c r="E70">
        <v>26.84</v>
      </c>
      <c r="F70">
        <v>5.34</v>
      </c>
      <c r="G70">
        <v>32.340000000000003</v>
      </c>
      <c r="H70" t="s">
        <v>18</v>
      </c>
      <c r="I70" t="s">
        <v>22</v>
      </c>
      <c r="J70" t="s">
        <v>26</v>
      </c>
      <c r="K70">
        <v>12</v>
      </c>
      <c r="L70" t="s">
        <v>29</v>
      </c>
    </row>
    <row r="71" spans="1:12" x14ac:dyDescent="0.25">
      <c r="A71">
        <v>70</v>
      </c>
      <c r="B71">
        <v>43</v>
      </c>
      <c r="C71" t="s">
        <v>12</v>
      </c>
      <c r="D71" t="s">
        <v>17</v>
      </c>
      <c r="E71">
        <v>27.5</v>
      </c>
      <c r="F71">
        <v>7.36</v>
      </c>
      <c r="G71">
        <v>4.59</v>
      </c>
      <c r="H71" t="s">
        <v>19</v>
      </c>
      <c r="I71" t="s">
        <v>24</v>
      </c>
      <c r="J71" t="s">
        <v>26</v>
      </c>
      <c r="K71">
        <v>18</v>
      </c>
      <c r="L71" t="s">
        <v>29</v>
      </c>
    </row>
    <row r="72" spans="1:12" x14ac:dyDescent="0.25">
      <c r="A72">
        <v>71</v>
      </c>
      <c r="B72">
        <v>70</v>
      </c>
      <c r="C72" t="s">
        <v>12</v>
      </c>
      <c r="D72" t="s">
        <v>15</v>
      </c>
      <c r="E72">
        <v>8.1199999999999992</v>
      </c>
      <c r="F72">
        <v>9.6300000000000008</v>
      </c>
      <c r="G72">
        <v>9.89</v>
      </c>
      <c r="H72" t="s">
        <v>21</v>
      </c>
      <c r="I72" t="s">
        <v>22</v>
      </c>
      <c r="J72" t="s">
        <v>26</v>
      </c>
      <c r="K72">
        <v>17</v>
      </c>
      <c r="L72" t="s">
        <v>30</v>
      </c>
    </row>
    <row r="73" spans="1:12" x14ac:dyDescent="0.25">
      <c r="A73">
        <v>72</v>
      </c>
      <c r="B73">
        <v>19</v>
      </c>
      <c r="C73" t="s">
        <v>12</v>
      </c>
      <c r="D73" t="s">
        <v>16</v>
      </c>
      <c r="E73">
        <v>14.2</v>
      </c>
      <c r="F73">
        <v>4.96</v>
      </c>
      <c r="G73">
        <v>22.04</v>
      </c>
      <c r="H73" t="s">
        <v>21</v>
      </c>
      <c r="I73" t="s">
        <v>23</v>
      </c>
      <c r="J73" t="s">
        <v>26</v>
      </c>
      <c r="K73">
        <v>15</v>
      </c>
      <c r="L73" t="s">
        <v>29</v>
      </c>
    </row>
    <row r="74" spans="1:12" x14ac:dyDescent="0.25">
      <c r="A74">
        <v>73</v>
      </c>
      <c r="B74">
        <v>37</v>
      </c>
      <c r="C74" t="s">
        <v>12</v>
      </c>
      <c r="D74" t="s">
        <v>15</v>
      </c>
      <c r="E74">
        <v>5.67</v>
      </c>
      <c r="F74">
        <v>7.26</v>
      </c>
      <c r="G74">
        <v>2.56</v>
      </c>
      <c r="H74" t="s">
        <v>20</v>
      </c>
      <c r="I74" t="s">
        <v>23</v>
      </c>
      <c r="J74" t="s">
        <v>25</v>
      </c>
      <c r="K74">
        <v>22</v>
      </c>
      <c r="L74" t="s">
        <v>29</v>
      </c>
    </row>
    <row r="75" spans="1:12" x14ac:dyDescent="0.25">
      <c r="A75">
        <v>74</v>
      </c>
      <c r="B75">
        <v>45</v>
      </c>
      <c r="C75" t="s">
        <v>13</v>
      </c>
      <c r="D75" t="s">
        <v>15</v>
      </c>
      <c r="E75">
        <v>21.81</v>
      </c>
      <c r="F75">
        <v>11.31</v>
      </c>
      <c r="G75">
        <v>6.28</v>
      </c>
      <c r="H75" t="s">
        <v>20</v>
      </c>
      <c r="I75" t="s">
        <v>23</v>
      </c>
      <c r="J75" t="s">
        <v>25</v>
      </c>
      <c r="K75">
        <v>26</v>
      </c>
      <c r="L75" t="s">
        <v>29</v>
      </c>
    </row>
    <row r="76" spans="1:12" x14ac:dyDescent="0.25">
      <c r="A76">
        <v>75</v>
      </c>
      <c r="B76">
        <v>64</v>
      </c>
      <c r="C76" t="s">
        <v>12</v>
      </c>
      <c r="D76" t="s">
        <v>17</v>
      </c>
      <c r="E76">
        <v>50.66</v>
      </c>
      <c r="F76">
        <v>26.63</v>
      </c>
      <c r="G76">
        <v>16.079999999999998</v>
      </c>
      <c r="H76" t="s">
        <v>20</v>
      </c>
      <c r="I76" t="s">
        <v>23</v>
      </c>
      <c r="J76" t="s">
        <v>25</v>
      </c>
      <c r="K76">
        <v>9</v>
      </c>
      <c r="L76" t="s">
        <v>29</v>
      </c>
    </row>
    <row r="77" spans="1:12" x14ac:dyDescent="0.25">
      <c r="A77">
        <v>76</v>
      </c>
      <c r="B77">
        <v>77</v>
      </c>
      <c r="C77" t="s">
        <v>13</v>
      </c>
      <c r="D77" t="s">
        <v>14</v>
      </c>
      <c r="E77">
        <v>8.4</v>
      </c>
      <c r="F77">
        <v>4.9800000000000004</v>
      </c>
      <c r="G77">
        <v>1.74</v>
      </c>
      <c r="H77" t="s">
        <v>19</v>
      </c>
      <c r="I77" t="s">
        <v>22</v>
      </c>
      <c r="J77" t="s">
        <v>26</v>
      </c>
      <c r="K77">
        <v>25</v>
      </c>
      <c r="L77" t="s">
        <v>29</v>
      </c>
    </row>
    <row r="78" spans="1:12" x14ac:dyDescent="0.25">
      <c r="A78">
        <v>77</v>
      </c>
      <c r="B78">
        <v>24</v>
      </c>
      <c r="C78" t="s">
        <v>13</v>
      </c>
      <c r="D78" t="s">
        <v>17</v>
      </c>
      <c r="E78">
        <v>4.7699999999999996</v>
      </c>
      <c r="F78">
        <v>6.58</v>
      </c>
      <c r="G78">
        <v>13.05</v>
      </c>
      <c r="H78" t="s">
        <v>21</v>
      </c>
      <c r="I78" t="s">
        <v>22</v>
      </c>
      <c r="J78" t="s">
        <v>27</v>
      </c>
      <c r="K78">
        <v>26</v>
      </c>
      <c r="L78" t="s">
        <v>29</v>
      </c>
    </row>
    <row r="79" spans="1:12" x14ac:dyDescent="0.25">
      <c r="A79">
        <v>78</v>
      </c>
      <c r="B79">
        <v>61</v>
      </c>
      <c r="C79" t="s">
        <v>13</v>
      </c>
      <c r="D79" t="s">
        <v>16</v>
      </c>
      <c r="E79">
        <v>10.9</v>
      </c>
      <c r="F79">
        <v>18.07</v>
      </c>
      <c r="G79">
        <v>11.76</v>
      </c>
      <c r="H79" t="s">
        <v>20</v>
      </c>
      <c r="I79" t="s">
        <v>23</v>
      </c>
      <c r="J79" t="s">
        <v>28</v>
      </c>
      <c r="K79">
        <v>31</v>
      </c>
      <c r="L79" t="s">
        <v>29</v>
      </c>
    </row>
    <row r="80" spans="1:12" x14ac:dyDescent="0.25">
      <c r="A80">
        <v>79</v>
      </c>
      <c r="B80">
        <v>78</v>
      </c>
      <c r="C80" t="s">
        <v>13</v>
      </c>
      <c r="D80" t="s">
        <v>14</v>
      </c>
      <c r="E80">
        <v>14.7</v>
      </c>
      <c r="F80">
        <v>21.19</v>
      </c>
      <c r="G80">
        <v>1.51</v>
      </c>
      <c r="H80" t="s">
        <v>20</v>
      </c>
      <c r="I80" t="s">
        <v>24</v>
      </c>
      <c r="J80" t="s">
        <v>26</v>
      </c>
      <c r="K80">
        <v>7</v>
      </c>
      <c r="L80" t="s">
        <v>29</v>
      </c>
    </row>
    <row r="81" spans="1:12" x14ac:dyDescent="0.25">
      <c r="A81">
        <v>80</v>
      </c>
      <c r="B81">
        <v>25</v>
      </c>
      <c r="C81" t="s">
        <v>12</v>
      </c>
      <c r="D81" t="s">
        <v>15</v>
      </c>
      <c r="E81">
        <v>27.66</v>
      </c>
      <c r="F81">
        <v>14.32</v>
      </c>
      <c r="G81">
        <v>1.27</v>
      </c>
      <c r="H81" t="s">
        <v>21</v>
      </c>
      <c r="I81" t="s">
        <v>23</v>
      </c>
      <c r="J81" t="s">
        <v>25</v>
      </c>
      <c r="K81">
        <v>3</v>
      </c>
      <c r="L81" t="s">
        <v>29</v>
      </c>
    </row>
    <row r="82" spans="1:12" x14ac:dyDescent="0.25">
      <c r="A82">
        <v>81</v>
      </c>
      <c r="B82">
        <v>64</v>
      </c>
      <c r="C82" t="s">
        <v>12</v>
      </c>
      <c r="D82" t="s">
        <v>15</v>
      </c>
      <c r="E82">
        <v>13.64</v>
      </c>
      <c r="F82">
        <v>20.83</v>
      </c>
      <c r="G82">
        <v>1.1100000000000001</v>
      </c>
      <c r="H82" t="s">
        <v>19</v>
      </c>
      <c r="I82" t="s">
        <v>24</v>
      </c>
      <c r="J82" t="s">
        <v>27</v>
      </c>
      <c r="K82">
        <v>20</v>
      </c>
      <c r="L82" t="s">
        <v>29</v>
      </c>
    </row>
    <row r="83" spans="1:12" x14ac:dyDescent="0.25">
      <c r="A83">
        <v>82</v>
      </c>
      <c r="B83">
        <v>52</v>
      </c>
      <c r="C83" t="s">
        <v>13</v>
      </c>
      <c r="D83" t="s">
        <v>17</v>
      </c>
      <c r="E83">
        <v>22.07</v>
      </c>
      <c r="F83">
        <v>4.74</v>
      </c>
      <c r="G83">
        <v>11.37</v>
      </c>
      <c r="H83" t="s">
        <v>20</v>
      </c>
      <c r="I83" t="s">
        <v>24</v>
      </c>
      <c r="J83" t="s">
        <v>26</v>
      </c>
      <c r="K83">
        <v>8</v>
      </c>
      <c r="L83" t="s">
        <v>29</v>
      </c>
    </row>
    <row r="84" spans="1:12" x14ac:dyDescent="0.25">
      <c r="A84">
        <v>83</v>
      </c>
      <c r="B84">
        <v>31</v>
      </c>
      <c r="C84" t="s">
        <v>13</v>
      </c>
      <c r="D84" t="s">
        <v>17</v>
      </c>
      <c r="E84">
        <v>12.12</v>
      </c>
      <c r="F84">
        <v>19.5</v>
      </c>
      <c r="G84">
        <v>5.18</v>
      </c>
      <c r="H84" t="s">
        <v>18</v>
      </c>
      <c r="I84" t="s">
        <v>24</v>
      </c>
      <c r="J84" t="s">
        <v>26</v>
      </c>
      <c r="K84">
        <v>25</v>
      </c>
      <c r="L84" t="s">
        <v>29</v>
      </c>
    </row>
    <row r="85" spans="1:12" x14ac:dyDescent="0.25">
      <c r="A85">
        <v>84</v>
      </c>
      <c r="B85">
        <v>34</v>
      </c>
      <c r="C85" t="s">
        <v>12</v>
      </c>
      <c r="D85" t="s">
        <v>17</v>
      </c>
      <c r="E85">
        <v>15.27</v>
      </c>
      <c r="F85">
        <v>16.510000000000002</v>
      </c>
      <c r="G85">
        <v>2.33</v>
      </c>
      <c r="H85" t="s">
        <v>19</v>
      </c>
      <c r="I85" t="s">
        <v>24</v>
      </c>
      <c r="J85" t="s">
        <v>26</v>
      </c>
      <c r="K85">
        <v>12</v>
      </c>
      <c r="L85" t="s">
        <v>29</v>
      </c>
    </row>
    <row r="86" spans="1:12" x14ac:dyDescent="0.25">
      <c r="A86">
        <v>85</v>
      </c>
      <c r="B86">
        <v>53</v>
      </c>
      <c r="C86" t="s">
        <v>13</v>
      </c>
      <c r="D86" t="s">
        <v>14</v>
      </c>
      <c r="E86">
        <v>9.43</v>
      </c>
      <c r="F86">
        <v>3.68</v>
      </c>
      <c r="G86">
        <v>17.77</v>
      </c>
      <c r="H86" t="s">
        <v>20</v>
      </c>
      <c r="I86" t="s">
        <v>23</v>
      </c>
      <c r="J86" t="s">
        <v>26</v>
      </c>
      <c r="K86">
        <v>9</v>
      </c>
      <c r="L86" t="s">
        <v>29</v>
      </c>
    </row>
    <row r="87" spans="1:12" x14ac:dyDescent="0.25">
      <c r="A87">
        <v>86</v>
      </c>
      <c r="B87">
        <v>67</v>
      </c>
      <c r="C87" t="s">
        <v>12</v>
      </c>
      <c r="D87" t="s">
        <v>16</v>
      </c>
      <c r="E87">
        <v>7.25</v>
      </c>
      <c r="F87">
        <v>7.45</v>
      </c>
      <c r="G87">
        <v>23.16</v>
      </c>
      <c r="H87" t="s">
        <v>18</v>
      </c>
      <c r="I87" t="s">
        <v>22</v>
      </c>
      <c r="J87" t="s">
        <v>26</v>
      </c>
      <c r="K87">
        <v>10</v>
      </c>
      <c r="L87" t="s">
        <v>29</v>
      </c>
    </row>
    <row r="88" spans="1:12" x14ac:dyDescent="0.25">
      <c r="A88">
        <v>87</v>
      </c>
      <c r="B88">
        <v>57</v>
      </c>
      <c r="C88" t="s">
        <v>13</v>
      </c>
      <c r="D88" t="s">
        <v>16</v>
      </c>
      <c r="E88">
        <v>28.28</v>
      </c>
      <c r="F88">
        <v>1.01</v>
      </c>
      <c r="G88">
        <v>22.24</v>
      </c>
      <c r="H88" t="s">
        <v>20</v>
      </c>
      <c r="I88" t="s">
        <v>23</v>
      </c>
      <c r="J88" t="s">
        <v>27</v>
      </c>
      <c r="K88">
        <v>15</v>
      </c>
      <c r="L88" t="s">
        <v>30</v>
      </c>
    </row>
    <row r="89" spans="1:12" x14ac:dyDescent="0.25">
      <c r="A89">
        <v>88</v>
      </c>
      <c r="B89">
        <v>21</v>
      </c>
      <c r="C89" t="s">
        <v>12</v>
      </c>
      <c r="D89" t="s">
        <v>15</v>
      </c>
      <c r="E89">
        <v>12.74</v>
      </c>
      <c r="F89">
        <v>10.71</v>
      </c>
      <c r="G89">
        <v>9.92</v>
      </c>
      <c r="H89" t="s">
        <v>19</v>
      </c>
      <c r="I89" t="s">
        <v>23</v>
      </c>
      <c r="J89" t="s">
        <v>25</v>
      </c>
      <c r="K89">
        <v>32</v>
      </c>
      <c r="L89" t="s">
        <v>29</v>
      </c>
    </row>
    <row r="90" spans="1:12" x14ac:dyDescent="0.25">
      <c r="A90">
        <v>89</v>
      </c>
      <c r="B90">
        <v>19</v>
      </c>
      <c r="C90" t="s">
        <v>13</v>
      </c>
      <c r="D90" t="s">
        <v>14</v>
      </c>
      <c r="E90">
        <v>23.12</v>
      </c>
      <c r="F90">
        <v>19.25</v>
      </c>
      <c r="G90">
        <v>1.33</v>
      </c>
      <c r="H90" t="s">
        <v>21</v>
      </c>
      <c r="I90" t="s">
        <v>22</v>
      </c>
      <c r="J90" t="s">
        <v>26</v>
      </c>
      <c r="K90">
        <v>20</v>
      </c>
      <c r="L90" t="s">
        <v>29</v>
      </c>
    </row>
    <row r="91" spans="1:12" x14ac:dyDescent="0.25">
      <c r="A91">
        <v>90</v>
      </c>
      <c r="B91">
        <v>79</v>
      </c>
      <c r="C91" t="s">
        <v>13</v>
      </c>
      <c r="D91" t="s">
        <v>14</v>
      </c>
      <c r="E91">
        <v>9.32</v>
      </c>
      <c r="F91">
        <v>6.3</v>
      </c>
      <c r="G91">
        <v>2.23</v>
      </c>
      <c r="H91" t="s">
        <v>21</v>
      </c>
      <c r="I91" t="s">
        <v>23</v>
      </c>
      <c r="J91" t="s">
        <v>25</v>
      </c>
      <c r="K91">
        <v>16</v>
      </c>
      <c r="L91" t="s">
        <v>29</v>
      </c>
    </row>
    <row r="92" spans="1:12" x14ac:dyDescent="0.25">
      <c r="A92">
        <v>91</v>
      </c>
      <c r="B92">
        <v>23</v>
      </c>
      <c r="C92" t="s">
        <v>12</v>
      </c>
      <c r="D92" t="s">
        <v>14</v>
      </c>
      <c r="E92">
        <v>17.420000000000002</v>
      </c>
      <c r="F92">
        <v>4.09</v>
      </c>
      <c r="G92">
        <v>3.46</v>
      </c>
      <c r="H92" t="s">
        <v>19</v>
      </c>
      <c r="I92" t="s">
        <v>24</v>
      </c>
      <c r="J92" t="s">
        <v>25</v>
      </c>
      <c r="K92">
        <v>13</v>
      </c>
      <c r="L92" t="s">
        <v>29</v>
      </c>
    </row>
    <row r="93" spans="1:12" x14ac:dyDescent="0.25">
      <c r="A93">
        <v>92</v>
      </c>
      <c r="B93">
        <v>71</v>
      </c>
      <c r="C93" t="s">
        <v>13</v>
      </c>
      <c r="D93" t="s">
        <v>15</v>
      </c>
      <c r="E93">
        <v>2.54</v>
      </c>
      <c r="F93">
        <v>3.84</v>
      </c>
      <c r="G93">
        <v>5.44</v>
      </c>
      <c r="H93" t="s">
        <v>20</v>
      </c>
      <c r="I93" t="s">
        <v>24</v>
      </c>
      <c r="J93" t="s">
        <v>26</v>
      </c>
      <c r="K93">
        <v>15</v>
      </c>
      <c r="L93" t="s">
        <v>29</v>
      </c>
    </row>
    <row r="94" spans="1:12" x14ac:dyDescent="0.25">
      <c r="A94">
        <v>93</v>
      </c>
      <c r="B94">
        <v>59</v>
      </c>
      <c r="C94" t="s">
        <v>13</v>
      </c>
      <c r="D94" t="s">
        <v>16</v>
      </c>
      <c r="E94">
        <v>13.43</v>
      </c>
      <c r="F94">
        <v>9.52</v>
      </c>
      <c r="G94">
        <v>21.84</v>
      </c>
      <c r="H94" t="s">
        <v>19</v>
      </c>
      <c r="I94" t="s">
        <v>23</v>
      </c>
      <c r="J94" t="s">
        <v>26</v>
      </c>
      <c r="K94">
        <v>35</v>
      </c>
      <c r="L94" t="s">
        <v>29</v>
      </c>
    </row>
    <row r="95" spans="1:12" x14ac:dyDescent="0.25">
      <c r="A95">
        <v>94</v>
      </c>
      <c r="B95">
        <v>21</v>
      </c>
      <c r="C95" t="s">
        <v>12</v>
      </c>
      <c r="D95" t="s">
        <v>15</v>
      </c>
      <c r="E95">
        <v>10.1</v>
      </c>
      <c r="F95">
        <v>14.23</v>
      </c>
      <c r="G95">
        <v>12</v>
      </c>
      <c r="H95" t="s">
        <v>18</v>
      </c>
      <c r="I95" t="s">
        <v>22</v>
      </c>
      <c r="J95" t="s">
        <v>27</v>
      </c>
      <c r="K95">
        <v>15</v>
      </c>
      <c r="L95" t="s">
        <v>29</v>
      </c>
    </row>
    <row r="96" spans="1:12" x14ac:dyDescent="0.25">
      <c r="A96">
        <v>95</v>
      </c>
      <c r="B96">
        <v>71</v>
      </c>
      <c r="C96" t="s">
        <v>13</v>
      </c>
      <c r="D96" t="s">
        <v>15</v>
      </c>
      <c r="E96">
        <v>35.51</v>
      </c>
      <c r="F96">
        <v>27</v>
      </c>
      <c r="G96">
        <v>9.51</v>
      </c>
      <c r="H96" t="s">
        <v>20</v>
      </c>
      <c r="I96" t="s">
        <v>22</v>
      </c>
      <c r="J96" t="s">
        <v>25</v>
      </c>
      <c r="K96">
        <v>27</v>
      </c>
      <c r="L96" t="s">
        <v>29</v>
      </c>
    </row>
    <row r="97" spans="1:12" x14ac:dyDescent="0.25">
      <c r="A97">
        <v>96</v>
      </c>
      <c r="B97">
        <v>46</v>
      </c>
      <c r="C97" t="s">
        <v>12</v>
      </c>
      <c r="D97" t="s">
        <v>15</v>
      </c>
      <c r="E97">
        <v>6.34</v>
      </c>
      <c r="F97">
        <v>0.9</v>
      </c>
      <c r="G97">
        <v>10.28</v>
      </c>
      <c r="H97" t="s">
        <v>19</v>
      </c>
      <c r="I97" t="s">
        <v>24</v>
      </c>
      <c r="J97" t="s">
        <v>26</v>
      </c>
      <c r="K97">
        <v>26</v>
      </c>
      <c r="L97" t="s">
        <v>29</v>
      </c>
    </row>
    <row r="98" spans="1:12" x14ac:dyDescent="0.25">
      <c r="A98">
        <v>97</v>
      </c>
      <c r="B98">
        <v>35</v>
      </c>
      <c r="C98" t="s">
        <v>12</v>
      </c>
      <c r="D98" t="s">
        <v>16</v>
      </c>
      <c r="E98">
        <v>15.71</v>
      </c>
      <c r="F98">
        <v>24.84</v>
      </c>
      <c r="G98">
        <v>17.100000000000001</v>
      </c>
      <c r="H98" t="s">
        <v>21</v>
      </c>
      <c r="I98" t="s">
        <v>22</v>
      </c>
      <c r="J98" t="s">
        <v>26</v>
      </c>
      <c r="K98">
        <v>31</v>
      </c>
      <c r="L98" t="s">
        <v>29</v>
      </c>
    </row>
    <row r="99" spans="1:12" x14ac:dyDescent="0.25">
      <c r="A99">
        <v>98</v>
      </c>
      <c r="B99">
        <v>43</v>
      </c>
      <c r="C99" t="s">
        <v>13</v>
      </c>
      <c r="D99" t="s">
        <v>16</v>
      </c>
      <c r="E99">
        <v>21.64</v>
      </c>
      <c r="F99">
        <v>11.14</v>
      </c>
      <c r="G99">
        <v>16.38</v>
      </c>
      <c r="H99" t="s">
        <v>19</v>
      </c>
      <c r="I99" t="s">
        <v>23</v>
      </c>
      <c r="J99" t="s">
        <v>26</v>
      </c>
      <c r="K99">
        <v>8</v>
      </c>
      <c r="L99" t="s">
        <v>29</v>
      </c>
    </row>
    <row r="100" spans="1:12" x14ac:dyDescent="0.25">
      <c r="A100">
        <v>99</v>
      </c>
      <c r="B100">
        <v>61</v>
      </c>
      <c r="C100" t="s">
        <v>13</v>
      </c>
      <c r="D100" t="s">
        <v>15</v>
      </c>
      <c r="E100">
        <v>32.5</v>
      </c>
      <c r="F100">
        <v>18.64</v>
      </c>
      <c r="G100">
        <v>9.42</v>
      </c>
      <c r="H100" t="s">
        <v>20</v>
      </c>
      <c r="I100" t="s">
        <v>23</v>
      </c>
      <c r="J100" t="s">
        <v>26</v>
      </c>
      <c r="K100">
        <v>20</v>
      </c>
      <c r="L100" t="s">
        <v>29</v>
      </c>
    </row>
    <row r="101" spans="1:12" x14ac:dyDescent="0.25">
      <c r="A101">
        <v>100</v>
      </c>
      <c r="B101">
        <v>51</v>
      </c>
      <c r="C101" t="s">
        <v>13</v>
      </c>
      <c r="D101" t="s">
        <v>17</v>
      </c>
      <c r="E101">
        <v>29.77</v>
      </c>
      <c r="F101">
        <v>15.84</v>
      </c>
      <c r="G101">
        <v>19.46</v>
      </c>
      <c r="H101" t="s">
        <v>19</v>
      </c>
      <c r="I101" t="s">
        <v>23</v>
      </c>
      <c r="J101" t="s">
        <v>26</v>
      </c>
      <c r="K101">
        <v>30</v>
      </c>
      <c r="L101" t="s">
        <v>29</v>
      </c>
    </row>
    <row r="102" spans="1:12" x14ac:dyDescent="0.25">
      <c r="A102">
        <v>101</v>
      </c>
      <c r="B102">
        <v>27</v>
      </c>
      <c r="C102" t="s">
        <v>13</v>
      </c>
      <c r="D102" t="s">
        <v>17</v>
      </c>
      <c r="E102">
        <v>16.579999999999998</v>
      </c>
      <c r="F102">
        <v>9.9700000000000006</v>
      </c>
      <c r="G102">
        <v>6.37</v>
      </c>
      <c r="H102" t="s">
        <v>21</v>
      </c>
      <c r="I102" t="s">
        <v>24</v>
      </c>
      <c r="J102" t="s">
        <v>25</v>
      </c>
      <c r="K102">
        <v>7</v>
      </c>
      <c r="L102" t="s">
        <v>30</v>
      </c>
    </row>
    <row r="103" spans="1:12" x14ac:dyDescent="0.25">
      <c r="A103">
        <v>102</v>
      </c>
      <c r="B103">
        <v>79</v>
      </c>
      <c r="C103" t="s">
        <v>13</v>
      </c>
      <c r="D103" t="s">
        <v>17</v>
      </c>
      <c r="E103">
        <v>18.21</v>
      </c>
      <c r="F103">
        <v>9.68</v>
      </c>
      <c r="G103">
        <v>15.73</v>
      </c>
      <c r="H103" t="s">
        <v>18</v>
      </c>
      <c r="I103" t="s">
        <v>23</v>
      </c>
      <c r="J103" t="s">
        <v>26</v>
      </c>
      <c r="K103">
        <v>20</v>
      </c>
      <c r="L103" t="s">
        <v>29</v>
      </c>
    </row>
    <row r="104" spans="1:12" x14ac:dyDescent="0.25">
      <c r="A104">
        <v>103</v>
      </c>
      <c r="B104">
        <v>53</v>
      </c>
      <c r="C104" t="s">
        <v>13</v>
      </c>
      <c r="D104" t="s">
        <v>15</v>
      </c>
      <c r="E104">
        <v>35.49</v>
      </c>
      <c r="F104">
        <v>12.82</v>
      </c>
      <c r="G104">
        <v>19.100000000000001</v>
      </c>
      <c r="H104" t="s">
        <v>19</v>
      </c>
      <c r="I104" t="s">
        <v>23</v>
      </c>
      <c r="J104" t="s">
        <v>26</v>
      </c>
      <c r="K104">
        <v>9</v>
      </c>
      <c r="L104" t="s">
        <v>30</v>
      </c>
    </row>
    <row r="105" spans="1:12" x14ac:dyDescent="0.25">
      <c r="A105">
        <v>104</v>
      </c>
      <c r="B105">
        <v>31</v>
      </c>
      <c r="C105" t="s">
        <v>13</v>
      </c>
      <c r="D105" t="s">
        <v>17</v>
      </c>
      <c r="E105">
        <v>16.37</v>
      </c>
      <c r="F105">
        <v>7.92</v>
      </c>
      <c r="G105">
        <v>17</v>
      </c>
      <c r="H105" t="s">
        <v>19</v>
      </c>
      <c r="I105" t="s">
        <v>24</v>
      </c>
      <c r="J105" t="s">
        <v>26</v>
      </c>
      <c r="K105">
        <v>11</v>
      </c>
      <c r="L105" t="s">
        <v>30</v>
      </c>
    </row>
    <row r="106" spans="1:12" x14ac:dyDescent="0.25">
      <c r="A106">
        <v>105</v>
      </c>
      <c r="B106">
        <v>48</v>
      </c>
      <c r="C106" t="s">
        <v>12</v>
      </c>
      <c r="D106" t="s">
        <v>16</v>
      </c>
      <c r="E106">
        <v>19.52</v>
      </c>
      <c r="F106">
        <v>8.43</v>
      </c>
      <c r="G106">
        <v>4.05</v>
      </c>
      <c r="H106" t="s">
        <v>18</v>
      </c>
      <c r="I106" t="s">
        <v>24</v>
      </c>
      <c r="J106" t="s">
        <v>26</v>
      </c>
      <c r="K106">
        <v>14</v>
      </c>
      <c r="L106" t="s">
        <v>29</v>
      </c>
    </row>
    <row r="107" spans="1:12" x14ac:dyDescent="0.25">
      <c r="A107">
        <v>106</v>
      </c>
      <c r="B107">
        <v>65</v>
      </c>
      <c r="C107" t="s">
        <v>13</v>
      </c>
      <c r="D107" t="s">
        <v>15</v>
      </c>
      <c r="E107">
        <v>36.21</v>
      </c>
      <c r="F107">
        <v>14.72</v>
      </c>
      <c r="G107">
        <v>7.87</v>
      </c>
      <c r="H107" t="s">
        <v>19</v>
      </c>
      <c r="I107" t="s">
        <v>24</v>
      </c>
      <c r="J107" t="s">
        <v>27</v>
      </c>
      <c r="K107">
        <v>26</v>
      </c>
      <c r="L107" t="s">
        <v>29</v>
      </c>
    </row>
    <row r="108" spans="1:12" x14ac:dyDescent="0.25">
      <c r="A108">
        <v>107</v>
      </c>
      <c r="B108">
        <v>32</v>
      </c>
      <c r="C108" t="s">
        <v>12</v>
      </c>
      <c r="D108" t="s">
        <v>15</v>
      </c>
      <c r="E108">
        <v>66.16</v>
      </c>
      <c r="F108">
        <v>4.97</v>
      </c>
      <c r="G108">
        <v>1.63</v>
      </c>
      <c r="H108" t="s">
        <v>21</v>
      </c>
      <c r="I108" t="s">
        <v>22</v>
      </c>
      <c r="J108" t="s">
        <v>26</v>
      </c>
      <c r="K108">
        <v>11</v>
      </c>
      <c r="L108" t="s">
        <v>29</v>
      </c>
    </row>
    <row r="109" spans="1:12" x14ac:dyDescent="0.25">
      <c r="A109">
        <v>108</v>
      </c>
      <c r="B109">
        <v>25</v>
      </c>
      <c r="C109" t="s">
        <v>13</v>
      </c>
      <c r="D109" t="s">
        <v>17</v>
      </c>
      <c r="E109">
        <v>20.64</v>
      </c>
      <c r="F109">
        <v>19.850000000000001</v>
      </c>
      <c r="G109">
        <v>2.91</v>
      </c>
      <c r="H109" t="s">
        <v>18</v>
      </c>
      <c r="I109" t="s">
        <v>22</v>
      </c>
      <c r="J109" t="s">
        <v>25</v>
      </c>
      <c r="K109">
        <v>14</v>
      </c>
      <c r="L109" t="s">
        <v>29</v>
      </c>
    </row>
    <row r="110" spans="1:12" x14ac:dyDescent="0.25">
      <c r="A110">
        <v>109</v>
      </c>
      <c r="B110">
        <v>31</v>
      </c>
      <c r="C110" t="s">
        <v>13</v>
      </c>
      <c r="D110" t="s">
        <v>14</v>
      </c>
      <c r="E110">
        <v>24.4</v>
      </c>
      <c r="F110">
        <v>18.739999999999998</v>
      </c>
      <c r="G110">
        <v>7.5</v>
      </c>
      <c r="H110" t="s">
        <v>21</v>
      </c>
      <c r="I110" t="s">
        <v>22</v>
      </c>
      <c r="J110" t="s">
        <v>26</v>
      </c>
      <c r="K110">
        <v>11</v>
      </c>
      <c r="L110" t="s">
        <v>29</v>
      </c>
    </row>
    <row r="111" spans="1:12" x14ac:dyDescent="0.25">
      <c r="A111">
        <v>110</v>
      </c>
      <c r="B111">
        <v>40</v>
      </c>
      <c r="C111" t="s">
        <v>12</v>
      </c>
      <c r="D111" t="s">
        <v>16</v>
      </c>
      <c r="E111">
        <v>29.22</v>
      </c>
      <c r="F111">
        <v>6.61</v>
      </c>
      <c r="G111">
        <v>9.7799999999999994</v>
      </c>
      <c r="H111" t="s">
        <v>21</v>
      </c>
      <c r="I111" t="s">
        <v>23</v>
      </c>
      <c r="J111" t="s">
        <v>26</v>
      </c>
      <c r="K111">
        <v>24</v>
      </c>
      <c r="L111" t="s">
        <v>30</v>
      </c>
    </row>
    <row r="112" spans="1:12" x14ac:dyDescent="0.25">
      <c r="A112">
        <v>111</v>
      </c>
      <c r="B112">
        <v>77</v>
      </c>
      <c r="C112" t="s">
        <v>13</v>
      </c>
      <c r="D112" t="s">
        <v>16</v>
      </c>
      <c r="E112">
        <v>36</v>
      </c>
      <c r="F112">
        <v>14.82</v>
      </c>
      <c r="G112">
        <v>11.96</v>
      </c>
      <c r="H112" t="s">
        <v>21</v>
      </c>
      <c r="I112" t="s">
        <v>22</v>
      </c>
      <c r="J112" t="s">
        <v>25</v>
      </c>
      <c r="K112">
        <v>19</v>
      </c>
      <c r="L112" t="s">
        <v>29</v>
      </c>
    </row>
    <row r="113" spans="1:12" x14ac:dyDescent="0.25">
      <c r="A113">
        <v>112</v>
      </c>
      <c r="B113">
        <v>74</v>
      </c>
      <c r="C113" t="s">
        <v>13</v>
      </c>
      <c r="D113" t="s">
        <v>17</v>
      </c>
      <c r="E113">
        <v>33</v>
      </c>
      <c r="F113">
        <v>13.52</v>
      </c>
      <c r="G113">
        <v>2.86</v>
      </c>
      <c r="H113" t="s">
        <v>20</v>
      </c>
      <c r="I113" t="s">
        <v>23</v>
      </c>
      <c r="J113" t="s">
        <v>26</v>
      </c>
      <c r="K113">
        <v>35</v>
      </c>
      <c r="L113" t="s">
        <v>30</v>
      </c>
    </row>
    <row r="114" spans="1:12" x14ac:dyDescent="0.25">
      <c r="A114">
        <v>113</v>
      </c>
      <c r="B114">
        <v>79</v>
      </c>
      <c r="C114" t="s">
        <v>12</v>
      </c>
      <c r="D114" t="s">
        <v>17</v>
      </c>
      <c r="E114">
        <v>11.43</v>
      </c>
      <c r="F114">
        <v>6.05</v>
      </c>
      <c r="G114">
        <v>8.32</v>
      </c>
      <c r="H114" t="s">
        <v>18</v>
      </c>
      <c r="I114" t="s">
        <v>23</v>
      </c>
      <c r="J114" t="s">
        <v>25</v>
      </c>
      <c r="K114">
        <v>26</v>
      </c>
      <c r="L114" t="s">
        <v>29</v>
      </c>
    </row>
    <row r="115" spans="1:12" x14ac:dyDescent="0.25">
      <c r="A115">
        <v>114</v>
      </c>
      <c r="B115">
        <v>57</v>
      </c>
      <c r="C115" t="s">
        <v>13</v>
      </c>
      <c r="D115" t="s">
        <v>15</v>
      </c>
      <c r="E115">
        <v>21.55</v>
      </c>
      <c r="F115">
        <v>15.6</v>
      </c>
      <c r="G115">
        <v>17.55</v>
      </c>
      <c r="H115" t="s">
        <v>20</v>
      </c>
      <c r="I115" t="s">
        <v>24</v>
      </c>
      <c r="J115" t="s">
        <v>26</v>
      </c>
      <c r="K115">
        <v>17</v>
      </c>
      <c r="L115" t="s">
        <v>30</v>
      </c>
    </row>
    <row r="116" spans="1:12" x14ac:dyDescent="0.25">
      <c r="A116">
        <v>115</v>
      </c>
      <c r="B116">
        <v>38</v>
      </c>
      <c r="C116" t="s">
        <v>13</v>
      </c>
      <c r="D116" t="s">
        <v>16</v>
      </c>
      <c r="E116">
        <v>33.15</v>
      </c>
      <c r="F116">
        <v>26.04</v>
      </c>
      <c r="G116">
        <v>11.03</v>
      </c>
      <c r="H116" t="s">
        <v>20</v>
      </c>
      <c r="I116" t="s">
        <v>23</v>
      </c>
      <c r="J116" t="s">
        <v>25</v>
      </c>
      <c r="K116">
        <v>31</v>
      </c>
      <c r="L116" t="s">
        <v>29</v>
      </c>
    </row>
    <row r="117" spans="1:12" x14ac:dyDescent="0.25">
      <c r="A117">
        <v>116</v>
      </c>
      <c r="B117">
        <v>33</v>
      </c>
      <c r="C117" t="s">
        <v>13</v>
      </c>
      <c r="D117" t="s">
        <v>14</v>
      </c>
      <c r="E117">
        <v>40.68</v>
      </c>
      <c r="F117">
        <v>20.309999999999999</v>
      </c>
      <c r="G117">
        <v>13.48</v>
      </c>
      <c r="H117" t="s">
        <v>19</v>
      </c>
      <c r="I117" t="s">
        <v>24</v>
      </c>
      <c r="J117" t="s">
        <v>25</v>
      </c>
      <c r="K117">
        <v>34</v>
      </c>
      <c r="L117" t="s">
        <v>30</v>
      </c>
    </row>
    <row r="118" spans="1:12" x14ac:dyDescent="0.25">
      <c r="A118">
        <v>117</v>
      </c>
      <c r="B118">
        <v>62</v>
      </c>
      <c r="C118" t="s">
        <v>12</v>
      </c>
      <c r="D118" t="s">
        <v>16</v>
      </c>
      <c r="E118">
        <v>15.73</v>
      </c>
      <c r="F118">
        <v>2.58</v>
      </c>
      <c r="G118">
        <v>9.7899999999999991</v>
      </c>
      <c r="H118" t="s">
        <v>18</v>
      </c>
      <c r="I118" t="s">
        <v>23</v>
      </c>
      <c r="J118" t="s">
        <v>25</v>
      </c>
      <c r="K118">
        <v>35</v>
      </c>
      <c r="L118" t="s">
        <v>29</v>
      </c>
    </row>
    <row r="119" spans="1:12" x14ac:dyDescent="0.25">
      <c r="A119">
        <v>118</v>
      </c>
      <c r="B119">
        <v>35</v>
      </c>
      <c r="C119" t="s">
        <v>13</v>
      </c>
      <c r="D119" t="s">
        <v>14</v>
      </c>
      <c r="E119">
        <v>21.21</v>
      </c>
      <c r="F119">
        <v>13.86</v>
      </c>
      <c r="G119">
        <v>5.0599999999999996</v>
      </c>
      <c r="H119" t="s">
        <v>19</v>
      </c>
      <c r="I119" t="s">
        <v>23</v>
      </c>
      <c r="J119" t="s">
        <v>25</v>
      </c>
      <c r="K119">
        <v>31</v>
      </c>
      <c r="L119" t="s">
        <v>29</v>
      </c>
    </row>
    <row r="120" spans="1:12" x14ac:dyDescent="0.25">
      <c r="A120">
        <v>119</v>
      </c>
      <c r="B120">
        <v>64</v>
      </c>
      <c r="C120" t="s">
        <v>13</v>
      </c>
      <c r="D120" t="s">
        <v>16</v>
      </c>
      <c r="E120">
        <v>22.82</v>
      </c>
      <c r="F120">
        <v>18.14</v>
      </c>
      <c r="G120">
        <v>3.77</v>
      </c>
      <c r="H120" t="s">
        <v>20</v>
      </c>
      <c r="I120" t="s">
        <v>22</v>
      </c>
      <c r="J120" t="s">
        <v>25</v>
      </c>
      <c r="K120">
        <v>17</v>
      </c>
      <c r="L120" t="s">
        <v>29</v>
      </c>
    </row>
    <row r="121" spans="1:12" x14ac:dyDescent="0.25">
      <c r="A121">
        <v>120</v>
      </c>
      <c r="B121">
        <v>70</v>
      </c>
      <c r="C121" t="s">
        <v>13</v>
      </c>
      <c r="D121" t="s">
        <v>15</v>
      </c>
      <c r="E121">
        <v>17.8</v>
      </c>
      <c r="F121">
        <v>5.73</v>
      </c>
      <c r="G121">
        <v>7.87</v>
      </c>
      <c r="H121" t="s">
        <v>19</v>
      </c>
      <c r="I121" t="s">
        <v>22</v>
      </c>
      <c r="J121" t="s">
        <v>27</v>
      </c>
      <c r="K121">
        <v>29</v>
      </c>
      <c r="L121" t="s">
        <v>29</v>
      </c>
    </row>
    <row r="122" spans="1:12" x14ac:dyDescent="0.25">
      <c r="A122">
        <v>121</v>
      </c>
      <c r="B122">
        <v>41</v>
      </c>
      <c r="C122" t="s">
        <v>13</v>
      </c>
      <c r="D122" t="s">
        <v>14</v>
      </c>
      <c r="E122">
        <v>20.86</v>
      </c>
      <c r="F122">
        <v>19.850000000000001</v>
      </c>
      <c r="G122">
        <v>14.62</v>
      </c>
      <c r="H122" t="s">
        <v>21</v>
      </c>
      <c r="I122" t="s">
        <v>22</v>
      </c>
      <c r="J122" t="s">
        <v>26</v>
      </c>
      <c r="K122">
        <v>6</v>
      </c>
      <c r="L122" t="s">
        <v>29</v>
      </c>
    </row>
    <row r="123" spans="1:12" x14ac:dyDescent="0.25">
      <c r="A123">
        <v>122</v>
      </c>
      <c r="B123">
        <v>43</v>
      </c>
      <c r="C123" t="s">
        <v>12</v>
      </c>
      <c r="D123" t="s">
        <v>15</v>
      </c>
      <c r="E123">
        <v>90.44</v>
      </c>
      <c r="F123">
        <v>5.18</v>
      </c>
      <c r="G123">
        <v>4.42</v>
      </c>
      <c r="H123" t="s">
        <v>20</v>
      </c>
      <c r="I123" t="s">
        <v>24</v>
      </c>
      <c r="J123" t="s">
        <v>25</v>
      </c>
      <c r="K123">
        <v>20</v>
      </c>
      <c r="L123" t="s">
        <v>29</v>
      </c>
    </row>
    <row r="124" spans="1:12" x14ac:dyDescent="0.25">
      <c r="A124">
        <v>123</v>
      </c>
      <c r="B124">
        <v>42</v>
      </c>
      <c r="C124" t="s">
        <v>12</v>
      </c>
      <c r="D124" t="s">
        <v>17</v>
      </c>
      <c r="E124">
        <v>15.28</v>
      </c>
      <c r="F124">
        <v>7.85</v>
      </c>
      <c r="G124">
        <v>6.22</v>
      </c>
      <c r="H124" t="s">
        <v>21</v>
      </c>
      <c r="I124" t="s">
        <v>23</v>
      </c>
      <c r="J124" t="s">
        <v>26</v>
      </c>
      <c r="K124">
        <v>23</v>
      </c>
      <c r="L124" t="s">
        <v>29</v>
      </c>
    </row>
    <row r="125" spans="1:12" x14ac:dyDescent="0.25">
      <c r="A125">
        <v>124</v>
      </c>
      <c r="B125">
        <v>77</v>
      </c>
      <c r="C125" t="s">
        <v>13</v>
      </c>
      <c r="D125" t="s">
        <v>15</v>
      </c>
      <c r="E125">
        <v>16.11</v>
      </c>
      <c r="F125">
        <v>5.36</v>
      </c>
      <c r="G125">
        <v>9.3800000000000008</v>
      </c>
      <c r="H125" t="s">
        <v>18</v>
      </c>
      <c r="I125" t="s">
        <v>24</v>
      </c>
      <c r="J125" t="s">
        <v>26</v>
      </c>
      <c r="K125">
        <v>10</v>
      </c>
      <c r="L125" t="s">
        <v>29</v>
      </c>
    </row>
    <row r="126" spans="1:12" x14ac:dyDescent="0.25">
      <c r="A126">
        <v>125</v>
      </c>
      <c r="B126">
        <v>77</v>
      </c>
      <c r="C126" t="s">
        <v>13</v>
      </c>
      <c r="D126" t="s">
        <v>15</v>
      </c>
      <c r="E126">
        <v>4.3099999999999996</v>
      </c>
      <c r="F126">
        <v>4.63</v>
      </c>
      <c r="G126">
        <v>26</v>
      </c>
      <c r="H126" t="s">
        <v>19</v>
      </c>
      <c r="I126" t="s">
        <v>23</v>
      </c>
      <c r="J126" t="s">
        <v>26</v>
      </c>
      <c r="K126">
        <v>8</v>
      </c>
      <c r="L126" t="s">
        <v>29</v>
      </c>
    </row>
    <row r="127" spans="1:12" x14ac:dyDescent="0.25">
      <c r="A127">
        <v>126</v>
      </c>
      <c r="B127">
        <v>77</v>
      </c>
      <c r="C127" t="s">
        <v>12</v>
      </c>
      <c r="D127" t="s">
        <v>17</v>
      </c>
      <c r="E127">
        <v>3.66</v>
      </c>
      <c r="F127">
        <v>12.8</v>
      </c>
      <c r="G127">
        <v>11.58</v>
      </c>
      <c r="H127" t="s">
        <v>20</v>
      </c>
      <c r="I127" t="s">
        <v>24</v>
      </c>
      <c r="J127" t="s">
        <v>27</v>
      </c>
      <c r="K127">
        <v>22</v>
      </c>
      <c r="L127" t="s">
        <v>29</v>
      </c>
    </row>
    <row r="128" spans="1:12" x14ac:dyDescent="0.25">
      <c r="A128">
        <v>127</v>
      </c>
      <c r="B128">
        <v>62</v>
      </c>
      <c r="C128" t="s">
        <v>12</v>
      </c>
      <c r="D128" t="s">
        <v>15</v>
      </c>
      <c r="E128">
        <v>23.87</v>
      </c>
      <c r="F128">
        <v>2.82</v>
      </c>
      <c r="G128">
        <v>11.34</v>
      </c>
      <c r="H128" t="s">
        <v>18</v>
      </c>
      <c r="I128" t="s">
        <v>23</v>
      </c>
      <c r="J128" t="s">
        <v>26</v>
      </c>
      <c r="K128">
        <v>4</v>
      </c>
      <c r="L128" t="s">
        <v>30</v>
      </c>
    </row>
    <row r="129" spans="1:12" x14ac:dyDescent="0.25">
      <c r="A129">
        <v>128</v>
      </c>
      <c r="B129">
        <v>58</v>
      </c>
      <c r="C129" t="s">
        <v>13</v>
      </c>
      <c r="D129" t="s">
        <v>17</v>
      </c>
      <c r="E129">
        <v>33.229999999999997</v>
      </c>
      <c r="F129">
        <v>8.1999999999999993</v>
      </c>
      <c r="G129">
        <v>7.01</v>
      </c>
      <c r="H129" t="s">
        <v>21</v>
      </c>
      <c r="I129" t="s">
        <v>24</v>
      </c>
      <c r="J129" t="s">
        <v>25</v>
      </c>
      <c r="K129">
        <v>24</v>
      </c>
      <c r="L129" t="s">
        <v>30</v>
      </c>
    </row>
    <row r="130" spans="1:12" x14ac:dyDescent="0.25">
      <c r="A130">
        <v>129</v>
      </c>
      <c r="B130">
        <v>46</v>
      </c>
      <c r="C130" t="s">
        <v>12</v>
      </c>
      <c r="D130" t="s">
        <v>17</v>
      </c>
      <c r="E130">
        <v>29.53</v>
      </c>
      <c r="F130">
        <v>12.81</v>
      </c>
      <c r="G130">
        <v>26.64</v>
      </c>
      <c r="H130" t="s">
        <v>19</v>
      </c>
      <c r="I130" t="s">
        <v>22</v>
      </c>
      <c r="J130" t="s">
        <v>26</v>
      </c>
      <c r="K130">
        <v>23</v>
      </c>
      <c r="L130" t="s">
        <v>30</v>
      </c>
    </row>
    <row r="131" spans="1:12" x14ac:dyDescent="0.25">
      <c r="A131">
        <v>130</v>
      </c>
      <c r="B131">
        <v>32</v>
      </c>
      <c r="C131" t="s">
        <v>13</v>
      </c>
      <c r="D131" t="s">
        <v>15</v>
      </c>
      <c r="E131">
        <v>9.3000000000000007</v>
      </c>
      <c r="F131">
        <v>5.43</v>
      </c>
      <c r="G131">
        <v>9.99</v>
      </c>
      <c r="H131" t="s">
        <v>19</v>
      </c>
      <c r="I131" t="s">
        <v>23</v>
      </c>
      <c r="J131" t="s">
        <v>26</v>
      </c>
      <c r="K131">
        <v>8</v>
      </c>
      <c r="L131" t="s">
        <v>29</v>
      </c>
    </row>
    <row r="132" spans="1:12" x14ac:dyDescent="0.25">
      <c r="A132">
        <v>131</v>
      </c>
      <c r="B132">
        <v>62</v>
      </c>
      <c r="C132" t="s">
        <v>12</v>
      </c>
      <c r="D132" t="s">
        <v>15</v>
      </c>
      <c r="E132">
        <v>28.45</v>
      </c>
      <c r="F132">
        <v>22.19</v>
      </c>
      <c r="G132">
        <v>18.03</v>
      </c>
      <c r="H132" t="s">
        <v>20</v>
      </c>
      <c r="I132" t="s">
        <v>24</v>
      </c>
      <c r="J132" t="s">
        <v>27</v>
      </c>
      <c r="K132">
        <v>34</v>
      </c>
      <c r="L132" t="s">
        <v>29</v>
      </c>
    </row>
    <row r="133" spans="1:12" x14ac:dyDescent="0.25">
      <c r="A133">
        <v>132</v>
      </c>
      <c r="B133">
        <v>18</v>
      </c>
      <c r="C133" t="s">
        <v>12</v>
      </c>
      <c r="D133" t="s">
        <v>17</v>
      </c>
      <c r="E133">
        <v>15.94</v>
      </c>
      <c r="F133">
        <v>8.73</v>
      </c>
      <c r="G133">
        <v>3.78</v>
      </c>
      <c r="H133" t="s">
        <v>19</v>
      </c>
      <c r="I133" t="s">
        <v>23</v>
      </c>
      <c r="J133" t="s">
        <v>26</v>
      </c>
      <c r="K133">
        <v>8</v>
      </c>
      <c r="L133" t="s">
        <v>29</v>
      </c>
    </row>
    <row r="134" spans="1:12" x14ac:dyDescent="0.25">
      <c r="A134">
        <v>133</v>
      </c>
      <c r="B134">
        <v>42</v>
      </c>
      <c r="C134" t="s">
        <v>12</v>
      </c>
      <c r="D134" t="s">
        <v>15</v>
      </c>
      <c r="E134">
        <v>13.33</v>
      </c>
      <c r="F134">
        <v>28.8</v>
      </c>
      <c r="G134">
        <v>8.5299999999999994</v>
      </c>
      <c r="H134" t="s">
        <v>19</v>
      </c>
      <c r="I134" t="s">
        <v>23</v>
      </c>
      <c r="J134" t="s">
        <v>26</v>
      </c>
      <c r="K134">
        <v>15</v>
      </c>
      <c r="L134" t="s">
        <v>29</v>
      </c>
    </row>
    <row r="135" spans="1:12" x14ac:dyDescent="0.25">
      <c r="A135">
        <v>134</v>
      </c>
      <c r="B135">
        <v>24</v>
      </c>
      <c r="C135" t="s">
        <v>12</v>
      </c>
      <c r="D135" t="s">
        <v>16</v>
      </c>
      <c r="E135">
        <v>5.81</v>
      </c>
      <c r="F135">
        <v>2.5099999999999998</v>
      </c>
      <c r="G135">
        <v>46.36</v>
      </c>
      <c r="H135" t="s">
        <v>21</v>
      </c>
      <c r="I135" t="s">
        <v>24</v>
      </c>
      <c r="J135" t="s">
        <v>26</v>
      </c>
      <c r="K135">
        <v>3</v>
      </c>
      <c r="L135" t="s">
        <v>29</v>
      </c>
    </row>
    <row r="136" spans="1:12" x14ac:dyDescent="0.25">
      <c r="A136">
        <v>135</v>
      </c>
      <c r="B136">
        <v>26</v>
      </c>
      <c r="C136" t="s">
        <v>13</v>
      </c>
      <c r="D136" t="s">
        <v>16</v>
      </c>
      <c r="E136">
        <v>10.210000000000001</v>
      </c>
      <c r="F136">
        <v>13.17</v>
      </c>
      <c r="G136">
        <v>10.17</v>
      </c>
      <c r="H136" t="s">
        <v>21</v>
      </c>
      <c r="I136" t="s">
        <v>23</v>
      </c>
      <c r="J136" t="s">
        <v>25</v>
      </c>
      <c r="K136">
        <v>24</v>
      </c>
      <c r="L136" t="s">
        <v>29</v>
      </c>
    </row>
    <row r="137" spans="1:12" x14ac:dyDescent="0.25">
      <c r="A137">
        <v>136</v>
      </c>
      <c r="B137">
        <v>41</v>
      </c>
      <c r="C137" t="s">
        <v>12</v>
      </c>
      <c r="D137" t="s">
        <v>14</v>
      </c>
      <c r="E137">
        <v>24.22</v>
      </c>
      <c r="F137">
        <v>11.35</v>
      </c>
      <c r="G137">
        <v>6.79</v>
      </c>
      <c r="H137" t="s">
        <v>21</v>
      </c>
      <c r="I137" t="s">
        <v>23</v>
      </c>
      <c r="J137" t="s">
        <v>26</v>
      </c>
      <c r="K137">
        <v>26</v>
      </c>
      <c r="L137" t="s">
        <v>29</v>
      </c>
    </row>
    <row r="138" spans="1:12" x14ac:dyDescent="0.25">
      <c r="A138">
        <v>137</v>
      </c>
      <c r="B138">
        <v>18</v>
      </c>
      <c r="C138" t="s">
        <v>12</v>
      </c>
      <c r="D138" t="s">
        <v>16</v>
      </c>
      <c r="E138">
        <v>21.4</v>
      </c>
      <c r="F138">
        <v>7.18</v>
      </c>
      <c r="G138">
        <v>18.48</v>
      </c>
      <c r="H138" t="s">
        <v>18</v>
      </c>
      <c r="I138" t="s">
        <v>22</v>
      </c>
      <c r="J138" t="s">
        <v>26</v>
      </c>
      <c r="K138">
        <v>32</v>
      </c>
      <c r="L138" t="s">
        <v>29</v>
      </c>
    </row>
    <row r="139" spans="1:12" x14ac:dyDescent="0.25">
      <c r="A139">
        <v>138</v>
      </c>
      <c r="B139">
        <v>61</v>
      </c>
      <c r="C139" t="s">
        <v>13</v>
      </c>
      <c r="D139" t="s">
        <v>17</v>
      </c>
      <c r="E139">
        <v>19.39</v>
      </c>
      <c r="F139">
        <v>10.01</v>
      </c>
      <c r="G139">
        <v>7.34</v>
      </c>
      <c r="H139" t="s">
        <v>18</v>
      </c>
      <c r="I139" t="s">
        <v>24</v>
      </c>
      <c r="J139" t="s">
        <v>25</v>
      </c>
      <c r="K139">
        <v>24</v>
      </c>
      <c r="L139" t="s">
        <v>29</v>
      </c>
    </row>
    <row r="140" spans="1:12" x14ac:dyDescent="0.25">
      <c r="A140">
        <v>139</v>
      </c>
      <c r="B140">
        <v>25</v>
      </c>
      <c r="C140" t="s">
        <v>12</v>
      </c>
      <c r="D140" t="s">
        <v>16</v>
      </c>
      <c r="E140">
        <v>2.2599999999999998</v>
      </c>
      <c r="F140">
        <v>14.59</v>
      </c>
      <c r="G140">
        <v>7.72</v>
      </c>
      <c r="H140" t="s">
        <v>19</v>
      </c>
      <c r="I140" t="s">
        <v>23</v>
      </c>
      <c r="J140" t="s">
        <v>26</v>
      </c>
      <c r="K140">
        <v>14</v>
      </c>
      <c r="L140" t="s">
        <v>29</v>
      </c>
    </row>
    <row r="141" spans="1:12" x14ac:dyDescent="0.25">
      <c r="A141">
        <v>140</v>
      </c>
      <c r="B141">
        <v>41</v>
      </c>
      <c r="C141" t="s">
        <v>12</v>
      </c>
      <c r="D141" t="s">
        <v>15</v>
      </c>
      <c r="E141">
        <v>19.52</v>
      </c>
      <c r="F141">
        <v>16.559999999999999</v>
      </c>
      <c r="G141">
        <v>1.79</v>
      </c>
      <c r="H141" t="s">
        <v>18</v>
      </c>
      <c r="I141" t="s">
        <v>22</v>
      </c>
      <c r="J141" t="s">
        <v>25</v>
      </c>
      <c r="K141">
        <v>28</v>
      </c>
      <c r="L141" t="s">
        <v>29</v>
      </c>
    </row>
    <row r="142" spans="1:12" x14ac:dyDescent="0.25">
      <c r="A142">
        <v>141</v>
      </c>
      <c r="B142">
        <v>28</v>
      </c>
      <c r="C142" t="s">
        <v>13</v>
      </c>
      <c r="D142" t="s">
        <v>15</v>
      </c>
      <c r="E142">
        <v>11.31</v>
      </c>
      <c r="F142">
        <v>8.9499999999999993</v>
      </c>
      <c r="G142">
        <v>1.03</v>
      </c>
      <c r="H142" t="s">
        <v>20</v>
      </c>
      <c r="I142" t="s">
        <v>22</v>
      </c>
      <c r="J142" t="s">
        <v>26</v>
      </c>
      <c r="K142">
        <v>6</v>
      </c>
      <c r="L142" t="s">
        <v>29</v>
      </c>
    </row>
    <row r="143" spans="1:12" x14ac:dyDescent="0.25">
      <c r="A143">
        <v>142</v>
      </c>
      <c r="B143">
        <v>68</v>
      </c>
      <c r="C143" t="s">
        <v>12</v>
      </c>
      <c r="D143" t="s">
        <v>16</v>
      </c>
      <c r="E143">
        <v>21.5</v>
      </c>
      <c r="F143">
        <v>13.3</v>
      </c>
      <c r="G143">
        <v>12.39</v>
      </c>
      <c r="H143" t="s">
        <v>21</v>
      </c>
      <c r="I143" t="s">
        <v>24</v>
      </c>
      <c r="J143" t="s">
        <v>26</v>
      </c>
      <c r="K143">
        <v>21</v>
      </c>
      <c r="L143" t="s">
        <v>30</v>
      </c>
    </row>
    <row r="144" spans="1:12" x14ac:dyDescent="0.25">
      <c r="A144">
        <v>143</v>
      </c>
      <c r="B144">
        <v>34</v>
      </c>
      <c r="C144" t="s">
        <v>13</v>
      </c>
      <c r="D144" t="s">
        <v>17</v>
      </c>
      <c r="E144">
        <v>36.67</v>
      </c>
      <c r="F144">
        <v>4.95</v>
      </c>
      <c r="G144">
        <v>6.31</v>
      </c>
      <c r="H144" t="s">
        <v>18</v>
      </c>
      <c r="I144" t="s">
        <v>24</v>
      </c>
      <c r="J144" t="s">
        <v>25</v>
      </c>
      <c r="K144">
        <v>18</v>
      </c>
      <c r="L144" t="s">
        <v>29</v>
      </c>
    </row>
    <row r="145" spans="1:12" x14ac:dyDescent="0.25">
      <c r="A145">
        <v>144</v>
      </c>
      <c r="B145">
        <v>25</v>
      </c>
      <c r="C145" t="s">
        <v>13</v>
      </c>
      <c r="D145" t="s">
        <v>16</v>
      </c>
      <c r="E145">
        <v>12.57</v>
      </c>
      <c r="F145">
        <v>16.79</v>
      </c>
      <c r="G145">
        <v>14.05</v>
      </c>
      <c r="H145" t="s">
        <v>19</v>
      </c>
      <c r="I145" t="s">
        <v>22</v>
      </c>
      <c r="J145" t="s">
        <v>27</v>
      </c>
      <c r="K145">
        <v>14</v>
      </c>
      <c r="L145" t="s">
        <v>29</v>
      </c>
    </row>
    <row r="146" spans="1:12" x14ac:dyDescent="0.25">
      <c r="A146">
        <v>145</v>
      </c>
      <c r="B146">
        <v>52</v>
      </c>
      <c r="C146" t="s">
        <v>13</v>
      </c>
      <c r="D146" t="s">
        <v>14</v>
      </c>
      <c r="E146">
        <v>18.579999999999998</v>
      </c>
      <c r="F146">
        <v>25.12</v>
      </c>
      <c r="G146">
        <v>11.79</v>
      </c>
      <c r="H146" t="s">
        <v>21</v>
      </c>
      <c r="I146" t="s">
        <v>22</v>
      </c>
      <c r="J146" t="s">
        <v>25</v>
      </c>
      <c r="K146">
        <v>35</v>
      </c>
      <c r="L146" t="s">
        <v>29</v>
      </c>
    </row>
    <row r="147" spans="1:12" x14ac:dyDescent="0.25">
      <c r="A147">
        <v>146</v>
      </c>
      <c r="B147">
        <v>52</v>
      </c>
      <c r="C147" t="s">
        <v>13</v>
      </c>
      <c r="D147" t="s">
        <v>14</v>
      </c>
      <c r="E147">
        <v>54.21</v>
      </c>
      <c r="F147">
        <v>17.68</v>
      </c>
      <c r="G147">
        <v>9.82</v>
      </c>
      <c r="H147" t="s">
        <v>18</v>
      </c>
      <c r="I147" t="s">
        <v>23</v>
      </c>
      <c r="J147" t="s">
        <v>25</v>
      </c>
      <c r="K147">
        <v>23</v>
      </c>
      <c r="L147" t="s">
        <v>30</v>
      </c>
    </row>
    <row r="148" spans="1:12" x14ac:dyDescent="0.25">
      <c r="A148">
        <v>147</v>
      </c>
      <c r="B148">
        <v>50</v>
      </c>
      <c r="C148" t="s">
        <v>12</v>
      </c>
      <c r="D148" t="s">
        <v>14</v>
      </c>
      <c r="E148">
        <v>20.81</v>
      </c>
      <c r="F148">
        <v>5.37</v>
      </c>
      <c r="G148">
        <v>7.76</v>
      </c>
      <c r="H148" t="s">
        <v>21</v>
      </c>
      <c r="I148" t="s">
        <v>23</v>
      </c>
      <c r="J148" t="s">
        <v>26</v>
      </c>
      <c r="K148">
        <v>11</v>
      </c>
      <c r="L148" t="s">
        <v>29</v>
      </c>
    </row>
    <row r="149" spans="1:12" x14ac:dyDescent="0.25">
      <c r="A149">
        <v>148</v>
      </c>
      <c r="B149">
        <v>76</v>
      </c>
      <c r="C149" t="s">
        <v>13</v>
      </c>
      <c r="D149" t="s">
        <v>17</v>
      </c>
      <c r="E149">
        <v>17.07</v>
      </c>
      <c r="F149">
        <v>4.2699999999999996</v>
      </c>
      <c r="G149">
        <v>4.68</v>
      </c>
      <c r="H149" t="s">
        <v>18</v>
      </c>
      <c r="I149" t="s">
        <v>22</v>
      </c>
      <c r="J149" t="s">
        <v>26</v>
      </c>
      <c r="K149">
        <v>10</v>
      </c>
      <c r="L149" t="s">
        <v>29</v>
      </c>
    </row>
    <row r="150" spans="1:12" x14ac:dyDescent="0.25">
      <c r="A150">
        <v>149</v>
      </c>
      <c r="B150">
        <v>22</v>
      </c>
      <c r="C150" t="s">
        <v>12</v>
      </c>
      <c r="D150" t="s">
        <v>15</v>
      </c>
      <c r="E150">
        <v>9.41</v>
      </c>
      <c r="F150">
        <v>40.840000000000003</v>
      </c>
      <c r="G150">
        <v>4.3499999999999996</v>
      </c>
      <c r="H150" t="s">
        <v>19</v>
      </c>
      <c r="I150" t="s">
        <v>24</v>
      </c>
      <c r="J150" t="s">
        <v>26</v>
      </c>
      <c r="K150">
        <v>22</v>
      </c>
      <c r="L150" t="s">
        <v>29</v>
      </c>
    </row>
    <row r="151" spans="1:12" x14ac:dyDescent="0.25">
      <c r="A151">
        <v>150</v>
      </c>
      <c r="B151">
        <v>59</v>
      </c>
      <c r="C151" t="s">
        <v>12</v>
      </c>
      <c r="D151" t="s">
        <v>17</v>
      </c>
      <c r="E151">
        <v>28.95</v>
      </c>
      <c r="F151">
        <v>24.03</v>
      </c>
      <c r="G151">
        <v>2.4700000000000002</v>
      </c>
      <c r="H151" t="s">
        <v>18</v>
      </c>
      <c r="I151" t="s">
        <v>22</v>
      </c>
      <c r="J151" t="s">
        <v>27</v>
      </c>
      <c r="K151">
        <v>12</v>
      </c>
      <c r="L151" t="s">
        <v>29</v>
      </c>
    </row>
    <row r="152" spans="1:12" x14ac:dyDescent="0.25">
      <c r="A152">
        <v>151</v>
      </c>
      <c r="B152">
        <v>56</v>
      </c>
      <c r="C152" t="s">
        <v>12</v>
      </c>
      <c r="D152" t="s">
        <v>17</v>
      </c>
      <c r="E152">
        <v>8.1999999999999993</v>
      </c>
      <c r="F152">
        <v>16.600000000000001</v>
      </c>
      <c r="G152">
        <v>9.09</v>
      </c>
      <c r="H152" t="s">
        <v>18</v>
      </c>
      <c r="I152" t="s">
        <v>23</v>
      </c>
      <c r="J152" t="s">
        <v>27</v>
      </c>
      <c r="K152">
        <v>34</v>
      </c>
      <c r="L152" t="s">
        <v>29</v>
      </c>
    </row>
    <row r="153" spans="1:12" x14ac:dyDescent="0.25">
      <c r="A153">
        <v>152</v>
      </c>
      <c r="B153">
        <v>75</v>
      </c>
      <c r="C153" t="s">
        <v>12</v>
      </c>
      <c r="D153" t="s">
        <v>16</v>
      </c>
      <c r="E153">
        <v>37.659999999999997</v>
      </c>
      <c r="F153">
        <v>26.22</v>
      </c>
      <c r="G153">
        <v>26.03</v>
      </c>
      <c r="H153" t="s">
        <v>18</v>
      </c>
      <c r="I153" t="s">
        <v>22</v>
      </c>
      <c r="J153" t="s">
        <v>28</v>
      </c>
      <c r="K153">
        <v>30</v>
      </c>
      <c r="L153" t="s">
        <v>29</v>
      </c>
    </row>
    <row r="154" spans="1:12" x14ac:dyDescent="0.25">
      <c r="A154">
        <v>153</v>
      </c>
      <c r="B154">
        <v>58</v>
      </c>
      <c r="C154" t="s">
        <v>12</v>
      </c>
      <c r="D154" t="s">
        <v>16</v>
      </c>
      <c r="E154">
        <v>26.4</v>
      </c>
      <c r="F154">
        <v>9.77</v>
      </c>
      <c r="G154">
        <v>33.950000000000003</v>
      </c>
      <c r="H154" t="s">
        <v>21</v>
      </c>
      <c r="I154" t="s">
        <v>22</v>
      </c>
      <c r="J154" t="s">
        <v>26</v>
      </c>
      <c r="K154">
        <v>12</v>
      </c>
      <c r="L154" t="s">
        <v>30</v>
      </c>
    </row>
    <row r="155" spans="1:12" x14ac:dyDescent="0.25">
      <c r="A155">
        <v>154</v>
      </c>
      <c r="B155">
        <v>45</v>
      </c>
      <c r="C155" t="s">
        <v>12</v>
      </c>
      <c r="D155" t="s">
        <v>16</v>
      </c>
      <c r="E155">
        <v>11.6</v>
      </c>
      <c r="F155">
        <v>16.39</v>
      </c>
      <c r="G155">
        <v>4.54</v>
      </c>
      <c r="H155" t="s">
        <v>18</v>
      </c>
      <c r="I155" t="s">
        <v>22</v>
      </c>
      <c r="J155" t="s">
        <v>26</v>
      </c>
      <c r="K155">
        <v>10</v>
      </c>
      <c r="L155" t="s">
        <v>29</v>
      </c>
    </row>
    <row r="156" spans="1:12" x14ac:dyDescent="0.25">
      <c r="A156">
        <v>155</v>
      </c>
      <c r="B156">
        <v>24</v>
      </c>
      <c r="C156" t="s">
        <v>12</v>
      </c>
      <c r="D156" t="s">
        <v>17</v>
      </c>
      <c r="E156">
        <v>9.66</v>
      </c>
      <c r="F156">
        <v>22.03</v>
      </c>
      <c r="G156">
        <v>16.690000000000001</v>
      </c>
      <c r="H156" t="s">
        <v>18</v>
      </c>
      <c r="I156" t="s">
        <v>22</v>
      </c>
      <c r="J156" t="s">
        <v>25</v>
      </c>
      <c r="K156">
        <v>35</v>
      </c>
      <c r="L156" t="s">
        <v>29</v>
      </c>
    </row>
    <row r="157" spans="1:12" x14ac:dyDescent="0.25">
      <c r="A157">
        <v>156</v>
      </c>
      <c r="B157">
        <v>26</v>
      </c>
      <c r="C157" t="s">
        <v>12</v>
      </c>
      <c r="D157" t="s">
        <v>15</v>
      </c>
      <c r="E157">
        <v>9.84</v>
      </c>
      <c r="F157">
        <v>7.91</v>
      </c>
      <c r="G157">
        <v>21.71</v>
      </c>
      <c r="H157" t="s">
        <v>18</v>
      </c>
      <c r="I157" t="s">
        <v>22</v>
      </c>
      <c r="J157" t="s">
        <v>25</v>
      </c>
      <c r="K157">
        <v>15</v>
      </c>
      <c r="L157" t="s">
        <v>29</v>
      </c>
    </row>
    <row r="158" spans="1:12" x14ac:dyDescent="0.25">
      <c r="A158">
        <v>157</v>
      </c>
      <c r="B158">
        <v>25</v>
      </c>
      <c r="C158" t="s">
        <v>12</v>
      </c>
      <c r="D158" t="s">
        <v>17</v>
      </c>
      <c r="E158">
        <v>3.72</v>
      </c>
      <c r="F158">
        <v>13.85</v>
      </c>
      <c r="G158">
        <v>5.6</v>
      </c>
      <c r="H158" t="s">
        <v>21</v>
      </c>
      <c r="I158" t="s">
        <v>23</v>
      </c>
      <c r="J158" t="s">
        <v>25</v>
      </c>
      <c r="K158">
        <v>31</v>
      </c>
      <c r="L158" t="s">
        <v>29</v>
      </c>
    </row>
    <row r="159" spans="1:12" x14ac:dyDescent="0.25">
      <c r="A159">
        <v>158</v>
      </c>
      <c r="B159">
        <v>29</v>
      </c>
      <c r="C159" t="s">
        <v>12</v>
      </c>
      <c r="D159" t="s">
        <v>15</v>
      </c>
      <c r="E159">
        <v>23.5</v>
      </c>
      <c r="F159">
        <v>20.41</v>
      </c>
      <c r="G159">
        <v>15.11</v>
      </c>
      <c r="H159" t="s">
        <v>19</v>
      </c>
      <c r="I159" t="s">
        <v>24</v>
      </c>
      <c r="J159" t="s">
        <v>25</v>
      </c>
      <c r="K159">
        <v>7</v>
      </c>
      <c r="L159" t="s">
        <v>30</v>
      </c>
    </row>
    <row r="160" spans="1:12" x14ac:dyDescent="0.25">
      <c r="A160">
        <v>159</v>
      </c>
      <c r="B160">
        <v>51</v>
      </c>
      <c r="C160" t="s">
        <v>13</v>
      </c>
      <c r="D160" t="s">
        <v>14</v>
      </c>
      <c r="E160">
        <v>2.58</v>
      </c>
      <c r="F160">
        <v>4</v>
      </c>
      <c r="G160">
        <v>19.55</v>
      </c>
      <c r="H160" t="s">
        <v>19</v>
      </c>
      <c r="I160" t="s">
        <v>22</v>
      </c>
      <c r="J160" t="s">
        <v>26</v>
      </c>
      <c r="K160">
        <v>5</v>
      </c>
      <c r="L160" t="s">
        <v>30</v>
      </c>
    </row>
    <row r="161" spans="1:12" x14ac:dyDescent="0.25">
      <c r="A161">
        <v>160</v>
      </c>
      <c r="B161">
        <v>50</v>
      </c>
      <c r="C161" t="s">
        <v>13</v>
      </c>
      <c r="D161" t="s">
        <v>15</v>
      </c>
      <c r="E161">
        <v>16.34</v>
      </c>
      <c r="F161">
        <v>7.3</v>
      </c>
      <c r="G161">
        <v>2.4300000000000002</v>
      </c>
      <c r="H161" t="s">
        <v>19</v>
      </c>
      <c r="I161" t="s">
        <v>23</v>
      </c>
      <c r="J161" t="s">
        <v>26</v>
      </c>
      <c r="K161">
        <v>8</v>
      </c>
      <c r="L161" t="s">
        <v>30</v>
      </c>
    </row>
    <row r="162" spans="1:12" x14ac:dyDescent="0.25">
      <c r="A162">
        <v>161</v>
      </c>
      <c r="B162">
        <v>65</v>
      </c>
      <c r="C162" t="s">
        <v>13</v>
      </c>
      <c r="D162" t="s">
        <v>15</v>
      </c>
      <c r="E162">
        <v>15.62</v>
      </c>
      <c r="F162">
        <v>20.11</v>
      </c>
      <c r="G162">
        <v>12.77</v>
      </c>
      <c r="H162" t="s">
        <v>18</v>
      </c>
      <c r="I162" t="s">
        <v>23</v>
      </c>
      <c r="J162" t="s">
        <v>26</v>
      </c>
      <c r="K162">
        <v>18</v>
      </c>
      <c r="L162" t="s">
        <v>29</v>
      </c>
    </row>
    <row r="163" spans="1:12" x14ac:dyDescent="0.25">
      <c r="A163">
        <v>162</v>
      </c>
      <c r="B163">
        <v>72</v>
      </c>
      <c r="C163" t="s">
        <v>12</v>
      </c>
      <c r="D163" t="s">
        <v>15</v>
      </c>
      <c r="E163">
        <v>13.76</v>
      </c>
      <c r="F163">
        <v>11.57</v>
      </c>
      <c r="G163">
        <v>3.82</v>
      </c>
      <c r="H163" t="s">
        <v>21</v>
      </c>
      <c r="I163" t="s">
        <v>24</v>
      </c>
      <c r="J163" t="s">
        <v>26</v>
      </c>
      <c r="K163">
        <v>20</v>
      </c>
      <c r="L163" t="s">
        <v>29</v>
      </c>
    </row>
    <row r="164" spans="1:12" x14ac:dyDescent="0.25">
      <c r="A164">
        <v>163</v>
      </c>
      <c r="B164">
        <v>40</v>
      </c>
      <c r="C164" t="s">
        <v>13</v>
      </c>
      <c r="D164" t="s">
        <v>16</v>
      </c>
      <c r="E164">
        <v>23.4</v>
      </c>
      <c r="F164">
        <v>10.47</v>
      </c>
      <c r="G164">
        <v>13.14</v>
      </c>
      <c r="H164" t="s">
        <v>19</v>
      </c>
      <c r="I164" t="s">
        <v>24</v>
      </c>
      <c r="J164" t="s">
        <v>26</v>
      </c>
      <c r="K164">
        <v>13</v>
      </c>
      <c r="L164" t="s">
        <v>29</v>
      </c>
    </row>
    <row r="165" spans="1:12" x14ac:dyDescent="0.25">
      <c r="A165">
        <v>164</v>
      </c>
      <c r="B165">
        <v>79</v>
      </c>
      <c r="C165" t="s">
        <v>13</v>
      </c>
      <c r="D165" t="s">
        <v>16</v>
      </c>
      <c r="E165">
        <v>11.62</v>
      </c>
      <c r="F165">
        <v>9.56</v>
      </c>
      <c r="G165">
        <v>9.32</v>
      </c>
      <c r="H165" t="s">
        <v>19</v>
      </c>
      <c r="I165" t="s">
        <v>23</v>
      </c>
      <c r="J165" t="s">
        <v>26</v>
      </c>
      <c r="K165">
        <v>25</v>
      </c>
      <c r="L165" t="s">
        <v>29</v>
      </c>
    </row>
    <row r="166" spans="1:12" x14ac:dyDescent="0.25">
      <c r="A166">
        <v>165</v>
      </c>
      <c r="B166">
        <v>41</v>
      </c>
      <c r="C166" t="s">
        <v>13</v>
      </c>
      <c r="D166" t="s">
        <v>15</v>
      </c>
      <c r="E166">
        <v>19.55</v>
      </c>
      <c r="F166">
        <v>21.53</v>
      </c>
      <c r="G166">
        <v>1.94</v>
      </c>
      <c r="H166" t="s">
        <v>19</v>
      </c>
      <c r="I166" t="s">
        <v>23</v>
      </c>
      <c r="J166" t="s">
        <v>26</v>
      </c>
      <c r="K166">
        <v>13</v>
      </c>
      <c r="L166" t="s">
        <v>29</v>
      </c>
    </row>
    <row r="167" spans="1:12" x14ac:dyDescent="0.25">
      <c r="A167">
        <v>166</v>
      </c>
      <c r="B167">
        <v>54</v>
      </c>
      <c r="C167" t="s">
        <v>12</v>
      </c>
      <c r="D167" t="s">
        <v>15</v>
      </c>
      <c r="E167">
        <v>37.659999999999997</v>
      </c>
      <c r="F167">
        <v>4.41</v>
      </c>
      <c r="G167">
        <v>5.25</v>
      </c>
      <c r="H167" t="s">
        <v>20</v>
      </c>
      <c r="I167" t="s">
        <v>23</v>
      </c>
      <c r="J167" t="s">
        <v>25</v>
      </c>
      <c r="K167">
        <v>31</v>
      </c>
      <c r="L167" t="s">
        <v>29</v>
      </c>
    </row>
    <row r="168" spans="1:12" x14ac:dyDescent="0.25">
      <c r="A168">
        <v>167</v>
      </c>
      <c r="B168">
        <v>52</v>
      </c>
      <c r="C168" t="s">
        <v>12</v>
      </c>
      <c r="D168" t="s">
        <v>17</v>
      </c>
      <c r="E168">
        <v>25.19</v>
      </c>
      <c r="F168">
        <v>6.9</v>
      </c>
      <c r="G168">
        <v>4.74</v>
      </c>
      <c r="H168" t="s">
        <v>21</v>
      </c>
      <c r="I168" t="s">
        <v>23</v>
      </c>
      <c r="J168" t="s">
        <v>27</v>
      </c>
      <c r="K168">
        <v>29</v>
      </c>
      <c r="L168" t="s">
        <v>29</v>
      </c>
    </row>
    <row r="169" spans="1:12" x14ac:dyDescent="0.25">
      <c r="A169">
        <v>168</v>
      </c>
      <c r="B169">
        <v>61</v>
      </c>
      <c r="C169" t="s">
        <v>12</v>
      </c>
      <c r="D169" t="s">
        <v>15</v>
      </c>
      <c r="E169">
        <v>12.92</v>
      </c>
      <c r="F169">
        <v>2.8</v>
      </c>
      <c r="G169">
        <v>19.04</v>
      </c>
      <c r="H169" t="s">
        <v>20</v>
      </c>
      <c r="I169" t="s">
        <v>22</v>
      </c>
      <c r="J169" t="s">
        <v>27</v>
      </c>
      <c r="K169">
        <v>11</v>
      </c>
      <c r="L169" t="s">
        <v>30</v>
      </c>
    </row>
    <row r="170" spans="1:12" x14ac:dyDescent="0.25">
      <c r="A170">
        <v>169</v>
      </c>
      <c r="B170">
        <v>57</v>
      </c>
      <c r="C170" t="s">
        <v>12</v>
      </c>
      <c r="D170" t="s">
        <v>16</v>
      </c>
      <c r="E170">
        <v>17.43</v>
      </c>
      <c r="F170">
        <v>7.72</v>
      </c>
      <c r="G170">
        <v>8.6999999999999993</v>
      </c>
      <c r="H170" t="s">
        <v>18</v>
      </c>
      <c r="I170" t="s">
        <v>22</v>
      </c>
      <c r="J170" t="s">
        <v>26</v>
      </c>
      <c r="K170">
        <v>11</v>
      </c>
      <c r="L170" t="s">
        <v>29</v>
      </c>
    </row>
    <row r="171" spans="1:12" x14ac:dyDescent="0.25">
      <c r="A171">
        <v>170</v>
      </c>
      <c r="B171">
        <v>39</v>
      </c>
      <c r="C171" t="s">
        <v>13</v>
      </c>
      <c r="D171" t="s">
        <v>16</v>
      </c>
      <c r="E171">
        <v>13.77</v>
      </c>
      <c r="F171">
        <v>11.16</v>
      </c>
      <c r="G171">
        <v>4.4000000000000004</v>
      </c>
      <c r="H171" t="s">
        <v>19</v>
      </c>
      <c r="I171" t="s">
        <v>22</v>
      </c>
      <c r="J171" t="s">
        <v>26</v>
      </c>
      <c r="K171">
        <v>20</v>
      </c>
      <c r="L171" t="s">
        <v>29</v>
      </c>
    </row>
    <row r="172" spans="1:12" x14ac:dyDescent="0.25">
      <c r="A172">
        <v>171</v>
      </c>
      <c r="B172">
        <v>44</v>
      </c>
      <c r="C172" t="s">
        <v>13</v>
      </c>
      <c r="D172" t="s">
        <v>17</v>
      </c>
      <c r="E172">
        <v>15.47</v>
      </c>
      <c r="F172">
        <v>1.46</v>
      </c>
      <c r="G172">
        <v>14.17</v>
      </c>
      <c r="H172" t="s">
        <v>18</v>
      </c>
      <c r="I172" t="s">
        <v>22</v>
      </c>
      <c r="J172" t="s">
        <v>26</v>
      </c>
      <c r="K172">
        <v>23</v>
      </c>
      <c r="L172" t="s">
        <v>29</v>
      </c>
    </row>
    <row r="173" spans="1:12" x14ac:dyDescent="0.25">
      <c r="A173">
        <v>172</v>
      </c>
      <c r="B173">
        <v>52</v>
      </c>
      <c r="C173" t="s">
        <v>13</v>
      </c>
      <c r="D173" t="s">
        <v>15</v>
      </c>
      <c r="E173">
        <v>19.95</v>
      </c>
      <c r="F173">
        <v>5.01</v>
      </c>
      <c r="G173">
        <v>7.47</v>
      </c>
      <c r="H173" t="s">
        <v>21</v>
      </c>
      <c r="I173" t="s">
        <v>23</v>
      </c>
      <c r="J173" t="s">
        <v>28</v>
      </c>
      <c r="K173">
        <v>3</v>
      </c>
      <c r="L173" t="s">
        <v>29</v>
      </c>
    </row>
    <row r="174" spans="1:12" x14ac:dyDescent="0.25">
      <c r="A174">
        <v>173</v>
      </c>
      <c r="B174">
        <v>18</v>
      </c>
      <c r="C174" t="s">
        <v>13</v>
      </c>
      <c r="D174" t="s">
        <v>14</v>
      </c>
      <c r="E174">
        <v>5.58</v>
      </c>
      <c r="F174">
        <v>11.56</v>
      </c>
      <c r="G174">
        <v>10.77</v>
      </c>
      <c r="H174" t="s">
        <v>18</v>
      </c>
      <c r="I174" t="s">
        <v>23</v>
      </c>
      <c r="J174" t="s">
        <v>26</v>
      </c>
      <c r="K174">
        <v>29</v>
      </c>
      <c r="L174" t="s">
        <v>29</v>
      </c>
    </row>
    <row r="175" spans="1:12" x14ac:dyDescent="0.25">
      <c r="A175">
        <v>174</v>
      </c>
      <c r="B175">
        <v>52</v>
      </c>
      <c r="C175" t="s">
        <v>12</v>
      </c>
      <c r="D175" t="s">
        <v>17</v>
      </c>
      <c r="E175">
        <v>4.49</v>
      </c>
      <c r="F175">
        <v>13.69</v>
      </c>
      <c r="G175">
        <v>8.19</v>
      </c>
      <c r="H175" t="s">
        <v>18</v>
      </c>
      <c r="I175" t="s">
        <v>23</v>
      </c>
      <c r="J175" t="s">
        <v>26</v>
      </c>
      <c r="K175">
        <v>31</v>
      </c>
      <c r="L175" t="s">
        <v>29</v>
      </c>
    </row>
    <row r="176" spans="1:12" x14ac:dyDescent="0.25">
      <c r="A176">
        <v>175</v>
      </c>
      <c r="B176">
        <v>54</v>
      </c>
      <c r="C176" t="s">
        <v>12</v>
      </c>
      <c r="D176" t="s">
        <v>16</v>
      </c>
      <c r="E176">
        <v>8.8000000000000007</v>
      </c>
      <c r="F176">
        <v>30.17</v>
      </c>
      <c r="G176">
        <v>33.200000000000003</v>
      </c>
      <c r="H176" t="s">
        <v>19</v>
      </c>
      <c r="I176" t="s">
        <v>23</v>
      </c>
      <c r="J176" t="s">
        <v>27</v>
      </c>
      <c r="K176">
        <v>21</v>
      </c>
      <c r="L176" t="s">
        <v>29</v>
      </c>
    </row>
    <row r="177" spans="1:12" x14ac:dyDescent="0.25">
      <c r="A177">
        <v>176</v>
      </c>
      <c r="B177">
        <v>64</v>
      </c>
      <c r="C177" t="s">
        <v>12</v>
      </c>
      <c r="D177" t="s">
        <v>15</v>
      </c>
      <c r="E177">
        <v>24.11</v>
      </c>
      <c r="F177">
        <v>15.17</v>
      </c>
      <c r="G177">
        <v>10.7</v>
      </c>
      <c r="H177" t="s">
        <v>21</v>
      </c>
      <c r="I177" t="s">
        <v>23</v>
      </c>
      <c r="J177" t="s">
        <v>26</v>
      </c>
      <c r="K177">
        <v>26</v>
      </c>
      <c r="L177" t="s">
        <v>29</v>
      </c>
    </row>
    <row r="178" spans="1:12" x14ac:dyDescent="0.25">
      <c r="A178">
        <v>177</v>
      </c>
      <c r="B178">
        <v>31</v>
      </c>
      <c r="C178" t="s">
        <v>13</v>
      </c>
      <c r="D178" t="s">
        <v>17</v>
      </c>
      <c r="E178">
        <v>26.25</v>
      </c>
      <c r="F178">
        <v>8.68</v>
      </c>
      <c r="G178">
        <v>15.31</v>
      </c>
      <c r="H178" t="s">
        <v>18</v>
      </c>
      <c r="I178" t="s">
        <v>22</v>
      </c>
      <c r="J178" t="s">
        <v>27</v>
      </c>
      <c r="K178">
        <v>3</v>
      </c>
      <c r="L178" t="s">
        <v>30</v>
      </c>
    </row>
    <row r="179" spans="1:12" x14ac:dyDescent="0.25">
      <c r="A179">
        <v>178</v>
      </c>
      <c r="B179">
        <v>20</v>
      </c>
      <c r="C179" t="s">
        <v>12</v>
      </c>
      <c r="D179" t="s">
        <v>15</v>
      </c>
      <c r="E179">
        <v>28.74</v>
      </c>
      <c r="F179">
        <v>10.94</v>
      </c>
      <c r="G179">
        <v>18.989999999999998</v>
      </c>
      <c r="H179" t="s">
        <v>20</v>
      </c>
      <c r="I179" t="s">
        <v>24</v>
      </c>
      <c r="J179" t="s">
        <v>26</v>
      </c>
      <c r="K179">
        <v>25</v>
      </c>
      <c r="L179" t="s">
        <v>29</v>
      </c>
    </row>
    <row r="180" spans="1:12" x14ac:dyDescent="0.25">
      <c r="A180">
        <v>179</v>
      </c>
      <c r="B180">
        <v>18</v>
      </c>
      <c r="C180" t="s">
        <v>12</v>
      </c>
      <c r="D180" t="s">
        <v>17</v>
      </c>
      <c r="E180">
        <v>9.08</v>
      </c>
      <c r="F180">
        <v>11.22</v>
      </c>
      <c r="G180">
        <v>8.77</v>
      </c>
      <c r="H180" t="s">
        <v>19</v>
      </c>
      <c r="I180" t="s">
        <v>22</v>
      </c>
      <c r="J180" t="s">
        <v>26</v>
      </c>
      <c r="K180">
        <v>15</v>
      </c>
      <c r="L180" t="s">
        <v>30</v>
      </c>
    </row>
    <row r="181" spans="1:12" x14ac:dyDescent="0.25">
      <c r="A181">
        <v>180</v>
      </c>
      <c r="B181">
        <v>22</v>
      </c>
      <c r="C181" t="s">
        <v>13</v>
      </c>
      <c r="D181" t="s">
        <v>14</v>
      </c>
      <c r="E181">
        <v>18.510000000000002</v>
      </c>
      <c r="F181">
        <v>6.91</v>
      </c>
      <c r="G181">
        <v>22.02</v>
      </c>
      <c r="H181" t="s">
        <v>20</v>
      </c>
      <c r="I181" t="s">
        <v>24</v>
      </c>
      <c r="J181" t="s">
        <v>26</v>
      </c>
      <c r="K181">
        <v>32</v>
      </c>
      <c r="L181" t="s">
        <v>29</v>
      </c>
    </row>
    <row r="182" spans="1:12" x14ac:dyDescent="0.25">
      <c r="A182">
        <v>181</v>
      </c>
      <c r="B182">
        <v>43</v>
      </c>
      <c r="C182" t="s">
        <v>13</v>
      </c>
      <c r="D182" t="s">
        <v>17</v>
      </c>
      <c r="E182">
        <v>13.2</v>
      </c>
      <c r="F182">
        <v>11.93</v>
      </c>
      <c r="G182">
        <v>16.79</v>
      </c>
      <c r="H182" t="s">
        <v>19</v>
      </c>
      <c r="I182" t="s">
        <v>22</v>
      </c>
      <c r="J182" t="s">
        <v>27</v>
      </c>
      <c r="K182">
        <v>13</v>
      </c>
      <c r="L182" t="s">
        <v>29</v>
      </c>
    </row>
    <row r="183" spans="1:12" x14ac:dyDescent="0.25">
      <c r="A183">
        <v>182</v>
      </c>
      <c r="B183">
        <v>72</v>
      </c>
      <c r="C183" t="s">
        <v>12</v>
      </c>
      <c r="D183" t="s">
        <v>15</v>
      </c>
      <c r="E183">
        <v>15.92</v>
      </c>
      <c r="F183">
        <v>6.64</v>
      </c>
      <c r="G183">
        <v>1.21</v>
      </c>
      <c r="H183" t="s">
        <v>18</v>
      </c>
      <c r="I183" t="s">
        <v>22</v>
      </c>
      <c r="J183" t="s">
        <v>27</v>
      </c>
      <c r="K183">
        <v>9</v>
      </c>
      <c r="L183" t="s">
        <v>30</v>
      </c>
    </row>
    <row r="184" spans="1:12" x14ac:dyDescent="0.25">
      <c r="A184">
        <v>183</v>
      </c>
      <c r="B184">
        <v>31</v>
      </c>
      <c r="C184" t="s">
        <v>12</v>
      </c>
      <c r="D184" t="s">
        <v>15</v>
      </c>
      <c r="E184">
        <v>13.04</v>
      </c>
      <c r="F184">
        <v>12.36</v>
      </c>
      <c r="G184">
        <v>5.03</v>
      </c>
      <c r="H184" t="s">
        <v>19</v>
      </c>
      <c r="I184" t="s">
        <v>23</v>
      </c>
      <c r="J184" t="s">
        <v>25</v>
      </c>
      <c r="K184">
        <v>13</v>
      </c>
      <c r="L184" t="s">
        <v>30</v>
      </c>
    </row>
    <row r="185" spans="1:12" x14ac:dyDescent="0.25">
      <c r="A185">
        <v>184</v>
      </c>
      <c r="B185">
        <v>56</v>
      </c>
      <c r="C185" t="s">
        <v>12</v>
      </c>
      <c r="D185" t="s">
        <v>17</v>
      </c>
      <c r="E185">
        <v>20.7</v>
      </c>
      <c r="F185">
        <v>9.5500000000000007</v>
      </c>
      <c r="G185">
        <v>8.8800000000000008</v>
      </c>
      <c r="H185" t="s">
        <v>18</v>
      </c>
      <c r="I185" t="s">
        <v>24</v>
      </c>
      <c r="J185" t="s">
        <v>26</v>
      </c>
      <c r="K185">
        <v>23</v>
      </c>
      <c r="L185" t="s">
        <v>29</v>
      </c>
    </row>
    <row r="186" spans="1:12" x14ac:dyDescent="0.25">
      <c r="A186">
        <v>185</v>
      </c>
      <c r="B186">
        <v>44</v>
      </c>
      <c r="C186" t="s">
        <v>12</v>
      </c>
      <c r="D186" t="s">
        <v>15</v>
      </c>
      <c r="E186">
        <v>10.58</v>
      </c>
      <c r="F186">
        <v>8.3800000000000008</v>
      </c>
      <c r="G186">
        <v>9.65</v>
      </c>
      <c r="H186" t="s">
        <v>20</v>
      </c>
      <c r="I186" t="s">
        <v>23</v>
      </c>
      <c r="J186" t="s">
        <v>26</v>
      </c>
      <c r="K186">
        <v>5</v>
      </c>
      <c r="L186" t="s">
        <v>29</v>
      </c>
    </row>
    <row r="187" spans="1:12" x14ac:dyDescent="0.25">
      <c r="A187">
        <v>186</v>
      </c>
      <c r="B187">
        <v>26</v>
      </c>
      <c r="C187" t="s">
        <v>12</v>
      </c>
      <c r="D187" t="s">
        <v>15</v>
      </c>
      <c r="E187">
        <v>35.119999999999997</v>
      </c>
      <c r="F187">
        <v>8.57</v>
      </c>
      <c r="G187">
        <v>5.71</v>
      </c>
      <c r="H187" t="s">
        <v>18</v>
      </c>
      <c r="I187" t="s">
        <v>23</v>
      </c>
      <c r="J187" t="s">
        <v>28</v>
      </c>
      <c r="K187">
        <v>32</v>
      </c>
      <c r="L187" t="s">
        <v>29</v>
      </c>
    </row>
    <row r="188" spans="1:12" x14ac:dyDescent="0.25">
      <c r="A188">
        <v>187</v>
      </c>
      <c r="B188">
        <v>32</v>
      </c>
      <c r="C188" t="s">
        <v>12</v>
      </c>
      <c r="D188" t="s">
        <v>16</v>
      </c>
      <c r="E188">
        <v>35.31</v>
      </c>
      <c r="F188">
        <v>16.95</v>
      </c>
      <c r="G188">
        <v>12.5</v>
      </c>
      <c r="H188" t="s">
        <v>19</v>
      </c>
      <c r="I188" t="s">
        <v>23</v>
      </c>
      <c r="J188" t="s">
        <v>25</v>
      </c>
      <c r="K188">
        <v>26</v>
      </c>
      <c r="L188" t="s">
        <v>29</v>
      </c>
    </row>
    <row r="189" spans="1:12" x14ac:dyDescent="0.25">
      <c r="A189">
        <v>188</v>
      </c>
      <c r="B189">
        <v>32</v>
      </c>
      <c r="C189" t="s">
        <v>13</v>
      </c>
      <c r="D189" t="s">
        <v>17</v>
      </c>
      <c r="E189">
        <v>23.64</v>
      </c>
      <c r="F189">
        <v>15.84</v>
      </c>
      <c r="G189">
        <v>7.31</v>
      </c>
      <c r="H189" t="s">
        <v>19</v>
      </c>
      <c r="I189" t="s">
        <v>24</v>
      </c>
      <c r="J189" t="s">
        <v>25</v>
      </c>
      <c r="K189">
        <v>5</v>
      </c>
      <c r="L189" t="s">
        <v>29</v>
      </c>
    </row>
    <row r="190" spans="1:12" x14ac:dyDescent="0.25">
      <c r="A190">
        <v>189</v>
      </c>
      <c r="B190">
        <v>43</v>
      </c>
      <c r="C190" t="s">
        <v>13</v>
      </c>
      <c r="D190" t="s">
        <v>15</v>
      </c>
      <c r="E190">
        <v>32.619999999999997</v>
      </c>
      <c r="F190">
        <v>8.0500000000000007</v>
      </c>
      <c r="G190">
        <v>9.06</v>
      </c>
      <c r="H190" t="s">
        <v>19</v>
      </c>
      <c r="I190" t="s">
        <v>24</v>
      </c>
      <c r="J190" t="s">
        <v>26</v>
      </c>
      <c r="K190">
        <v>35</v>
      </c>
      <c r="L190" t="s">
        <v>30</v>
      </c>
    </row>
    <row r="191" spans="1:12" x14ac:dyDescent="0.25">
      <c r="A191">
        <v>190</v>
      </c>
      <c r="B191">
        <v>59</v>
      </c>
      <c r="C191" t="s">
        <v>13</v>
      </c>
      <c r="D191" t="s">
        <v>14</v>
      </c>
      <c r="E191">
        <v>5.4</v>
      </c>
      <c r="F191">
        <v>16.5</v>
      </c>
      <c r="G191">
        <v>7.07</v>
      </c>
      <c r="H191" t="s">
        <v>20</v>
      </c>
      <c r="I191" t="s">
        <v>22</v>
      </c>
      <c r="J191" t="s">
        <v>26</v>
      </c>
      <c r="K191">
        <v>24</v>
      </c>
      <c r="L191" t="s">
        <v>29</v>
      </c>
    </row>
    <row r="192" spans="1:12" x14ac:dyDescent="0.25">
      <c r="A192">
        <v>191</v>
      </c>
      <c r="B192">
        <v>77</v>
      </c>
      <c r="C192" t="s">
        <v>12</v>
      </c>
      <c r="D192" t="s">
        <v>15</v>
      </c>
      <c r="E192">
        <v>36.369999999999997</v>
      </c>
      <c r="F192">
        <v>9.41</v>
      </c>
      <c r="G192">
        <v>7.81</v>
      </c>
      <c r="H192" t="s">
        <v>21</v>
      </c>
      <c r="I192" t="s">
        <v>22</v>
      </c>
      <c r="J192" t="s">
        <v>26</v>
      </c>
      <c r="K192">
        <v>33</v>
      </c>
      <c r="L192" t="s">
        <v>29</v>
      </c>
    </row>
    <row r="193" spans="1:12" x14ac:dyDescent="0.25">
      <c r="A193">
        <v>192</v>
      </c>
      <c r="B193">
        <v>30</v>
      </c>
      <c r="C193" t="s">
        <v>13</v>
      </c>
      <c r="D193" t="s">
        <v>14</v>
      </c>
      <c r="E193">
        <v>22.2</v>
      </c>
      <c r="F193">
        <v>9.52</v>
      </c>
      <c r="G193">
        <v>4.01</v>
      </c>
      <c r="H193" t="s">
        <v>20</v>
      </c>
      <c r="I193" t="s">
        <v>22</v>
      </c>
      <c r="J193" t="s">
        <v>25</v>
      </c>
      <c r="K193">
        <v>14</v>
      </c>
      <c r="L193" t="s">
        <v>30</v>
      </c>
    </row>
    <row r="194" spans="1:12" x14ac:dyDescent="0.25">
      <c r="A194">
        <v>193</v>
      </c>
      <c r="B194">
        <v>68</v>
      </c>
      <c r="C194" t="s">
        <v>12</v>
      </c>
      <c r="D194" t="s">
        <v>15</v>
      </c>
      <c r="E194">
        <v>11.06</v>
      </c>
      <c r="F194">
        <v>6.92</v>
      </c>
      <c r="G194">
        <v>11.77</v>
      </c>
      <c r="H194" t="s">
        <v>18</v>
      </c>
      <c r="I194" t="s">
        <v>24</v>
      </c>
      <c r="J194" t="s">
        <v>27</v>
      </c>
      <c r="K194">
        <v>16</v>
      </c>
      <c r="L194" t="s">
        <v>29</v>
      </c>
    </row>
    <row r="195" spans="1:12" x14ac:dyDescent="0.25">
      <c r="A195">
        <v>194</v>
      </c>
      <c r="B195">
        <v>49</v>
      </c>
      <c r="C195" t="s">
        <v>12</v>
      </c>
      <c r="D195" t="s">
        <v>14</v>
      </c>
      <c r="E195">
        <v>10.25</v>
      </c>
      <c r="F195">
        <v>28.11</v>
      </c>
      <c r="G195">
        <v>13.66</v>
      </c>
      <c r="H195" t="s">
        <v>18</v>
      </c>
      <c r="I195" t="s">
        <v>22</v>
      </c>
      <c r="J195" t="s">
        <v>26</v>
      </c>
      <c r="K195">
        <v>14</v>
      </c>
      <c r="L195" t="s">
        <v>29</v>
      </c>
    </row>
    <row r="196" spans="1:12" x14ac:dyDescent="0.25">
      <c r="A196">
        <v>195</v>
      </c>
      <c r="B196">
        <v>56</v>
      </c>
      <c r="C196" t="s">
        <v>13</v>
      </c>
      <c r="D196" t="s">
        <v>16</v>
      </c>
      <c r="E196">
        <v>44.02</v>
      </c>
      <c r="F196">
        <v>26.18</v>
      </c>
      <c r="G196">
        <v>2.87</v>
      </c>
      <c r="H196" t="s">
        <v>20</v>
      </c>
      <c r="I196" t="s">
        <v>24</v>
      </c>
      <c r="J196" t="s">
        <v>26</v>
      </c>
      <c r="K196">
        <v>29</v>
      </c>
      <c r="L196" t="s">
        <v>29</v>
      </c>
    </row>
    <row r="197" spans="1:12" x14ac:dyDescent="0.25">
      <c r="A197">
        <v>196</v>
      </c>
      <c r="B197">
        <v>66</v>
      </c>
      <c r="C197" t="s">
        <v>12</v>
      </c>
      <c r="D197" t="s">
        <v>14</v>
      </c>
      <c r="E197">
        <v>29.03</v>
      </c>
      <c r="F197">
        <v>5.76</v>
      </c>
      <c r="G197">
        <v>5.82</v>
      </c>
      <c r="H197" t="s">
        <v>20</v>
      </c>
      <c r="I197" t="s">
        <v>23</v>
      </c>
      <c r="J197" t="s">
        <v>26</v>
      </c>
      <c r="K197">
        <v>15</v>
      </c>
      <c r="L197" t="s">
        <v>29</v>
      </c>
    </row>
    <row r="198" spans="1:12" x14ac:dyDescent="0.25">
      <c r="A198">
        <v>197</v>
      </c>
      <c r="B198">
        <v>69</v>
      </c>
      <c r="C198" t="s">
        <v>12</v>
      </c>
      <c r="D198" t="s">
        <v>14</v>
      </c>
      <c r="E198">
        <v>15.63</v>
      </c>
      <c r="F198">
        <v>7.68</v>
      </c>
      <c r="G198">
        <v>9.5399999999999991</v>
      </c>
      <c r="H198" t="s">
        <v>18</v>
      </c>
      <c r="I198" t="s">
        <v>23</v>
      </c>
      <c r="J198" t="s">
        <v>26</v>
      </c>
      <c r="K198">
        <v>26</v>
      </c>
      <c r="L198" t="s">
        <v>29</v>
      </c>
    </row>
    <row r="199" spans="1:12" x14ac:dyDescent="0.25">
      <c r="A199">
        <v>198</v>
      </c>
      <c r="B199">
        <v>78</v>
      </c>
      <c r="C199" t="s">
        <v>13</v>
      </c>
      <c r="D199" t="s">
        <v>15</v>
      </c>
      <c r="E199">
        <v>5.34</v>
      </c>
      <c r="F199">
        <v>13.06</v>
      </c>
      <c r="G199">
        <v>25.3</v>
      </c>
      <c r="H199" t="s">
        <v>18</v>
      </c>
      <c r="I199" t="s">
        <v>24</v>
      </c>
      <c r="J199" t="s">
        <v>27</v>
      </c>
      <c r="K199">
        <v>11</v>
      </c>
      <c r="L199" t="s">
        <v>30</v>
      </c>
    </row>
    <row r="200" spans="1:12" x14ac:dyDescent="0.25">
      <c r="A200">
        <v>199</v>
      </c>
      <c r="B200">
        <v>49</v>
      </c>
      <c r="C200" t="s">
        <v>13</v>
      </c>
      <c r="D200" t="s">
        <v>14</v>
      </c>
      <c r="E200">
        <v>37.51</v>
      </c>
      <c r="F200">
        <v>14.81</v>
      </c>
      <c r="G200">
        <v>3.96</v>
      </c>
      <c r="H200" t="s">
        <v>18</v>
      </c>
      <c r="I200" t="s">
        <v>23</v>
      </c>
      <c r="J200" t="s">
        <v>26</v>
      </c>
      <c r="K200">
        <v>10</v>
      </c>
      <c r="L200" t="s">
        <v>29</v>
      </c>
    </row>
    <row r="201" spans="1:12" x14ac:dyDescent="0.25">
      <c r="A201">
        <v>200</v>
      </c>
      <c r="B201">
        <v>21</v>
      </c>
      <c r="C201" t="s">
        <v>13</v>
      </c>
      <c r="D201" t="s">
        <v>17</v>
      </c>
      <c r="E201">
        <v>7.29</v>
      </c>
      <c r="F201">
        <v>4.08</v>
      </c>
      <c r="G201">
        <v>7.27</v>
      </c>
      <c r="H201" t="s">
        <v>21</v>
      </c>
      <c r="I201" t="s">
        <v>24</v>
      </c>
      <c r="J201" t="s">
        <v>27</v>
      </c>
      <c r="K201">
        <v>17</v>
      </c>
      <c r="L201" t="s">
        <v>30</v>
      </c>
    </row>
    <row r="202" spans="1:12" x14ac:dyDescent="0.25">
      <c r="A202">
        <v>201</v>
      </c>
      <c r="B202">
        <v>47</v>
      </c>
      <c r="C202" t="s">
        <v>12</v>
      </c>
      <c r="D202" t="s">
        <v>17</v>
      </c>
      <c r="E202">
        <v>13.38</v>
      </c>
      <c r="F202">
        <v>4.7300000000000004</v>
      </c>
      <c r="G202">
        <v>6.37</v>
      </c>
      <c r="H202" t="s">
        <v>21</v>
      </c>
      <c r="I202" t="s">
        <v>22</v>
      </c>
      <c r="J202" t="s">
        <v>25</v>
      </c>
      <c r="K202">
        <v>9</v>
      </c>
      <c r="L202" t="s">
        <v>29</v>
      </c>
    </row>
    <row r="203" spans="1:12" x14ac:dyDescent="0.25">
      <c r="A203">
        <v>202</v>
      </c>
      <c r="B203">
        <v>54</v>
      </c>
      <c r="C203" t="s">
        <v>13</v>
      </c>
      <c r="D203" t="s">
        <v>15</v>
      </c>
      <c r="E203">
        <v>15.61</v>
      </c>
      <c r="F203">
        <v>14.84</v>
      </c>
      <c r="G203">
        <v>11.29</v>
      </c>
      <c r="H203" t="s">
        <v>20</v>
      </c>
      <c r="I203" t="s">
        <v>24</v>
      </c>
      <c r="J203" t="s">
        <v>25</v>
      </c>
      <c r="K203">
        <v>26</v>
      </c>
      <c r="L203" t="s">
        <v>29</v>
      </c>
    </row>
    <row r="204" spans="1:12" x14ac:dyDescent="0.25">
      <c r="A204">
        <v>203</v>
      </c>
      <c r="B204">
        <v>40</v>
      </c>
      <c r="C204" t="s">
        <v>13</v>
      </c>
      <c r="D204" t="s">
        <v>17</v>
      </c>
      <c r="E204">
        <v>10.130000000000001</v>
      </c>
      <c r="F204">
        <v>2.5499999999999998</v>
      </c>
      <c r="G204">
        <v>3.92</v>
      </c>
      <c r="H204" t="s">
        <v>20</v>
      </c>
      <c r="I204" t="s">
        <v>23</v>
      </c>
      <c r="J204" t="s">
        <v>27</v>
      </c>
      <c r="K204">
        <v>18</v>
      </c>
      <c r="L204" t="s">
        <v>29</v>
      </c>
    </row>
    <row r="205" spans="1:12" x14ac:dyDescent="0.25">
      <c r="A205">
        <v>204</v>
      </c>
      <c r="B205">
        <v>56</v>
      </c>
      <c r="C205" t="s">
        <v>12</v>
      </c>
      <c r="D205" t="s">
        <v>15</v>
      </c>
      <c r="E205">
        <v>15.13</v>
      </c>
      <c r="F205">
        <v>5.8</v>
      </c>
      <c r="G205">
        <v>5.54</v>
      </c>
      <c r="H205" t="s">
        <v>21</v>
      </c>
      <c r="I205" t="s">
        <v>22</v>
      </c>
      <c r="J205" t="s">
        <v>25</v>
      </c>
      <c r="K205">
        <v>26</v>
      </c>
      <c r="L205" t="s">
        <v>30</v>
      </c>
    </row>
    <row r="206" spans="1:12" x14ac:dyDescent="0.25">
      <c r="A206">
        <v>205</v>
      </c>
      <c r="B206">
        <v>62</v>
      </c>
      <c r="C206" t="s">
        <v>13</v>
      </c>
      <c r="D206" t="s">
        <v>17</v>
      </c>
      <c r="E206">
        <v>17.25</v>
      </c>
      <c r="F206">
        <v>18.25</v>
      </c>
      <c r="G206">
        <v>32.61</v>
      </c>
      <c r="H206" t="s">
        <v>19</v>
      </c>
      <c r="I206" t="s">
        <v>22</v>
      </c>
      <c r="J206" t="s">
        <v>27</v>
      </c>
      <c r="K206">
        <v>9</v>
      </c>
      <c r="L206" t="s">
        <v>30</v>
      </c>
    </row>
    <row r="207" spans="1:12" x14ac:dyDescent="0.25">
      <c r="A207">
        <v>206</v>
      </c>
      <c r="B207">
        <v>32</v>
      </c>
      <c r="C207" t="s">
        <v>13</v>
      </c>
      <c r="D207" t="s">
        <v>17</v>
      </c>
      <c r="E207">
        <v>14.92</v>
      </c>
      <c r="F207">
        <v>17.68</v>
      </c>
      <c r="G207">
        <v>1.38</v>
      </c>
      <c r="H207" t="s">
        <v>21</v>
      </c>
      <c r="I207" t="s">
        <v>22</v>
      </c>
      <c r="J207" t="s">
        <v>26</v>
      </c>
      <c r="K207">
        <v>30</v>
      </c>
      <c r="L207" t="s">
        <v>29</v>
      </c>
    </row>
    <row r="208" spans="1:12" x14ac:dyDescent="0.25">
      <c r="A208">
        <v>207</v>
      </c>
      <c r="B208">
        <v>60</v>
      </c>
      <c r="C208" t="s">
        <v>13</v>
      </c>
      <c r="D208" t="s">
        <v>16</v>
      </c>
      <c r="E208">
        <v>21.37</v>
      </c>
      <c r="F208">
        <v>27.1</v>
      </c>
      <c r="G208">
        <v>8.76</v>
      </c>
      <c r="H208" t="s">
        <v>20</v>
      </c>
      <c r="I208" t="s">
        <v>22</v>
      </c>
      <c r="J208" t="s">
        <v>25</v>
      </c>
      <c r="K208">
        <v>4</v>
      </c>
      <c r="L208" t="s">
        <v>30</v>
      </c>
    </row>
    <row r="209" spans="1:12" x14ac:dyDescent="0.25">
      <c r="A209">
        <v>208</v>
      </c>
      <c r="B209">
        <v>46</v>
      </c>
      <c r="C209" t="s">
        <v>12</v>
      </c>
      <c r="D209" t="s">
        <v>14</v>
      </c>
      <c r="E209">
        <v>45.01</v>
      </c>
      <c r="F209">
        <v>33.159999999999997</v>
      </c>
      <c r="G209">
        <v>9.11</v>
      </c>
      <c r="H209" t="s">
        <v>21</v>
      </c>
      <c r="I209" t="s">
        <v>24</v>
      </c>
      <c r="J209" t="s">
        <v>25</v>
      </c>
      <c r="K209">
        <v>5</v>
      </c>
      <c r="L209" t="s">
        <v>29</v>
      </c>
    </row>
    <row r="210" spans="1:12" x14ac:dyDescent="0.25">
      <c r="A210">
        <v>209</v>
      </c>
      <c r="B210">
        <v>53</v>
      </c>
      <c r="C210" t="s">
        <v>12</v>
      </c>
      <c r="D210" t="s">
        <v>17</v>
      </c>
      <c r="E210">
        <v>5.58</v>
      </c>
      <c r="F210">
        <v>51.71</v>
      </c>
      <c r="G210">
        <v>6.55</v>
      </c>
      <c r="H210" t="s">
        <v>19</v>
      </c>
      <c r="I210" t="s">
        <v>22</v>
      </c>
      <c r="J210" t="s">
        <v>26</v>
      </c>
      <c r="K210">
        <v>3</v>
      </c>
      <c r="L210" t="s">
        <v>29</v>
      </c>
    </row>
    <row r="211" spans="1:12" x14ac:dyDescent="0.25">
      <c r="A211">
        <v>210</v>
      </c>
      <c r="B211">
        <v>30</v>
      </c>
      <c r="C211" t="s">
        <v>12</v>
      </c>
      <c r="D211" t="s">
        <v>15</v>
      </c>
      <c r="E211">
        <v>19.260000000000002</v>
      </c>
      <c r="F211">
        <v>7.5</v>
      </c>
      <c r="G211">
        <v>18.79</v>
      </c>
      <c r="H211" t="s">
        <v>20</v>
      </c>
      <c r="I211" t="s">
        <v>23</v>
      </c>
      <c r="J211" t="s">
        <v>25</v>
      </c>
      <c r="K211">
        <v>33</v>
      </c>
      <c r="L211" t="s">
        <v>29</v>
      </c>
    </row>
    <row r="212" spans="1:12" x14ac:dyDescent="0.25">
      <c r="A212">
        <v>211</v>
      </c>
      <c r="B212">
        <v>49</v>
      </c>
      <c r="C212" t="s">
        <v>12</v>
      </c>
      <c r="D212" t="s">
        <v>15</v>
      </c>
      <c r="E212">
        <v>7.36</v>
      </c>
      <c r="F212">
        <v>6.14</v>
      </c>
      <c r="G212">
        <v>10.6</v>
      </c>
      <c r="H212" t="s">
        <v>18</v>
      </c>
      <c r="I212" t="s">
        <v>24</v>
      </c>
      <c r="J212" t="s">
        <v>25</v>
      </c>
      <c r="K212">
        <v>25</v>
      </c>
      <c r="L212" t="s">
        <v>30</v>
      </c>
    </row>
    <row r="213" spans="1:12" x14ac:dyDescent="0.25">
      <c r="A213">
        <v>212</v>
      </c>
      <c r="B213">
        <v>24</v>
      </c>
      <c r="C213" t="s">
        <v>13</v>
      </c>
      <c r="D213" t="s">
        <v>15</v>
      </c>
      <c r="E213">
        <v>5.1100000000000003</v>
      </c>
      <c r="F213">
        <v>13.42</v>
      </c>
      <c r="G213">
        <v>26.87</v>
      </c>
      <c r="H213" t="s">
        <v>20</v>
      </c>
      <c r="I213" t="s">
        <v>23</v>
      </c>
      <c r="J213" t="s">
        <v>27</v>
      </c>
      <c r="K213">
        <v>22</v>
      </c>
      <c r="L213" t="s">
        <v>30</v>
      </c>
    </row>
    <row r="214" spans="1:12" x14ac:dyDescent="0.25">
      <c r="A214">
        <v>213</v>
      </c>
      <c r="B214">
        <v>76</v>
      </c>
      <c r="C214" t="s">
        <v>12</v>
      </c>
      <c r="D214" t="s">
        <v>15</v>
      </c>
      <c r="E214">
        <v>31.1</v>
      </c>
      <c r="F214">
        <v>2.86</v>
      </c>
      <c r="G214">
        <v>1.9</v>
      </c>
      <c r="H214" t="s">
        <v>21</v>
      </c>
      <c r="I214" t="s">
        <v>23</v>
      </c>
      <c r="J214" t="s">
        <v>26</v>
      </c>
      <c r="K214">
        <v>18</v>
      </c>
      <c r="L214" t="s">
        <v>30</v>
      </c>
    </row>
    <row r="215" spans="1:12" x14ac:dyDescent="0.25">
      <c r="A215">
        <v>214</v>
      </c>
      <c r="B215">
        <v>68</v>
      </c>
      <c r="C215" t="s">
        <v>12</v>
      </c>
      <c r="D215" t="s">
        <v>15</v>
      </c>
      <c r="E215">
        <v>20.36</v>
      </c>
      <c r="F215">
        <v>8.26</v>
      </c>
      <c r="G215">
        <v>12.46</v>
      </c>
      <c r="H215" t="s">
        <v>21</v>
      </c>
      <c r="I215" t="s">
        <v>23</v>
      </c>
      <c r="J215" t="s">
        <v>25</v>
      </c>
      <c r="K215">
        <v>34</v>
      </c>
      <c r="L215" t="s">
        <v>29</v>
      </c>
    </row>
    <row r="216" spans="1:12" x14ac:dyDescent="0.25">
      <c r="A216">
        <v>215</v>
      </c>
      <c r="B216">
        <v>39</v>
      </c>
      <c r="C216" t="s">
        <v>13</v>
      </c>
      <c r="D216" t="s">
        <v>15</v>
      </c>
      <c r="E216">
        <v>4.82</v>
      </c>
      <c r="F216">
        <v>11.14</v>
      </c>
      <c r="G216">
        <v>11.15</v>
      </c>
      <c r="H216" t="s">
        <v>19</v>
      </c>
      <c r="I216" t="s">
        <v>24</v>
      </c>
      <c r="J216" t="s">
        <v>26</v>
      </c>
      <c r="K216">
        <v>19</v>
      </c>
      <c r="L216" t="s">
        <v>29</v>
      </c>
    </row>
    <row r="217" spans="1:12" x14ac:dyDescent="0.25">
      <c r="A217">
        <v>216</v>
      </c>
      <c r="B217">
        <v>45</v>
      </c>
      <c r="C217" t="s">
        <v>13</v>
      </c>
      <c r="D217" t="s">
        <v>14</v>
      </c>
      <c r="E217">
        <v>15.12</v>
      </c>
      <c r="F217">
        <v>14.15</v>
      </c>
      <c r="G217">
        <v>13.27</v>
      </c>
      <c r="H217" t="s">
        <v>21</v>
      </c>
      <c r="I217" t="s">
        <v>23</v>
      </c>
      <c r="J217" t="s">
        <v>25</v>
      </c>
      <c r="K217">
        <v>20</v>
      </c>
      <c r="L217" t="s">
        <v>29</v>
      </c>
    </row>
    <row r="218" spans="1:12" x14ac:dyDescent="0.25">
      <c r="A218">
        <v>217</v>
      </c>
      <c r="B218">
        <v>19</v>
      </c>
      <c r="C218" t="s">
        <v>13</v>
      </c>
      <c r="D218" t="s">
        <v>17</v>
      </c>
      <c r="E218">
        <v>8.82</v>
      </c>
      <c r="F218">
        <v>15.25</v>
      </c>
      <c r="G218">
        <v>17.73</v>
      </c>
      <c r="H218" t="s">
        <v>19</v>
      </c>
      <c r="I218" t="s">
        <v>23</v>
      </c>
      <c r="J218" t="s">
        <v>26</v>
      </c>
      <c r="K218">
        <v>6</v>
      </c>
      <c r="L218" t="s">
        <v>30</v>
      </c>
    </row>
    <row r="219" spans="1:12" x14ac:dyDescent="0.25">
      <c r="A219">
        <v>218</v>
      </c>
      <c r="B219">
        <v>59</v>
      </c>
      <c r="C219" t="s">
        <v>12</v>
      </c>
      <c r="D219" t="s">
        <v>15</v>
      </c>
      <c r="E219">
        <v>15.49</v>
      </c>
      <c r="F219">
        <v>8.06</v>
      </c>
      <c r="G219">
        <v>22.41</v>
      </c>
      <c r="H219" t="s">
        <v>20</v>
      </c>
      <c r="I219" t="s">
        <v>24</v>
      </c>
      <c r="J219" t="s">
        <v>25</v>
      </c>
      <c r="K219">
        <v>25</v>
      </c>
      <c r="L219" t="s">
        <v>29</v>
      </c>
    </row>
    <row r="220" spans="1:12" x14ac:dyDescent="0.25">
      <c r="A220">
        <v>219</v>
      </c>
      <c r="B220">
        <v>62</v>
      </c>
      <c r="C220" t="s">
        <v>12</v>
      </c>
      <c r="D220" t="s">
        <v>17</v>
      </c>
      <c r="E220">
        <v>26.84</v>
      </c>
      <c r="F220">
        <v>3.31</v>
      </c>
      <c r="G220">
        <v>30.02</v>
      </c>
      <c r="H220" t="s">
        <v>21</v>
      </c>
      <c r="I220" t="s">
        <v>24</v>
      </c>
      <c r="J220" t="s">
        <v>26</v>
      </c>
      <c r="K220">
        <v>17</v>
      </c>
      <c r="L220" t="s">
        <v>29</v>
      </c>
    </row>
    <row r="221" spans="1:12" x14ac:dyDescent="0.25">
      <c r="A221">
        <v>220</v>
      </c>
      <c r="B221">
        <v>79</v>
      </c>
      <c r="C221" t="s">
        <v>12</v>
      </c>
      <c r="D221" t="s">
        <v>15</v>
      </c>
      <c r="E221">
        <v>25.14</v>
      </c>
      <c r="F221">
        <v>4.03</v>
      </c>
      <c r="G221">
        <v>3.21</v>
      </c>
      <c r="H221" t="s">
        <v>20</v>
      </c>
      <c r="I221" t="s">
        <v>23</v>
      </c>
      <c r="J221" t="s">
        <v>26</v>
      </c>
      <c r="K221">
        <v>15</v>
      </c>
      <c r="L221" t="s">
        <v>29</v>
      </c>
    </row>
    <row r="222" spans="1:12" x14ac:dyDescent="0.25">
      <c r="A222">
        <v>221</v>
      </c>
      <c r="B222">
        <v>74</v>
      </c>
      <c r="C222" t="s">
        <v>13</v>
      </c>
      <c r="D222" t="s">
        <v>17</v>
      </c>
      <c r="E222">
        <v>13.1</v>
      </c>
      <c r="F222">
        <v>1.25</v>
      </c>
      <c r="G222">
        <v>12.63</v>
      </c>
      <c r="H222" t="s">
        <v>18</v>
      </c>
      <c r="I222" t="s">
        <v>22</v>
      </c>
      <c r="J222" t="s">
        <v>26</v>
      </c>
      <c r="K222">
        <v>16</v>
      </c>
      <c r="L222" t="s">
        <v>29</v>
      </c>
    </row>
    <row r="223" spans="1:12" x14ac:dyDescent="0.25">
      <c r="A223">
        <v>222</v>
      </c>
      <c r="B223">
        <v>70</v>
      </c>
      <c r="C223" t="s">
        <v>13</v>
      </c>
      <c r="D223" t="s">
        <v>16</v>
      </c>
      <c r="E223">
        <v>32.01</v>
      </c>
      <c r="F223">
        <v>6.32</v>
      </c>
      <c r="G223">
        <v>19.54</v>
      </c>
      <c r="H223" t="s">
        <v>18</v>
      </c>
      <c r="I223" t="s">
        <v>24</v>
      </c>
      <c r="J223" t="s">
        <v>26</v>
      </c>
      <c r="K223">
        <v>16</v>
      </c>
      <c r="L223" t="s">
        <v>30</v>
      </c>
    </row>
    <row r="224" spans="1:12" x14ac:dyDescent="0.25">
      <c r="A224">
        <v>223</v>
      </c>
      <c r="B224">
        <v>23</v>
      </c>
      <c r="C224" t="s">
        <v>12</v>
      </c>
      <c r="D224" t="s">
        <v>17</v>
      </c>
      <c r="E224">
        <v>39.46</v>
      </c>
      <c r="F224">
        <v>2.8</v>
      </c>
      <c r="G224">
        <v>8.66</v>
      </c>
      <c r="H224" t="s">
        <v>19</v>
      </c>
      <c r="I224" t="s">
        <v>23</v>
      </c>
      <c r="J224" t="s">
        <v>25</v>
      </c>
      <c r="K224">
        <v>7</v>
      </c>
      <c r="L224" t="s">
        <v>30</v>
      </c>
    </row>
    <row r="225" spans="1:12" x14ac:dyDescent="0.25">
      <c r="A225">
        <v>224</v>
      </c>
      <c r="B225">
        <v>45</v>
      </c>
      <c r="C225" t="s">
        <v>13</v>
      </c>
      <c r="D225" t="s">
        <v>17</v>
      </c>
      <c r="E225">
        <v>27.12</v>
      </c>
      <c r="F225">
        <v>6.69</v>
      </c>
      <c r="G225">
        <v>4.26</v>
      </c>
      <c r="H225" t="s">
        <v>21</v>
      </c>
      <c r="I225" t="s">
        <v>24</v>
      </c>
      <c r="J225" t="s">
        <v>27</v>
      </c>
      <c r="K225">
        <v>24</v>
      </c>
      <c r="L225" t="s">
        <v>29</v>
      </c>
    </row>
    <row r="226" spans="1:12" x14ac:dyDescent="0.25">
      <c r="A226">
        <v>225</v>
      </c>
      <c r="B226">
        <v>45</v>
      </c>
      <c r="C226" t="s">
        <v>13</v>
      </c>
      <c r="D226" t="s">
        <v>14</v>
      </c>
      <c r="E226">
        <v>11.57</v>
      </c>
      <c r="F226">
        <v>13.32</v>
      </c>
      <c r="G226">
        <v>4.33</v>
      </c>
      <c r="H226" t="s">
        <v>20</v>
      </c>
      <c r="I226" t="s">
        <v>22</v>
      </c>
      <c r="J226" t="s">
        <v>26</v>
      </c>
      <c r="K226">
        <v>30</v>
      </c>
      <c r="L226" t="s">
        <v>30</v>
      </c>
    </row>
    <row r="227" spans="1:12" x14ac:dyDescent="0.25">
      <c r="A227">
        <v>226</v>
      </c>
      <c r="B227">
        <v>61</v>
      </c>
      <c r="C227" t="s">
        <v>13</v>
      </c>
      <c r="D227" t="s">
        <v>14</v>
      </c>
      <c r="E227">
        <v>15.85</v>
      </c>
      <c r="F227">
        <v>3.38</v>
      </c>
      <c r="G227">
        <v>5.33</v>
      </c>
      <c r="H227" t="s">
        <v>20</v>
      </c>
      <c r="I227" t="s">
        <v>22</v>
      </c>
      <c r="J227" t="s">
        <v>26</v>
      </c>
      <c r="K227">
        <v>6</v>
      </c>
      <c r="L227" t="s">
        <v>29</v>
      </c>
    </row>
    <row r="228" spans="1:12" x14ac:dyDescent="0.25">
      <c r="A228">
        <v>227</v>
      </c>
      <c r="B228">
        <v>61</v>
      </c>
      <c r="C228" t="s">
        <v>12</v>
      </c>
      <c r="D228" t="s">
        <v>16</v>
      </c>
      <c r="E228">
        <v>44.15</v>
      </c>
      <c r="F228">
        <v>10.68</v>
      </c>
      <c r="G228">
        <v>11.88</v>
      </c>
      <c r="H228" t="s">
        <v>21</v>
      </c>
      <c r="I228" t="s">
        <v>22</v>
      </c>
      <c r="J228" t="s">
        <v>26</v>
      </c>
      <c r="K228">
        <v>31</v>
      </c>
      <c r="L228" t="s">
        <v>29</v>
      </c>
    </row>
    <row r="229" spans="1:12" x14ac:dyDescent="0.25">
      <c r="A229">
        <v>228</v>
      </c>
      <c r="B229">
        <v>37</v>
      </c>
      <c r="C229" t="s">
        <v>13</v>
      </c>
      <c r="D229" t="s">
        <v>17</v>
      </c>
      <c r="E229">
        <v>13.81</v>
      </c>
      <c r="F229">
        <v>8</v>
      </c>
      <c r="G229">
        <v>5.57</v>
      </c>
      <c r="H229" t="s">
        <v>20</v>
      </c>
      <c r="I229" t="s">
        <v>22</v>
      </c>
      <c r="J229" t="s">
        <v>25</v>
      </c>
      <c r="K229">
        <v>22</v>
      </c>
      <c r="L229" t="s">
        <v>29</v>
      </c>
    </row>
    <row r="230" spans="1:12" x14ac:dyDescent="0.25">
      <c r="A230">
        <v>229</v>
      </c>
      <c r="B230">
        <v>47</v>
      </c>
      <c r="C230" t="s">
        <v>13</v>
      </c>
      <c r="D230" t="s">
        <v>16</v>
      </c>
      <c r="E230">
        <v>25.19</v>
      </c>
      <c r="F230">
        <v>12.83</v>
      </c>
      <c r="G230">
        <v>9.4700000000000006</v>
      </c>
      <c r="H230" t="s">
        <v>21</v>
      </c>
      <c r="I230" t="s">
        <v>23</v>
      </c>
      <c r="J230" t="s">
        <v>26</v>
      </c>
      <c r="K230">
        <v>22</v>
      </c>
      <c r="L230" t="s">
        <v>29</v>
      </c>
    </row>
    <row r="231" spans="1:12" x14ac:dyDescent="0.25">
      <c r="A231">
        <v>230</v>
      </c>
      <c r="B231">
        <v>79</v>
      </c>
      <c r="C231" t="s">
        <v>12</v>
      </c>
      <c r="D231" t="s">
        <v>15</v>
      </c>
      <c r="E231">
        <v>10.02</v>
      </c>
      <c r="F231">
        <v>15.04</v>
      </c>
      <c r="G231">
        <v>2.4300000000000002</v>
      </c>
      <c r="H231" t="s">
        <v>21</v>
      </c>
      <c r="I231" t="s">
        <v>22</v>
      </c>
      <c r="J231" t="s">
        <v>26</v>
      </c>
      <c r="K231">
        <v>4</v>
      </c>
      <c r="L231" t="s">
        <v>29</v>
      </c>
    </row>
    <row r="232" spans="1:12" x14ac:dyDescent="0.25">
      <c r="A232">
        <v>231</v>
      </c>
      <c r="B232">
        <v>28</v>
      </c>
      <c r="C232" t="s">
        <v>12</v>
      </c>
      <c r="D232" t="s">
        <v>17</v>
      </c>
      <c r="E232">
        <v>32.15</v>
      </c>
      <c r="F232">
        <v>7.6</v>
      </c>
      <c r="G232">
        <v>2.42</v>
      </c>
      <c r="H232" t="s">
        <v>18</v>
      </c>
      <c r="I232" t="s">
        <v>23</v>
      </c>
      <c r="J232" t="s">
        <v>26</v>
      </c>
      <c r="K232">
        <v>20</v>
      </c>
      <c r="L232" t="s">
        <v>29</v>
      </c>
    </row>
    <row r="233" spans="1:12" x14ac:dyDescent="0.25">
      <c r="A233">
        <v>232</v>
      </c>
      <c r="B233">
        <v>75</v>
      </c>
      <c r="C233" t="s">
        <v>13</v>
      </c>
      <c r="D233" t="s">
        <v>15</v>
      </c>
      <c r="E233">
        <v>9.17</v>
      </c>
      <c r="F233">
        <v>10.02</v>
      </c>
      <c r="G233">
        <v>14.19</v>
      </c>
      <c r="H233" t="s">
        <v>21</v>
      </c>
      <c r="I233" t="s">
        <v>22</v>
      </c>
      <c r="J233" t="s">
        <v>26</v>
      </c>
      <c r="K233">
        <v>32</v>
      </c>
      <c r="L233" t="s">
        <v>30</v>
      </c>
    </row>
    <row r="234" spans="1:12" x14ac:dyDescent="0.25">
      <c r="A234">
        <v>233</v>
      </c>
      <c r="B234">
        <v>72</v>
      </c>
      <c r="C234" t="s">
        <v>13</v>
      </c>
      <c r="D234" t="s">
        <v>17</v>
      </c>
      <c r="E234">
        <v>16.32</v>
      </c>
      <c r="F234">
        <v>8.02</v>
      </c>
      <c r="G234">
        <v>0.51</v>
      </c>
      <c r="H234" t="s">
        <v>20</v>
      </c>
      <c r="I234" t="s">
        <v>23</v>
      </c>
      <c r="J234" t="s">
        <v>26</v>
      </c>
      <c r="K234">
        <v>31</v>
      </c>
      <c r="L234" t="s">
        <v>29</v>
      </c>
    </row>
    <row r="235" spans="1:12" x14ac:dyDescent="0.25">
      <c r="A235">
        <v>234</v>
      </c>
      <c r="B235">
        <v>45</v>
      </c>
      <c r="C235" t="s">
        <v>12</v>
      </c>
      <c r="D235" t="s">
        <v>17</v>
      </c>
      <c r="E235">
        <v>24.63</v>
      </c>
      <c r="F235">
        <v>6.86</v>
      </c>
      <c r="G235">
        <v>23.33</v>
      </c>
      <c r="H235" t="s">
        <v>21</v>
      </c>
      <c r="I235" t="s">
        <v>24</v>
      </c>
      <c r="J235" t="s">
        <v>26</v>
      </c>
      <c r="K235">
        <v>24</v>
      </c>
      <c r="L235" t="s">
        <v>29</v>
      </c>
    </row>
    <row r="236" spans="1:12" x14ac:dyDescent="0.25">
      <c r="A236">
        <v>235</v>
      </c>
      <c r="B236">
        <v>42</v>
      </c>
      <c r="C236" t="s">
        <v>12</v>
      </c>
      <c r="D236" t="s">
        <v>15</v>
      </c>
      <c r="E236">
        <v>49.65</v>
      </c>
      <c r="F236">
        <v>5.56</v>
      </c>
      <c r="G236">
        <v>11.97</v>
      </c>
      <c r="H236" t="s">
        <v>18</v>
      </c>
      <c r="I236" t="s">
        <v>23</v>
      </c>
      <c r="J236" t="s">
        <v>25</v>
      </c>
      <c r="K236">
        <v>31</v>
      </c>
      <c r="L236" t="s">
        <v>29</v>
      </c>
    </row>
    <row r="237" spans="1:12" x14ac:dyDescent="0.25">
      <c r="A237">
        <v>236</v>
      </c>
      <c r="B237">
        <v>56</v>
      </c>
      <c r="C237" t="s">
        <v>13</v>
      </c>
      <c r="D237" t="s">
        <v>14</v>
      </c>
      <c r="E237">
        <v>20.11</v>
      </c>
      <c r="F237">
        <v>14.08</v>
      </c>
      <c r="G237">
        <v>2.93</v>
      </c>
      <c r="H237" t="s">
        <v>18</v>
      </c>
      <c r="I237" t="s">
        <v>22</v>
      </c>
      <c r="J237" t="s">
        <v>25</v>
      </c>
      <c r="K237">
        <v>12</v>
      </c>
      <c r="L237" t="s">
        <v>29</v>
      </c>
    </row>
    <row r="238" spans="1:12" x14ac:dyDescent="0.25">
      <c r="A238">
        <v>237</v>
      </c>
      <c r="B238">
        <v>79</v>
      </c>
      <c r="C238" t="s">
        <v>13</v>
      </c>
      <c r="D238" t="s">
        <v>14</v>
      </c>
      <c r="E238">
        <v>14.42</v>
      </c>
      <c r="F238">
        <v>23.97</v>
      </c>
      <c r="G238">
        <v>11.48</v>
      </c>
      <c r="H238" t="s">
        <v>19</v>
      </c>
      <c r="I238" t="s">
        <v>23</v>
      </c>
      <c r="J238" t="s">
        <v>26</v>
      </c>
      <c r="K238">
        <v>22</v>
      </c>
      <c r="L238" t="s">
        <v>29</v>
      </c>
    </row>
    <row r="239" spans="1:12" x14ac:dyDescent="0.25">
      <c r="A239">
        <v>238</v>
      </c>
      <c r="B239">
        <v>50</v>
      </c>
      <c r="C239" t="s">
        <v>13</v>
      </c>
      <c r="D239" t="s">
        <v>16</v>
      </c>
      <c r="E239">
        <v>13.67</v>
      </c>
      <c r="F239">
        <v>22.09</v>
      </c>
      <c r="G239">
        <v>6.53</v>
      </c>
      <c r="H239" t="s">
        <v>20</v>
      </c>
      <c r="I239" t="s">
        <v>22</v>
      </c>
      <c r="J239" t="s">
        <v>25</v>
      </c>
      <c r="K239">
        <v>18</v>
      </c>
      <c r="L239" t="s">
        <v>30</v>
      </c>
    </row>
    <row r="240" spans="1:12" x14ac:dyDescent="0.25">
      <c r="A240">
        <v>239</v>
      </c>
      <c r="B240">
        <v>18</v>
      </c>
      <c r="C240" t="s">
        <v>13</v>
      </c>
      <c r="D240" t="s">
        <v>17</v>
      </c>
      <c r="E240">
        <v>31.28</v>
      </c>
      <c r="F240">
        <v>3.08</v>
      </c>
      <c r="G240">
        <v>4.1500000000000004</v>
      </c>
      <c r="H240" t="s">
        <v>21</v>
      </c>
      <c r="I240" t="s">
        <v>22</v>
      </c>
      <c r="J240" t="s">
        <v>26</v>
      </c>
      <c r="K240">
        <v>8</v>
      </c>
      <c r="L240" t="s">
        <v>29</v>
      </c>
    </row>
    <row r="241" spans="1:12" x14ac:dyDescent="0.25">
      <c r="A241">
        <v>240</v>
      </c>
      <c r="B241">
        <v>74</v>
      </c>
      <c r="C241" t="s">
        <v>12</v>
      </c>
      <c r="D241" t="s">
        <v>14</v>
      </c>
      <c r="E241">
        <v>23.37</v>
      </c>
      <c r="F241">
        <v>23.68</v>
      </c>
      <c r="G241">
        <v>20.170000000000002</v>
      </c>
      <c r="H241" t="s">
        <v>20</v>
      </c>
      <c r="I241" t="s">
        <v>22</v>
      </c>
      <c r="J241" t="s">
        <v>27</v>
      </c>
      <c r="K241">
        <v>19</v>
      </c>
      <c r="L241" t="s">
        <v>29</v>
      </c>
    </row>
    <row r="242" spans="1:12" x14ac:dyDescent="0.25">
      <c r="A242">
        <v>241</v>
      </c>
      <c r="B242">
        <v>44</v>
      </c>
      <c r="C242" t="s">
        <v>13</v>
      </c>
      <c r="D242" t="s">
        <v>15</v>
      </c>
      <c r="E242">
        <v>26.5</v>
      </c>
      <c r="F242">
        <v>4.49</v>
      </c>
      <c r="G242">
        <v>13.37</v>
      </c>
      <c r="H242" t="s">
        <v>20</v>
      </c>
      <c r="I242" t="s">
        <v>23</v>
      </c>
      <c r="J242" t="s">
        <v>26</v>
      </c>
      <c r="K242">
        <v>8</v>
      </c>
      <c r="L242" t="s">
        <v>30</v>
      </c>
    </row>
    <row r="243" spans="1:12" x14ac:dyDescent="0.25">
      <c r="A243">
        <v>242</v>
      </c>
      <c r="B243">
        <v>79</v>
      </c>
      <c r="C243" t="s">
        <v>13</v>
      </c>
      <c r="D243" t="s">
        <v>16</v>
      </c>
      <c r="E243">
        <v>42.27</v>
      </c>
      <c r="F243">
        <v>11.14</v>
      </c>
      <c r="G243">
        <v>5.73</v>
      </c>
      <c r="H243" t="s">
        <v>21</v>
      </c>
      <c r="I243" t="s">
        <v>23</v>
      </c>
      <c r="J243" t="s">
        <v>25</v>
      </c>
      <c r="K243">
        <v>24</v>
      </c>
      <c r="L243" t="s">
        <v>29</v>
      </c>
    </row>
    <row r="244" spans="1:12" x14ac:dyDescent="0.25">
      <c r="A244">
        <v>243</v>
      </c>
      <c r="B244">
        <v>74</v>
      </c>
      <c r="C244" t="s">
        <v>12</v>
      </c>
      <c r="D244" t="s">
        <v>15</v>
      </c>
      <c r="E244">
        <v>18.05</v>
      </c>
      <c r="F244">
        <v>12.63</v>
      </c>
      <c r="G244">
        <v>4.9000000000000004</v>
      </c>
      <c r="H244" t="s">
        <v>18</v>
      </c>
      <c r="I244" t="s">
        <v>22</v>
      </c>
      <c r="J244" t="s">
        <v>25</v>
      </c>
      <c r="K244">
        <v>20</v>
      </c>
      <c r="L244" t="s">
        <v>29</v>
      </c>
    </row>
    <row r="245" spans="1:12" x14ac:dyDescent="0.25">
      <c r="A245">
        <v>244</v>
      </c>
      <c r="B245">
        <v>69</v>
      </c>
      <c r="C245" t="s">
        <v>13</v>
      </c>
      <c r="D245" t="s">
        <v>16</v>
      </c>
      <c r="E245">
        <v>22.32</v>
      </c>
      <c r="F245">
        <v>2.35</v>
      </c>
      <c r="G245">
        <v>27.86</v>
      </c>
      <c r="H245" t="s">
        <v>20</v>
      </c>
      <c r="I245" t="s">
        <v>24</v>
      </c>
      <c r="J245" t="s">
        <v>26</v>
      </c>
      <c r="K245">
        <v>34</v>
      </c>
      <c r="L245" t="s">
        <v>29</v>
      </c>
    </row>
    <row r="246" spans="1:12" x14ac:dyDescent="0.25">
      <c r="A246">
        <v>245</v>
      </c>
      <c r="B246">
        <v>30</v>
      </c>
      <c r="C246" t="s">
        <v>12</v>
      </c>
      <c r="D246" t="s">
        <v>15</v>
      </c>
      <c r="E246">
        <v>13.54</v>
      </c>
      <c r="F246">
        <v>8.7100000000000009</v>
      </c>
      <c r="G246">
        <v>12.19</v>
      </c>
      <c r="H246" t="s">
        <v>19</v>
      </c>
      <c r="I246" t="s">
        <v>23</v>
      </c>
      <c r="J246" t="s">
        <v>27</v>
      </c>
      <c r="K246">
        <v>30</v>
      </c>
      <c r="L246" t="s">
        <v>29</v>
      </c>
    </row>
    <row r="247" spans="1:12" x14ac:dyDescent="0.25">
      <c r="A247">
        <v>246</v>
      </c>
      <c r="B247">
        <v>58</v>
      </c>
      <c r="C247" t="s">
        <v>13</v>
      </c>
      <c r="D247" t="s">
        <v>14</v>
      </c>
      <c r="E247">
        <v>9.73</v>
      </c>
      <c r="F247">
        <v>24.67</v>
      </c>
      <c r="G247">
        <v>9.6199999999999992</v>
      </c>
      <c r="H247" t="s">
        <v>20</v>
      </c>
      <c r="I247" t="s">
        <v>23</v>
      </c>
      <c r="J247" t="s">
        <v>26</v>
      </c>
      <c r="K247">
        <v>12</v>
      </c>
      <c r="L247" t="s">
        <v>29</v>
      </c>
    </row>
    <row r="248" spans="1:12" x14ac:dyDescent="0.25">
      <c r="A248">
        <v>247</v>
      </c>
      <c r="B248">
        <v>20</v>
      </c>
      <c r="C248" t="s">
        <v>13</v>
      </c>
      <c r="D248" t="s">
        <v>14</v>
      </c>
      <c r="E248">
        <v>11.21</v>
      </c>
      <c r="F248">
        <v>0.78</v>
      </c>
      <c r="G248">
        <v>4.8499999999999996</v>
      </c>
      <c r="H248" t="s">
        <v>18</v>
      </c>
      <c r="I248" t="s">
        <v>23</v>
      </c>
      <c r="J248" t="s">
        <v>25</v>
      </c>
      <c r="K248">
        <v>24</v>
      </c>
      <c r="L248" t="s">
        <v>29</v>
      </c>
    </row>
    <row r="249" spans="1:12" x14ac:dyDescent="0.25">
      <c r="A249">
        <v>248</v>
      </c>
      <c r="B249">
        <v>56</v>
      </c>
      <c r="C249" t="s">
        <v>12</v>
      </c>
      <c r="D249" t="s">
        <v>15</v>
      </c>
      <c r="E249">
        <v>1.67</v>
      </c>
      <c r="F249">
        <v>42.87</v>
      </c>
      <c r="G249">
        <v>4.7699999999999996</v>
      </c>
      <c r="H249" t="s">
        <v>19</v>
      </c>
      <c r="I249" t="s">
        <v>22</v>
      </c>
      <c r="J249" t="s">
        <v>26</v>
      </c>
      <c r="K249">
        <v>30</v>
      </c>
      <c r="L249" t="s">
        <v>29</v>
      </c>
    </row>
    <row r="250" spans="1:12" x14ac:dyDescent="0.25">
      <c r="A250">
        <v>249</v>
      </c>
      <c r="B250">
        <v>23</v>
      </c>
      <c r="C250" t="s">
        <v>12</v>
      </c>
      <c r="D250" t="s">
        <v>17</v>
      </c>
      <c r="E250">
        <v>24.47</v>
      </c>
      <c r="F250">
        <v>1.18</v>
      </c>
      <c r="G250">
        <v>32.79</v>
      </c>
      <c r="H250" t="s">
        <v>19</v>
      </c>
      <c r="I250" t="s">
        <v>23</v>
      </c>
      <c r="J250" t="s">
        <v>26</v>
      </c>
      <c r="K250">
        <v>17</v>
      </c>
      <c r="L250" t="s">
        <v>29</v>
      </c>
    </row>
    <row r="251" spans="1:12" x14ac:dyDescent="0.25">
      <c r="A251">
        <v>250</v>
      </c>
      <c r="B251">
        <v>25</v>
      </c>
      <c r="C251" t="s">
        <v>13</v>
      </c>
      <c r="D251" t="s">
        <v>14</v>
      </c>
      <c r="E251">
        <v>22.88</v>
      </c>
      <c r="F251">
        <v>12.4</v>
      </c>
      <c r="G251">
        <v>14.69</v>
      </c>
      <c r="H251" t="s">
        <v>19</v>
      </c>
      <c r="I251" t="s">
        <v>24</v>
      </c>
      <c r="J251" t="s">
        <v>25</v>
      </c>
      <c r="K251">
        <v>31</v>
      </c>
      <c r="L251" t="s">
        <v>29</v>
      </c>
    </row>
    <row r="252" spans="1:12" x14ac:dyDescent="0.25">
      <c r="A252">
        <v>251</v>
      </c>
      <c r="B252">
        <v>44</v>
      </c>
      <c r="C252" t="s">
        <v>13</v>
      </c>
      <c r="D252" t="s">
        <v>17</v>
      </c>
      <c r="E252">
        <v>24.14</v>
      </c>
      <c r="F252">
        <v>2.4700000000000002</v>
      </c>
      <c r="G252">
        <v>8.9700000000000006</v>
      </c>
      <c r="H252" t="s">
        <v>19</v>
      </c>
      <c r="I252" t="s">
        <v>23</v>
      </c>
      <c r="J252" t="s">
        <v>26</v>
      </c>
      <c r="K252">
        <v>9</v>
      </c>
      <c r="L252" t="s">
        <v>29</v>
      </c>
    </row>
    <row r="253" spans="1:12" x14ac:dyDescent="0.25">
      <c r="A253">
        <v>252</v>
      </c>
      <c r="B253">
        <v>26</v>
      </c>
      <c r="C253" t="s">
        <v>13</v>
      </c>
      <c r="D253" t="s">
        <v>14</v>
      </c>
      <c r="E253">
        <v>9.25</v>
      </c>
      <c r="F253">
        <v>13.86</v>
      </c>
      <c r="G253">
        <v>2.69</v>
      </c>
      <c r="H253" t="s">
        <v>21</v>
      </c>
      <c r="I253" t="s">
        <v>23</v>
      </c>
      <c r="J253" t="s">
        <v>26</v>
      </c>
      <c r="K253">
        <v>34</v>
      </c>
      <c r="L253" t="s">
        <v>29</v>
      </c>
    </row>
    <row r="254" spans="1:12" x14ac:dyDescent="0.25">
      <c r="A254">
        <v>253</v>
      </c>
      <c r="B254">
        <v>79</v>
      </c>
      <c r="C254" t="s">
        <v>12</v>
      </c>
      <c r="D254" t="s">
        <v>17</v>
      </c>
      <c r="E254">
        <v>11.36</v>
      </c>
      <c r="F254">
        <v>21.44</v>
      </c>
      <c r="G254">
        <v>6.21</v>
      </c>
      <c r="H254" t="s">
        <v>21</v>
      </c>
      <c r="I254" t="s">
        <v>23</v>
      </c>
      <c r="J254" t="s">
        <v>26</v>
      </c>
      <c r="K254">
        <v>4</v>
      </c>
      <c r="L254" t="s">
        <v>30</v>
      </c>
    </row>
    <row r="255" spans="1:12" x14ac:dyDescent="0.25">
      <c r="A255">
        <v>254</v>
      </c>
      <c r="B255">
        <v>54</v>
      </c>
      <c r="C255" t="s">
        <v>13</v>
      </c>
      <c r="D255" t="s">
        <v>17</v>
      </c>
      <c r="E255">
        <v>11.08</v>
      </c>
      <c r="F255">
        <v>17.63</v>
      </c>
      <c r="G255">
        <v>12.14</v>
      </c>
      <c r="H255" t="s">
        <v>21</v>
      </c>
      <c r="I255" t="s">
        <v>22</v>
      </c>
      <c r="J255" t="s">
        <v>25</v>
      </c>
      <c r="K255">
        <v>28</v>
      </c>
      <c r="L255" t="s">
        <v>30</v>
      </c>
    </row>
    <row r="256" spans="1:12" x14ac:dyDescent="0.25">
      <c r="A256">
        <v>255</v>
      </c>
      <c r="B256">
        <v>50</v>
      </c>
      <c r="C256" t="s">
        <v>12</v>
      </c>
      <c r="D256" t="s">
        <v>15</v>
      </c>
      <c r="E256">
        <v>34.090000000000003</v>
      </c>
      <c r="F256">
        <v>19.649999999999999</v>
      </c>
      <c r="G256">
        <v>19.52</v>
      </c>
      <c r="H256" t="s">
        <v>19</v>
      </c>
      <c r="I256" t="s">
        <v>22</v>
      </c>
      <c r="J256" t="s">
        <v>26</v>
      </c>
      <c r="K256">
        <v>13</v>
      </c>
      <c r="L256" t="s">
        <v>30</v>
      </c>
    </row>
    <row r="257" spans="1:12" x14ac:dyDescent="0.25">
      <c r="A257">
        <v>256</v>
      </c>
      <c r="B257">
        <v>68</v>
      </c>
      <c r="C257" t="s">
        <v>12</v>
      </c>
      <c r="D257" t="s">
        <v>15</v>
      </c>
      <c r="E257">
        <v>19.62</v>
      </c>
      <c r="F257">
        <v>8.0500000000000007</v>
      </c>
      <c r="G257">
        <v>10.130000000000001</v>
      </c>
      <c r="H257" t="s">
        <v>18</v>
      </c>
      <c r="I257" t="s">
        <v>23</v>
      </c>
      <c r="J257" t="s">
        <v>26</v>
      </c>
      <c r="K257">
        <v>27</v>
      </c>
      <c r="L257" t="s">
        <v>29</v>
      </c>
    </row>
    <row r="258" spans="1:12" x14ac:dyDescent="0.25">
      <c r="A258">
        <v>257</v>
      </c>
      <c r="B258">
        <v>59</v>
      </c>
      <c r="C258" t="s">
        <v>13</v>
      </c>
      <c r="D258" t="s">
        <v>16</v>
      </c>
      <c r="E258">
        <v>17.920000000000002</v>
      </c>
      <c r="F258">
        <v>24.55</v>
      </c>
      <c r="G258">
        <v>19.329999999999998</v>
      </c>
      <c r="H258" t="s">
        <v>20</v>
      </c>
      <c r="I258" t="s">
        <v>24</v>
      </c>
      <c r="J258" t="s">
        <v>25</v>
      </c>
      <c r="K258">
        <v>21</v>
      </c>
      <c r="L258" t="s">
        <v>29</v>
      </c>
    </row>
    <row r="259" spans="1:12" x14ac:dyDescent="0.25">
      <c r="A259">
        <v>258</v>
      </c>
      <c r="B259">
        <v>61</v>
      </c>
      <c r="C259" t="s">
        <v>12</v>
      </c>
      <c r="D259" t="s">
        <v>17</v>
      </c>
      <c r="E259">
        <v>28.05</v>
      </c>
      <c r="F259">
        <v>36.67</v>
      </c>
      <c r="G259">
        <v>10.199999999999999</v>
      </c>
      <c r="H259" t="s">
        <v>19</v>
      </c>
      <c r="I259" t="s">
        <v>23</v>
      </c>
      <c r="J259" t="s">
        <v>26</v>
      </c>
      <c r="K259">
        <v>22</v>
      </c>
      <c r="L259" t="s">
        <v>30</v>
      </c>
    </row>
    <row r="260" spans="1:12" x14ac:dyDescent="0.25">
      <c r="A260">
        <v>259</v>
      </c>
      <c r="B260">
        <v>41</v>
      </c>
      <c r="C260" t="s">
        <v>13</v>
      </c>
      <c r="D260" t="s">
        <v>17</v>
      </c>
      <c r="E260">
        <v>11.11</v>
      </c>
      <c r="F260">
        <v>10.72</v>
      </c>
      <c r="G260">
        <v>18.25</v>
      </c>
      <c r="H260" t="s">
        <v>18</v>
      </c>
      <c r="I260" t="s">
        <v>22</v>
      </c>
      <c r="J260" t="s">
        <v>26</v>
      </c>
      <c r="K260">
        <v>35</v>
      </c>
      <c r="L260" t="s">
        <v>29</v>
      </c>
    </row>
    <row r="261" spans="1:12" x14ac:dyDescent="0.25">
      <c r="A261">
        <v>260</v>
      </c>
      <c r="B261">
        <v>32</v>
      </c>
      <c r="C261" t="s">
        <v>13</v>
      </c>
      <c r="D261" t="s">
        <v>17</v>
      </c>
      <c r="E261">
        <v>21.97</v>
      </c>
      <c r="F261">
        <v>7.33</v>
      </c>
      <c r="G261">
        <v>7.65</v>
      </c>
      <c r="H261" t="s">
        <v>20</v>
      </c>
      <c r="I261" t="s">
        <v>22</v>
      </c>
      <c r="J261" t="s">
        <v>26</v>
      </c>
      <c r="K261">
        <v>19</v>
      </c>
      <c r="L261" t="s">
        <v>29</v>
      </c>
    </row>
    <row r="262" spans="1:12" x14ac:dyDescent="0.25">
      <c r="A262">
        <v>261</v>
      </c>
      <c r="B262">
        <v>76</v>
      </c>
      <c r="C262" t="s">
        <v>13</v>
      </c>
      <c r="D262" t="s">
        <v>17</v>
      </c>
      <c r="E262">
        <v>53.54</v>
      </c>
      <c r="F262">
        <v>5.09</v>
      </c>
      <c r="G262">
        <v>18.28</v>
      </c>
      <c r="H262" t="s">
        <v>19</v>
      </c>
      <c r="I262" t="s">
        <v>23</v>
      </c>
      <c r="J262" t="s">
        <v>26</v>
      </c>
      <c r="K262">
        <v>32</v>
      </c>
      <c r="L262" t="s">
        <v>29</v>
      </c>
    </row>
    <row r="263" spans="1:12" x14ac:dyDescent="0.25">
      <c r="A263">
        <v>262</v>
      </c>
      <c r="B263">
        <v>71</v>
      </c>
      <c r="C263" t="s">
        <v>13</v>
      </c>
      <c r="D263" t="s">
        <v>14</v>
      </c>
      <c r="E263">
        <v>37.409999999999997</v>
      </c>
      <c r="F263">
        <v>16.850000000000001</v>
      </c>
      <c r="G263">
        <v>6.47</v>
      </c>
      <c r="H263" t="s">
        <v>20</v>
      </c>
      <c r="I263" t="s">
        <v>24</v>
      </c>
      <c r="J263" t="s">
        <v>26</v>
      </c>
      <c r="K263">
        <v>20</v>
      </c>
      <c r="L263" t="s">
        <v>29</v>
      </c>
    </row>
    <row r="264" spans="1:12" x14ac:dyDescent="0.25">
      <c r="A264">
        <v>263</v>
      </c>
      <c r="B264">
        <v>49</v>
      </c>
      <c r="C264" t="s">
        <v>13</v>
      </c>
      <c r="D264" t="s">
        <v>14</v>
      </c>
      <c r="E264">
        <v>21.76</v>
      </c>
      <c r="F264">
        <v>20.29</v>
      </c>
      <c r="G264">
        <v>15.19</v>
      </c>
      <c r="H264" t="s">
        <v>21</v>
      </c>
      <c r="I264" t="s">
        <v>24</v>
      </c>
      <c r="J264" t="s">
        <v>27</v>
      </c>
      <c r="K264">
        <v>34</v>
      </c>
      <c r="L264" t="s">
        <v>30</v>
      </c>
    </row>
    <row r="265" spans="1:12" x14ac:dyDescent="0.25">
      <c r="A265">
        <v>264</v>
      </c>
      <c r="B265">
        <v>49</v>
      </c>
      <c r="C265" t="s">
        <v>12</v>
      </c>
      <c r="D265" t="s">
        <v>17</v>
      </c>
      <c r="E265">
        <v>18.37</v>
      </c>
      <c r="F265">
        <v>7.34</v>
      </c>
      <c r="G265">
        <v>10.82</v>
      </c>
      <c r="H265" t="s">
        <v>21</v>
      </c>
      <c r="I265" t="s">
        <v>23</v>
      </c>
      <c r="J265" t="s">
        <v>26</v>
      </c>
      <c r="K265">
        <v>6</v>
      </c>
      <c r="L265" t="s">
        <v>30</v>
      </c>
    </row>
    <row r="266" spans="1:12" x14ac:dyDescent="0.25">
      <c r="A266">
        <v>265</v>
      </c>
      <c r="B266">
        <v>41</v>
      </c>
      <c r="C266" t="s">
        <v>12</v>
      </c>
      <c r="D266" t="s">
        <v>14</v>
      </c>
      <c r="E266">
        <v>24</v>
      </c>
      <c r="F266">
        <v>28.18</v>
      </c>
      <c r="G266">
        <v>0.94</v>
      </c>
      <c r="H266" t="s">
        <v>21</v>
      </c>
      <c r="I266" t="s">
        <v>22</v>
      </c>
      <c r="J266" t="s">
        <v>26</v>
      </c>
      <c r="K266">
        <v>34</v>
      </c>
      <c r="L266" t="s">
        <v>29</v>
      </c>
    </row>
    <row r="267" spans="1:12" x14ac:dyDescent="0.25">
      <c r="A267">
        <v>266</v>
      </c>
      <c r="B267">
        <v>58</v>
      </c>
      <c r="C267" t="s">
        <v>13</v>
      </c>
      <c r="D267" t="s">
        <v>16</v>
      </c>
      <c r="E267">
        <v>40.57</v>
      </c>
      <c r="F267">
        <v>15.87</v>
      </c>
      <c r="G267">
        <v>5.12</v>
      </c>
      <c r="H267" t="s">
        <v>18</v>
      </c>
      <c r="I267" t="s">
        <v>23</v>
      </c>
      <c r="J267" t="s">
        <v>26</v>
      </c>
      <c r="K267">
        <v>21</v>
      </c>
      <c r="L267" t="s">
        <v>30</v>
      </c>
    </row>
    <row r="268" spans="1:12" x14ac:dyDescent="0.25">
      <c r="A268">
        <v>267</v>
      </c>
      <c r="B268">
        <v>69</v>
      </c>
      <c r="C268" t="s">
        <v>13</v>
      </c>
      <c r="D268" t="s">
        <v>17</v>
      </c>
      <c r="E268">
        <v>38.840000000000003</v>
      </c>
      <c r="F268">
        <v>10.63</v>
      </c>
      <c r="G268">
        <v>2.2000000000000002</v>
      </c>
      <c r="H268" t="s">
        <v>21</v>
      </c>
      <c r="I268" t="s">
        <v>22</v>
      </c>
      <c r="J268" t="s">
        <v>26</v>
      </c>
      <c r="K268">
        <v>5</v>
      </c>
      <c r="L268" t="s">
        <v>29</v>
      </c>
    </row>
    <row r="269" spans="1:12" x14ac:dyDescent="0.25">
      <c r="A269">
        <v>268</v>
      </c>
      <c r="B269">
        <v>66</v>
      </c>
      <c r="C269" t="s">
        <v>12</v>
      </c>
      <c r="D269" t="s">
        <v>14</v>
      </c>
      <c r="E269">
        <v>44.72</v>
      </c>
      <c r="F269">
        <v>12.7</v>
      </c>
      <c r="G269">
        <v>40.479999999999997</v>
      </c>
      <c r="H269" t="s">
        <v>18</v>
      </c>
      <c r="I269" t="s">
        <v>23</v>
      </c>
      <c r="J269" t="s">
        <v>25</v>
      </c>
      <c r="K269">
        <v>30</v>
      </c>
      <c r="L269" t="s">
        <v>29</v>
      </c>
    </row>
    <row r="270" spans="1:12" x14ac:dyDescent="0.25">
      <c r="A270">
        <v>269</v>
      </c>
      <c r="B270">
        <v>79</v>
      </c>
      <c r="C270" t="s">
        <v>12</v>
      </c>
      <c r="D270" t="s">
        <v>15</v>
      </c>
      <c r="E270">
        <v>20.350000000000001</v>
      </c>
      <c r="F270">
        <v>4.13</v>
      </c>
      <c r="G270">
        <v>13.31</v>
      </c>
      <c r="H270" t="s">
        <v>21</v>
      </c>
      <c r="I270" t="s">
        <v>24</v>
      </c>
      <c r="J270" t="s">
        <v>26</v>
      </c>
      <c r="K270">
        <v>8</v>
      </c>
      <c r="L270" t="s">
        <v>29</v>
      </c>
    </row>
    <row r="271" spans="1:12" x14ac:dyDescent="0.25">
      <c r="A271">
        <v>270</v>
      </c>
      <c r="B271">
        <v>66</v>
      </c>
      <c r="C271" t="s">
        <v>12</v>
      </c>
      <c r="D271" t="s">
        <v>15</v>
      </c>
      <c r="E271">
        <v>2.56</v>
      </c>
      <c r="F271">
        <v>16.71</v>
      </c>
      <c r="G271">
        <v>6.22</v>
      </c>
      <c r="H271" t="s">
        <v>21</v>
      </c>
      <c r="I271" t="s">
        <v>23</v>
      </c>
      <c r="J271" t="s">
        <v>26</v>
      </c>
      <c r="K271">
        <v>19</v>
      </c>
      <c r="L271" t="s">
        <v>29</v>
      </c>
    </row>
    <row r="272" spans="1:12" x14ac:dyDescent="0.25">
      <c r="A272">
        <v>271</v>
      </c>
      <c r="B272">
        <v>75</v>
      </c>
      <c r="C272" t="s">
        <v>12</v>
      </c>
      <c r="D272" t="s">
        <v>14</v>
      </c>
      <c r="E272">
        <v>51.28</v>
      </c>
      <c r="F272">
        <v>4.3899999999999997</v>
      </c>
      <c r="G272">
        <v>2.64</v>
      </c>
      <c r="H272" t="s">
        <v>21</v>
      </c>
      <c r="I272" t="s">
        <v>23</v>
      </c>
      <c r="J272" t="s">
        <v>26</v>
      </c>
      <c r="K272">
        <v>7</v>
      </c>
      <c r="L272" t="s">
        <v>29</v>
      </c>
    </row>
    <row r="273" spans="1:12" x14ac:dyDescent="0.25">
      <c r="A273">
        <v>272</v>
      </c>
      <c r="B273">
        <v>69</v>
      </c>
      <c r="C273" t="s">
        <v>13</v>
      </c>
      <c r="D273" t="s">
        <v>17</v>
      </c>
      <c r="E273">
        <v>9.7200000000000006</v>
      </c>
      <c r="F273">
        <v>6.58</v>
      </c>
      <c r="G273">
        <v>9.8800000000000008</v>
      </c>
      <c r="H273" t="s">
        <v>18</v>
      </c>
      <c r="I273" t="s">
        <v>23</v>
      </c>
      <c r="J273" t="s">
        <v>27</v>
      </c>
      <c r="K273">
        <v>21</v>
      </c>
      <c r="L273" t="s">
        <v>29</v>
      </c>
    </row>
    <row r="274" spans="1:12" x14ac:dyDescent="0.25">
      <c r="A274">
        <v>273</v>
      </c>
      <c r="B274">
        <v>29</v>
      </c>
      <c r="C274" t="s">
        <v>13</v>
      </c>
      <c r="D274" t="s">
        <v>14</v>
      </c>
      <c r="E274">
        <v>27.77</v>
      </c>
      <c r="F274">
        <v>9.4499999999999993</v>
      </c>
      <c r="G274">
        <v>13.16</v>
      </c>
      <c r="H274" t="s">
        <v>20</v>
      </c>
      <c r="I274" t="s">
        <v>23</v>
      </c>
      <c r="J274" t="s">
        <v>26</v>
      </c>
      <c r="K274">
        <v>24</v>
      </c>
      <c r="L274" t="s">
        <v>29</v>
      </c>
    </row>
    <row r="275" spans="1:12" x14ac:dyDescent="0.25">
      <c r="A275">
        <v>274</v>
      </c>
      <c r="B275">
        <v>79</v>
      </c>
      <c r="C275" t="s">
        <v>12</v>
      </c>
      <c r="D275" t="s">
        <v>14</v>
      </c>
      <c r="E275">
        <v>2.62</v>
      </c>
      <c r="F275">
        <v>32.93</v>
      </c>
      <c r="G275">
        <v>6.16</v>
      </c>
      <c r="H275" t="s">
        <v>18</v>
      </c>
      <c r="I275" t="s">
        <v>22</v>
      </c>
      <c r="J275" t="s">
        <v>26</v>
      </c>
      <c r="K275">
        <v>26</v>
      </c>
      <c r="L275" t="s">
        <v>29</v>
      </c>
    </row>
    <row r="276" spans="1:12" x14ac:dyDescent="0.25">
      <c r="A276">
        <v>275</v>
      </c>
      <c r="B276">
        <v>56</v>
      </c>
      <c r="C276" t="s">
        <v>13</v>
      </c>
      <c r="D276" t="s">
        <v>15</v>
      </c>
      <c r="E276">
        <v>17.670000000000002</v>
      </c>
      <c r="F276">
        <v>11.96</v>
      </c>
      <c r="G276">
        <v>11.29</v>
      </c>
      <c r="H276" t="s">
        <v>19</v>
      </c>
      <c r="I276" t="s">
        <v>23</v>
      </c>
      <c r="J276" t="s">
        <v>25</v>
      </c>
      <c r="K276">
        <v>12</v>
      </c>
      <c r="L276" t="s">
        <v>30</v>
      </c>
    </row>
    <row r="277" spans="1:12" x14ac:dyDescent="0.25">
      <c r="A277">
        <v>276</v>
      </c>
      <c r="B277">
        <v>19</v>
      </c>
      <c r="C277" t="s">
        <v>12</v>
      </c>
      <c r="D277" t="s">
        <v>14</v>
      </c>
      <c r="E277">
        <v>13.83</v>
      </c>
      <c r="F277">
        <v>4.8</v>
      </c>
      <c r="G277">
        <v>20.29</v>
      </c>
      <c r="H277" t="s">
        <v>19</v>
      </c>
      <c r="I277" t="s">
        <v>22</v>
      </c>
      <c r="J277" t="s">
        <v>26</v>
      </c>
      <c r="K277">
        <v>4</v>
      </c>
      <c r="L277" t="s">
        <v>29</v>
      </c>
    </row>
    <row r="278" spans="1:12" x14ac:dyDescent="0.25">
      <c r="A278">
        <v>277</v>
      </c>
      <c r="B278">
        <v>20</v>
      </c>
      <c r="C278" t="s">
        <v>13</v>
      </c>
      <c r="D278" t="s">
        <v>17</v>
      </c>
      <c r="E278">
        <v>44.78</v>
      </c>
      <c r="F278">
        <v>12.73</v>
      </c>
      <c r="G278">
        <v>4.4400000000000004</v>
      </c>
      <c r="H278" t="s">
        <v>18</v>
      </c>
      <c r="I278" t="s">
        <v>23</v>
      </c>
      <c r="J278" t="s">
        <v>25</v>
      </c>
      <c r="K278">
        <v>30</v>
      </c>
      <c r="L278" t="s">
        <v>29</v>
      </c>
    </row>
    <row r="279" spans="1:12" x14ac:dyDescent="0.25">
      <c r="A279">
        <v>278</v>
      </c>
      <c r="B279">
        <v>66</v>
      </c>
      <c r="C279" t="s">
        <v>12</v>
      </c>
      <c r="D279" t="s">
        <v>17</v>
      </c>
      <c r="E279">
        <v>21.94</v>
      </c>
      <c r="F279">
        <v>15.2</v>
      </c>
      <c r="G279">
        <v>5.94</v>
      </c>
      <c r="H279" t="s">
        <v>18</v>
      </c>
      <c r="I279" t="s">
        <v>22</v>
      </c>
      <c r="J279" t="s">
        <v>25</v>
      </c>
      <c r="K279">
        <v>19</v>
      </c>
      <c r="L279" t="s">
        <v>30</v>
      </c>
    </row>
    <row r="280" spans="1:12" x14ac:dyDescent="0.25">
      <c r="A280">
        <v>279</v>
      </c>
      <c r="B280">
        <v>54</v>
      </c>
      <c r="C280" t="s">
        <v>13</v>
      </c>
      <c r="D280" t="s">
        <v>16</v>
      </c>
      <c r="E280">
        <v>17.55</v>
      </c>
      <c r="F280">
        <v>22.6</v>
      </c>
      <c r="G280">
        <v>2.09</v>
      </c>
      <c r="H280" t="s">
        <v>20</v>
      </c>
      <c r="I280" t="s">
        <v>22</v>
      </c>
      <c r="J280" t="s">
        <v>26</v>
      </c>
      <c r="K280">
        <v>8</v>
      </c>
      <c r="L280" t="s">
        <v>29</v>
      </c>
    </row>
    <row r="281" spans="1:12" x14ac:dyDescent="0.25">
      <c r="A281">
        <v>280</v>
      </c>
      <c r="B281">
        <v>66</v>
      </c>
      <c r="C281" t="s">
        <v>12</v>
      </c>
      <c r="D281" t="s">
        <v>14</v>
      </c>
      <c r="E281">
        <v>23.52</v>
      </c>
      <c r="F281">
        <v>9.81</v>
      </c>
      <c r="G281">
        <v>20.92</v>
      </c>
      <c r="H281" t="s">
        <v>18</v>
      </c>
      <c r="I281" t="s">
        <v>24</v>
      </c>
      <c r="J281" t="s">
        <v>26</v>
      </c>
      <c r="K281">
        <v>7</v>
      </c>
      <c r="L281" t="s">
        <v>29</v>
      </c>
    </row>
    <row r="282" spans="1:12" x14ac:dyDescent="0.25">
      <c r="A282">
        <v>281</v>
      </c>
      <c r="B282">
        <v>73</v>
      </c>
      <c r="C282" t="s">
        <v>12</v>
      </c>
      <c r="D282" t="s">
        <v>15</v>
      </c>
      <c r="E282">
        <v>1.01</v>
      </c>
      <c r="F282">
        <v>5.46</v>
      </c>
      <c r="G282">
        <v>6.94</v>
      </c>
      <c r="H282" t="s">
        <v>21</v>
      </c>
      <c r="I282" t="s">
        <v>24</v>
      </c>
      <c r="J282" t="s">
        <v>28</v>
      </c>
      <c r="K282">
        <v>9</v>
      </c>
      <c r="L282" t="s">
        <v>29</v>
      </c>
    </row>
    <row r="283" spans="1:12" x14ac:dyDescent="0.25">
      <c r="A283">
        <v>282</v>
      </c>
      <c r="B283">
        <v>34</v>
      </c>
      <c r="C283" t="s">
        <v>13</v>
      </c>
      <c r="D283" t="s">
        <v>17</v>
      </c>
      <c r="E283">
        <v>10.92</v>
      </c>
      <c r="F283">
        <v>38.74</v>
      </c>
      <c r="G283">
        <v>26.14</v>
      </c>
      <c r="H283" t="s">
        <v>20</v>
      </c>
      <c r="I283" t="s">
        <v>24</v>
      </c>
      <c r="J283" t="s">
        <v>25</v>
      </c>
      <c r="K283">
        <v>34</v>
      </c>
      <c r="L283" t="s">
        <v>29</v>
      </c>
    </row>
    <row r="284" spans="1:12" x14ac:dyDescent="0.25">
      <c r="A284">
        <v>283</v>
      </c>
      <c r="B284">
        <v>76</v>
      </c>
      <c r="C284" t="s">
        <v>12</v>
      </c>
      <c r="D284" t="s">
        <v>16</v>
      </c>
      <c r="E284">
        <v>12.2</v>
      </c>
      <c r="F284">
        <v>12.75</v>
      </c>
      <c r="G284">
        <v>0.73</v>
      </c>
      <c r="H284" t="s">
        <v>18</v>
      </c>
      <c r="I284" t="s">
        <v>22</v>
      </c>
      <c r="J284" t="s">
        <v>27</v>
      </c>
      <c r="K284">
        <v>6</v>
      </c>
      <c r="L284" t="s">
        <v>29</v>
      </c>
    </row>
    <row r="285" spans="1:12" x14ac:dyDescent="0.25">
      <c r="A285">
        <v>284</v>
      </c>
      <c r="B285">
        <v>66</v>
      </c>
      <c r="C285" t="s">
        <v>13</v>
      </c>
      <c r="D285" t="s">
        <v>16</v>
      </c>
      <c r="E285">
        <v>25.91</v>
      </c>
      <c r="F285">
        <v>4.83</v>
      </c>
      <c r="G285">
        <v>11.74</v>
      </c>
      <c r="H285" t="s">
        <v>18</v>
      </c>
      <c r="I285" t="s">
        <v>23</v>
      </c>
      <c r="J285" t="s">
        <v>26</v>
      </c>
      <c r="K285">
        <v>23</v>
      </c>
      <c r="L285" t="s">
        <v>29</v>
      </c>
    </row>
    <row r="286" spans="1:12" x14ac:dyDescent="0.25">
      <c r="A286">
        <v>285</v>
      </c>
      <c r="B286">
        <v>19</v>
      </c>
      <c r="C286" t="s">
        <v>13</v>
      </c>
      <c r="D286" t="s">
        <v>16</v>
      </c>
      <c r="E286">
        <v>8.1300000000000008</v>
      </c>
      <c r="F286">
        <v>9.75</v>
      </c>
      <c r="G286">
        <v>13.96</v>
      </c>
      <c r="H286" t="s">
        <v>19</v>
      </c>
      <c r="I286" t="s">
        <v>22</v>
      </c>
      <c r="J286" t="s">
        <v>26</v>
      </c>
      <c r="K286">
        <v>34</v>
      </c>
      <c r="L286" t="s">
        <v>29</v>
      </c>
    </row>
    <row r="287" spans="1:12" x14ac:dyDescent="0.25">
      <c r="A287">
        <v>286</v>
      </c>
      <c r="B287">
        <v>19</v>
      </c>
      <c r="C287" t="s">
        <v>12</v>
      </c>
      <c r="D287" t="s">
        <v>15</v>
      </c>
      <c r="E287">
        <v>19.78</v>
      </c>
      <c r="F287">
        <v>6.58</v>
      </c>
      <c r="G287">
        <v>13.32</v>
      </c>
      <c r="H287" t="s">
        <v>20</v>
      </c>
      <c r="I287" t="s">
        <v>24</v>
      </c>
      <c r="J287" t="s">
        <v>27</v>
      </c>
      <c r="K287">
        <v>20</v>
      </c>
      <c r="L287" t="s">
        <v>29</v>
      </c>
    </row>
    <row r="288" spans="1:12" x14ac:dyDescent="0.25">
      <c r="A288">
        <v>287</v>
      </c>
      <c r="B288">
        <v>45</v>
      </c>
      <c r="C288" t="s">
        <v>13</v>
      </c>
      <c r="D288" t="s">
        <v>15</v>
      </c>
      <c r="E288">
        <v>16.420000000000002</v>
      </c>
      <c r="F288">
        <v>23.52</v>
      </c>
      <c r="G288">
        <v>16.62</v>
      </c>
      <c r="H288" t="s">
        <v>19</v>
      </c>
      <c r="I288" t="s">
        <v>23</v>
      </c>
      <c r="J288" t="s">
        <v>26</v>
      </c>
      <c r="K288">
        <v>35</v>
      </c>
      <c r="L288" t="s">
        <v>30</v>
      </c>
    </row>
    <row r="289" spans="1:12" x14ac:dyDescent="0.25">
      <c r="A289">
        <v>288</v>
      </c>
      <c r="B289">
        <v>71</v>
      </c>
      <c r="C289" t="s">
        <v>13</v>
      </c>
      <c r="D289" t="s">
        <v>17</v>
      </c>
      <c r="E289">
        <v>11.37</v>
      </c>
      <c r="F289">
        <v>15.1</v>
      </c>
      <c r="G289">
        <v>10.84</v>
      </c>
      <c r="H289" t="s">
        <v>18</v>
      </c>
      <c r="I289" t="s">
        <v>22</v>
      </c>
      <c r="J289" t="s">
        <v>28</v>
      </c>
      <c r="K289">
        <v>16</v>
      </c>
      <c r="L289" t="s">
        <v>30</v>
      </c>
    </row>
    <row r="290" spans="1:12" x14ac:dyDescent="0.25">
      <c r="A290">
        <v>289</v>
      </c>
      <c r="B290">
        <v>40</v>
      </c>
      <c r="C290" t="s">
        <v>13</v>
      </c>
      <c r="D290" t="s">
        <v>14</v>
      </c>
      <c r="E290">
        <v>11.92</v>
      </c>
      <c r="F290">
        <v>7.77</v>
      </c>
      <c r="G290">
        <v>10.39</v>
      </c>
      <c r="H290" t="s">
        <v>20</v>
      </c>
      <c r="I290" t="s">
        <v>23</v>
      </c>
      <c r="J290" t="s">
        <v>26</v>
      </c>
      <c r="K290">
        <v>8</v>
      </c>
      <c r="L290" t="s">
        <v>29</v>
      </c>
    </row>
    <row r="291" spans="1:12" x14ac:dyDescent="0.25">
      <c r="A291">
        <v>290</v>
      </c>
      <c r="B291">
        <v>54</v>
      </c>
      <c r="C291" t="s">
        <v>13</v>
      </c>
      <c r="D291" t="s">
        <v>15</v>
      </c>
      <c r="E291">
        <v>16.32</v>
      </c>
      <c r="F291">
        <v>20.3</v>
      </c>
      <c r="G291">
        <v>2.2400000000000002</v>
      </c>
      <c r="H291" t="s">
        <v>21</v>
      </c>
      <c r="I291" t="s">
        <v>22</v>
      </c>
      <c r="J291" t="s">
        <v>27</v>
      </c>
      <c r="K291">
        <v>13</v>
      </c>
      <c r="L291" t="s">
        <v>29</v>
      </c>
    </row>
    <row r="292" spans="1:12" x14ac:dyDescent="0.25">
      <c r="A292">
        <v>291</v>
      </c>
      <c r="B292">
        <v>49</v>
      </c>
      <c r="C292" t="s">
        <v>13</v>
      </c>
      <c r="D292" t="s">
        <v>15</v>
      </c>
      <c r="E292">
        <v>3.39</v>
      </c>
      <c r="F292">
        <v>9.15</v>
      </c>
      <c r="G292">
        <v>8.5299999999999994</v>
      </c>
      <c r="H292" t="s">
        <v>18</v>
      </c>
      <c r="I292" t="s">
        <v>22</v>
      </c>
      <c r="J292" t="s">
        <v>26</v>
      </c>
      <c r="K292">
        <v>22</v>
      </c>
      <c r="L292" t="s">
        <v>29</v>
      </c>
    </row>
    <row r="293" spans="1:12" x14ac:dyDescent="0.25">
      <c r="A293">
        <v>292</v>
      </c>
      <c r="B293">
        <v>50</v>
      </c>
      <c r="C293" t="s">
        <v>12</v>
      </c>
      <c r="D293" t="s">
        <v>14</v>
      </c>
      <c r="E293">
        <v>28.29</v>
      </c>
      <c r="F293">
        <v>9.57</v>
      </c>
      <c r="G293">
        <v>10.58</v>
      </c>
      <c r="H293" t="s">
        <v>18</v>
      </c>
      <c r="I293" t="s">
        <v>22</v>
      </c>
      <c r="J293" t="s">
        <v>26</v>
      </c>
      <c r="K293">
        <v>31</v>
      </c>
      <c r="L293" t="s">
        <v>29</v>
      </c>
    </row>
    <row r="294" spans="1:12" x14ac:dyDescent="0.25">
      <c r="A294">
        <v>293</v>
      </c>
      <c r="B294">
        <v>18</v>
      </c>
      <c r="C294" t="s">
        <v>13</v>
      </c>
      <c r="D294" t="s">
        <v>15</v>
      </c>
      <c r="E294">
        <v>9.67</v>
      </c>
      <c r="F294">
        <v>5.33</v>
      </c>
      <c r="G294">
        <v>5.24</v>
      </c>
      <c r="H294" t="s">
        <v>19</v>
      </c>
      <c r="I294" t="s">
        <v>22</v>
      </c>
      <c r="J294" t="s">
        <v>27</v>
      </c>
      <c r="K294">
        <v>18</v>
      </c>
      <c r="L294" t="s">
        <v>29</v>
      </c>
    </row>
    <row r="295" spans="1:12" x14ac:dyDescent="0.25">
      <c r="A295">
        <v>294</v>
      </c>
      <c r="B295">
        <v>36</v>
      </c>
      <c r="C295" t="s">
        <v>13</v>
      </c>
      <c r="D295" t="s">
        <v>14</v>
      </c>
      <c r="E295">
        <v>14.45</v>
      </c>
      <c r="F295">
        <v>5.29</v>
      </c>
      <c r="G295">
        <v>4.6399999999999997</v>
      </c>
      <c r="H295" t="s">
        <v>21</v>
      </c>
      <c r="I295" t="s">
        <v>24</v>
      </c>
      <c r="J295" t="s">
        <v>26</v>
      </c>
      <c r="K295">
        <v>9</v>
      </c>
      <c r="L295" t="s">
        <v>29</v>
      </c>
    </row>
    <row r="296" spans="1:12" x14ac:dyDescent="0.25">
      <c r="A296">
        <v>295</v>
      </c>
      <c r="B296">
        <v>79</v>
      </c>
      <c r="C296" t="s">
        <v>13</v>
      </c>
      <c r="D296" t="s">
        <v>16</v>
      </c>
      <c r="E296">
        <v>43.79</v>
      </c>
      <c r="F296">
        <v>37.07</v>
      </c>
      <c r="G296">
        <v>13.19</v>
      </c>
      <c r="H296" t="s">
        <v>18</v>
      </c>
      <c r="I296" t="s">
        <v>22</v>
      </c>
      <c r="J296" t="s">
        <v>26</v>
      </c>
      <c r="K296">
        <v>33</v>
      </c>
      <c r="L296" t="s">
        <v>29</v>
      </c>
    </row>
    <row r="297" spans="1:12" x14ac:dyDescent="0.25">
      <c r="A297">
        <v>296</v>
      </c>
      <c r="B297">
        <v>19</v>
      </c>
      <c r="C297" t="s">
        <v>13</v>
      </c>
      <c r="D297" t="s">
        <v>14</v>
      </c>
      <c r="E297">
        <v>28.6</v>
      </c>
      <c r="F297">
        <v>19.649999999999999</v>
      </c>
      <c r="G297">
        <v>15.54</v>
      </c>
      <c r="H297" t="s">
        <v>19</v>
      </c>
      <c r="I297" t="s">
        <v>24</v>
      </c>
      <c r="J297" t="s">
        <v>26</v>
      </c>
      <c r="K297">
        <v>8</v>
      </c>
      <c r="L297" t="s">
        <v>30</v>
      </c>
    </row>
    <row r="298" spans="1:12" x14ac:dyDescent="0.25">
      <c r="A298">
        <v>297</v>
      </c>
      <c r="B298">
        <v>70</v>
      </c>
      <c r="C298" t="s">
        <v>13</v>
      </c>
      <c r="D298" t="s">
        <v>15</v>
      </c>
      <c r="E298">
        <v>7</v>
      </c>
      <c r="F298">
        <v>1.51</v>
      </c>
      <c r="G298">
        <v>4.92</v>
      </c>
      <c r="H298" t="s">
        <v>19</v>
      </c>
      <c r="I298" t="s">
        <v>23</v>
      </c>
      <c r="J298" t="s">
        <v>25</v>
      </c>
      <c r="K298">
        <v>31</v>
      </c>
      <c r="L298" t="s">
        <v>29</v>
      </c>
    </row>
    <row r="299" spans="1:12" x14ac:dyDescent="0.25">
      <c r="A299">
        <v>298</v>
      </c>
      <c r="B299">
        <v>61</v>
      </c>
      <c r="C299" t="s">
        <v>12</v>
      </c>
      <c r="D299" t="s">
        <v>15</v>
      </c>
      <c r="E299">
        <v>0.79</v>
      </c>
      <c r="F299">
        <v>4.3</v>
      </c>
      <c r="G299">
        <v>7.78</v>
      </c>
      <c r="H299" t="s">
        <v>18</v>
      </c>
      <c r="I299" t="s">
        <v>23</v>
      </c>
      <c r="J299" t="s">
        <v>28</v>
      </c>
      <c r="K299">
        <v>29</v>
      </c>
      <c r="L299" t="s">
        <v>29</v>
      </c>
    </row>
    <row r="300" spans="1:12" x14ac:dyDescent="0.25">
      <c r="A300">
        <v>299</v>
      </c>
      <c r="B300">
        <v>43</v>
      </c>
      <c r="C300" t="s">
        <v>13</v>
      </c>
      <c r="D300" t="s">
        <v>16</v>
      </c>
      <c r="E300">
        <v>24.16</v>
      </c>
      <c r="F300">
        <v>3.51</v>
      </c>
      <c r="G300">
        <v>11.91</v>
      </c>
      <c r="H300" t="s">
        <v>20</v>
      </c>
      <c r="I300" t="s">
        <v>22</v>
      </c>
      <c r="J300" t="s">
        <v>26</v>
      </c>
      <c r="K300">
        <v>4</v>
      </c>
      <c r="L300" t="s">
        <v>29</v>
      </c>
    </row>
    <row r="301" spans="1:12" x14ac:dyDescent="0.25">
      <c r="A301">
        <v>300</v>
      </c>
      <c r="B301">
        <v>49</v>
      </c>
      <c r="C301" t="s">
        <v>12</v>
      </c>
      <c r="D301" t="s">
        <v>14</v>
      </c>
      <c r="E301">
        <v>14.85</v>
      </c>
      <c r="F301">
        <v>10.47</v>
      </c>
      <c r="G301">
        <v>5.33</v>
      </c>
      <c r="H301" t="s">
        <v>18</v>
      </c>
      <c r="I301" t="s">
        <v>23</v>
      </c>
      <c r="J301" t="s">
        <v>26</v>
      </c>
      <c r="K301">
        <v>24</v>
      </c>
      <c r="L301" t="s">
        <v>29</v>
      </c>
    </row>
    <row r="302" spans="1:12" x14ac:dyDescent="0.25">
      <c r="A302">
        <v>301</v>
      </c>
      <c r="B302">
        <v>23</v>
      </c>
      <c r="C302" t="s">
        <v>12</v>
      </c>
      <c r="D302" t="s">
        <v>16</v>
      </c>
      <c r="E302">
        <v>19.86</v>
      </c>
      <c r="F302">
        <v>7.12</v>
      </c>
      <c r="G302">
        <v>9.2100000000000009</v>
      </c>
      <c r="H302" t="s">
        <v>21</v>
      </c>
      <c r="I302" t="s">
        <v>23</v>
      </c>
      <c r="J302" t="s">
        <v>26</v>
      </c>
      <c r="K302">
        <v>11</v>
      </c>
      <c r="L302" t="s">
        <v>29</v>
      </c>
    </row>
    <row r="303" spans="1:12" x14ac:dyDescent="0.25">
      <c r="A303">
        <v>302</v>
      </c>
      <c r="B303">
        <v>49</v>
      </c>
      <c r="C303" t="s">
        <v>12</v>
      </c>
      <c r="D303" t="s">
        <v>15</v>
      </c>
      <c r="E303">
        <v>28.01</v>
      </c>
      <c r="F303">
        <v>26.73</v>
      </c>
      <c r="G303">
        <v>11.07</v>
      </c>
      <c r="H303" t="s">
        <v>18</v>
      </c>
      <c r="I303" t="s">
        <v>22</v>
      </c>
      <c r="J303" t="s">
        <v>25</v>
      </c>
      <c r="K303">
        <v>13</v>
      </c>
      <c r="L303" t="s">
        <v>29</v>
      </c>
    </row>
    <row r="304" spans="1:12" x14ac:dyDescent="0.25">
      <c r="A304">
        <v>303</v>
      </c>
      <c r="B304">
        <v>72</v>
      </c>
      <c r="C304" t="s">
        <v>12</v>
      </c>
      <c r="D304" t="s">
        <v>16</v>
      </c>
      <c r="E304">
        <v>30.8</v>
      </c>
      <c r="F304">
        <v>7.68</v>
      </c>
      <c r="G304">
        <v>29.19</v>
      </c>
      <c r="H304" t="s">
        <v>20</v>
      </c>
      <c r="I304" t="s">
        <v>22</v>
      </c>
      <c r="J304" t="s">
        <v>26</v>
      </c>
      <c r="K304">
        <v>18</v>
      </c>
      <c r="L304" t="s">
        <v>30</v>
      </c>
    </row>
    <row r="305" spans="1:12" x14ac:dyDescent="0.25">
      <c r="A305">
        <v>304</v>
      </c>
      <c r="B305">
        <v>21</v>
      </c>
      <c r="C305" t="s">
        <v>13</v>
      </c>
      <c r="D305" t="s">
        <v>16</v>
      </c>
      <c r="E305">
        <v>12.89</v>
      </c>
      <c r="F305">
        <v>34.61</v>
      </c>
      <c r="G305">
        <v>7.87</v>
      </c>
      <c r="H305" t="s">
        <v>19</v>
      </c>
      <c r="I305" t="s">
        <v>22</v>
      </c>
      <c r="J305" t="s">
        <v>26</v>
      </c>
      <c r="K305">
        <v>15</v>
      </c>
      <c r="L305" t="s">
        <v>30</v>
      </c>
    </row>
    <row r="306" spans="1:12" x14ac:dyDescent="0.25">
      <c r="A306">
        <v>305</v>
      </c>
      <c r="B306">
        <v>72</v>
      </c>
      <c r="C306" t="s">
        <v>12</v>
      </c>
      <c r="D306" t="s">
        <v>16</v>
      </c>
      <c r="E306">
        <v>16.13</v>
      </c>
      <c r="F306">
        <v>9.36</v>
      </c>
      <c r="G306">
        <v>1.8</v>
      </c>
      <c r="H306" t="s">
        <v>21</v>
      </c>
      <c r="I306" t="s">
        <v>23</v>
      </c>
      <c r="J306" t="s">
        <v>26</v>
      </c>
      <c r="K306">
        <v>20</v>
      </c>
      <c r="L306" t="s">
        <v>29</v>
      </c>
    </row>
    <row r="307" spans="1:12" x14ac:dyDescent="0.25">
      <c r="A307">
        <v>306</v>
      </c>
      <c r="B307">
        <v>28</v>
      </c>
      <c r="C307" t="s">
        <v>12</v>
      </c>
      <c r="D307" t="s">
        <v>16</v>
      </c>
      <c r="E307">
        <v>22.39</v>
      </c>
      <c r="F307">
        <v>39.590000000000003</v>
      </c>
      <c r="G307">
        <v>2.37</v>
      </c>
      <c r="H307" t="s">
        <v>21</v>
      </c>
      <c r="I307" t="s">
        <v>23</v>
      </c>
      <c r="J307" t="s">
        <v>25</v>
      </c>
      <c r="K307">
        <v>27</v>
      </c>
      <c r="L307" t="s">
        <v>29</v>
      </c>
    </row>
    <row r="308" spans="1:12" x14ac:dyDescent="0.25">
      <c r="A308">
        <v>307</v>
      </c>
      <c r="B308">
        <v>73</v>
      </c>
      <c r="C308" t="s">
        <v>13</v>
      </c>
      <c r="D308" t="s">
        <v>14</v>
      </c>
      <c r="E308">
        <v>23.34</v>
      </c>
      <c r="F308">
        <v>8.51</v>
      </c>
      <c r="G308">
        <v>5.31</v>
      </c>
      <c r="H308" t="s">
        <v>21</v>
      </c>
      <c r="I308" t="s">
        <v>22</v>
      </c>
      <c r="J308" t="s">
        <v>27</v>
      </c>
      <c r="K308">
        <v>35</v>
      </c>
      <c r="L308" t="s">
        <v>29</v>
      </c>
    </row>
    <row r="309" spans="1:12" x14ac:dyDescent="0.25">
      <c r="A309">
        <v>308</v>
      </c>
      <c r="B309">
        <v>76</v>
      </c>
      <c r="C309" t="s">
        <v>13</v>
      </c>
      <c r="D309" t="s">
        <v>16</v>
      </c>
      <c r="E309">
        <v>19.73</v>
      </c>
      <c r="F309">
        <v>8.65</v>
      </c>
      <c r="G309">
        <v>7.09</v>
      </c>
      <c r="H309" t="s">
        <v>21</v>
      </c>
      <c r="I309" t="s">
        <v>23</v>
      </c>
      <c r="J309" t="s">
        <v>26</v>
      </c>
      <c r="K309">
        <v>12</v>
      </c>
      <c r="L309" t="s">
        <v>29</v>
      </c>
    </row>
    <row r="310" spans="1:12" x14ac:dyDescent="0.25">
      <c r="A310">
        <v>309</v>
      </c>
      <c r="B310">
        <v>34</v>
      </c>
      <c r="C310" t="s">
        <v>13</v>
      </c>
      <c r="D310" t="s">
        <v>15</v>
      </c>
      <c r="E310">
        <v>40.880000000000003</v>
      </c>
      <c r="F310">
        <v>19.350000000000001</v>
      </c>
      <c r="G310">
        <v>19.489999999999998</v>
      </c>
      <c r="H310" t="s">
        <v>20</v>
      </c>
      <c r="I310" t="s">
        <v>23</v>
      </c>
      <c r="J310" t="s">
        <v>26</v>
      </c>
      <c r="K310">
        <v>32</v>
      </c>
      <c r="L310" t="s">
        <v>29</v>
      </c>
    </row>
    <row r="311" spans="1:12" x14ac:dyDescent="0.25">
      <c r="A311">
        <v>310</v>
      </c>
      <c r="B311">
        <v>55</v>
      </c>
      <c r="C311" t="s">
        <v>12</v>
      </c>
      <c r="D311" t="s">
        <v>17</v>
      </c>
      <c r="E311">
        <v>23.17</v>
      </c>
      <c r="F311">
        <v>17.440000000000001</v>
      </c>
      <c r="G311">
        <v>34.200000000000003</v>
      </c>
      <c r="H311" t="s">
        <v>20</v>
      </c>
      <c r="I311" t="s">
        <v>23</v>
      </c>
      <c r="J311" t="s">
        <v>25</v>
      </c>
      <c r="K311">
        <v>3</v>
      </c>
      <c r="L311" t="s">
        <v>29</v>
      </c>
    </row>
    <row r="312" spans="1:12" x14ac:dyDescent="0.25">
      <c r="A312">
        <v>311</v>
      </c>
      <c r="B312">
        <v>41</v>
      </c>
      <c r="C312" t="s">
        <v>13</v>
      </c>
      <c r="D312" t="s">
        <v>15</v>
      </c>
      <c r="E312">
        <v>27.75</v>
      </c>
      <c r="F312">
        <v>2.96</v>
      </c>
      <c r="G312">
        <v>8.19</v>
      </c>
      <c r="H312" t="s">
        <v>20</v>
      </c>
      <c r="I312" t="s">
        <v>23</v>
      </c>
      <c r="J312" t="s">
        <v>25</v>
      </c>
      <c r="K312">
        <v>35</v>
      </c>
      <c r="L312" t="s">
        <v>29</v>
      </c>
    </row>
    <row r="313" spans="1:12" x14ac:dyDescent="0.25">
      <c r="A313">
        <v>312</v>
      </c>
      <c r="B313">
        <v>22</v>
      </c>
      <c r="C313" t="s">
        <v>13</v>
      </c>
      <c r="D313" t="s">
        <v>17</v>
      </c>
      <c r="E313">
        <v>20.83</v>
      </c>
      <c r="F313">
        <v>10.66</v>
      </c>
      <c r="G313">
        <v>13.37</v>
      </c>
      <c r="H313" t="s">
        <v>20</v>
      </c>
      <c r="I313" t="s">
        <v>23</v>
      </c>
      <c r="J313" t="s">
        <v>26</v>
      </c>
      <c r="K313">
        <v>17</v>
      </c>
      <c r="L313" t="s">
        <v>29</v>
      </c>
    </row>
    <row r="314" spans="1:12" x14ac:dyDescent="0.25">
      <c r="A314">
        <v>313</v>
      </c>
      <c r="B314">
        <v>69</v>
      </c>
      <c r="C314" t="s">
        <v>12</v>
      </c>
      <c r="D314" t="s">
        <v>17</v>
      </c>
      <c r="E314">
        <v>8.08</v>
      </c>
      <c r="F314">
        <v>7.06</v>
      </c>
      <c r="G314">
        <v>22.75</v>
      </c>
      <c r="H314" t="s">
        <v>19</v>
      </c>
      <c r="I314" t="s">
        <v>23</v>
      </c>
      <c r="J314" t="s">
        <v>26</v>
      </c>
      <c r="K314">
        <v>31</v>
      </c>
      <c r="L314" t="s">
        <v>29</v>
      </c>
    </row>
    <row r="315" spans="1:12" x14ac:dyDescent="0.25">
      <c r="A315">
        <v>314</v>
      </c>
      <c r="B315">
        <v>51</v>
      </c>
      <c r="C315" t="s">
        <v>13</v>
      </c>
      <c r="D315" t="s">
        <v>15</v>
      </c>
      <c r="E315">
        <v>10.9</v>
      </c>
      <c r="F315">
        <v>6.67</v>
      </c>
      <c r="G315">
        <v>15.15</v>
      </c>
      <c r="H315" t="s">
        <v>18</v>
      </c>
      <c r="I315" t="s">
        <v>23</v>
      </c>
      <c r="J315" t="s">
        <v>26</v>
      </c>
      <c r="K315">
        <v>4</v>
      </c>
      <c r="L315" t="s">
        <v>29</v>
      </c>
    </row>
    <row r="316" spans="1:12" x14ac:dyDescent="0.25">
      <c r="A316">
        <v>315</v>
      </c>
      <c r="B316">
        <v>23</v>
      </c>
      <c r="C316" t="s">
        <v>13</v>
      </c>
      <c r="D316" t="s">
        <v>15</v>
      </c>
      <c r="E316">
        <v>6.76</v>
      </c>
      <c r="F316">
        <v>10.62</v>
      </c>
      <c r="G316">
        <v>7.22</v>
      </c>
      <c r="H316" t="s">
        <v>20</v>
      </c>
      <c r="I316" t="s">
        <v>22</v>
      </c>
      <c r="J316" t="s">
        <v>25</v>
      </c>
      <c r="K316">
        <v>13</v>
      </c>
      <c r="L316" t="s">
        <v>29</v>
      </c>
    </row>
    <row r="317" spans="1:12" x14ac:dyDescent="0.25">
      <c r="A317">
        <v>316</v>
      </c>
      <c r="B317">
        <v>39</v>
      </c>
      <c r="C317" t="s">
        <v>13</v>
      </c>
      <c r="D317" t="s">
        <v>15</v>
      </c>
      <c r="E317">
        <v>32.94</v>
      </c>
      <c r="F317">
        <v>7.93</v>
      </c>
      <c r="G317">
        <v>8.58</v>
      </c>
      <c r="H317" t="s">
        <v>18</v>
      </c>
      <c r="I317" t="s">
        <v>23</v>
      </c>
      <c r="J317" t="s">
        <v>25</v>
      </c>
      <c r="K317">
        <v>21</v>
      </c>
      <c r="L317" t="s">
        <v>29</v>
      </c>
    </row>
    <row r="318" spans="1:12" x14ac:dyDescent="0.25">
      <c r="A318">
        <v>317</v>
      </c>
      <c r="B318">
        <v>28</v>
      </c>
      <c r="C318" t="s">
        <v>13</v>
      </c>
      <c r="D318" t="s">
        <v>14</v>
      </c>
      <c r="E318">
        <v>4.8</v>
      </c>
      <c r="F318">
        <v>11.49</v>
      </c>
      <c r="G318">
        <v>9.26</v>
      </c>
      <c r="H318" t="s">
        <v>21</v>
      </c>
      <c r="I318" t="s">
        <v>23</v>
      </c>
      <c r="J318" t="s">
        <v>26</v>
      </c>
      <c r="K318">
        <v>4</v>
      </c>
      <c r="L318" t="s">
        <v>29</v>
      </c>
    </row>
    <row r="319" spans="1:12" x14ac:dyDescent="0.25">
      <c r="A319">
        <v>318</v>
      </c>
      <c r="B319">
        <v>65</v>
      </c>
      <c r="C319" t="s">
        <v>12</v>
      </c>
      <c r="D319" t="s">
        <v>14</v>
      </c>
      <c r="E319">
        <v>15.68</v>
      </c>
      <c r="F319">
        <v>4.12</v>
      </c>
      <c r="G319">
        <v>23.74</v>
      </c>
      <c r="H319" t="s">
        <v>19</v>
      </c>
      <c r="I319" t="s">
        <v>24</v>
      </c>
      <c r="J319" t="s">
        <v>26</v>
      </c>
      <c r="K319">
        <v>22</v>
      </c>
      <c r="L319" t="s">
        <v>29</v>
      </c>
    </row>
    <row r="320" spans="1:12" x14ac:dyDescent="0.25">
      <c r="A320">
        <v>319</v>
      </c>
      <c r="B320">
        <v>33</v>
      </c>
      <c r="C320" t="s">
        <v>13</v>
      </c>
      <c r="D320" t="s">
        <v>15</v>
      </c>
      <c r="E320">
        <v>13.4</v>
      </c>
      <c r="F320">
        <v>2.29</v>
      </c>
      <c r="G320">
        <v>18.37</v>
      </c>
      <c r="H320" t="s">
        <v>19</v>
      </c>
      <c r="I320" t="s">
        <v>22</v>
      </c>
      <c r="J320" t="s">
        <v>26</v>
      </c>
      <c r="K320">
        <v>33</v>
      </c>
      <c r="L320" t="s">
        <v>29</v>
      </c>
    </row>
    <row r="321" spans="1:12" x14ac:dyDescent="0.25">
      <c r="A321">
        <v>320</v>
      </c>
      <c r="B321">
        <v>50</v>
      </c>
      <c r="C321" t="s">
        <v>13</v>
      </c>
      <c r="D321" t="s">
        <v>14</v>
      </c>
      <c r="E321">
        <v>13.15</v>
      </c>
      <c r="F321">
        <v>19.87</v>
      </c>
      <c r="G321">
        <v>17.670000000000002</v>
      </c>
      <c r="H321" t="s">
        <v>18</v>
      </c>
      <c r="I321" t="s">
        <v>23</v>
      </c>
      <c r="J321" t="s">
        <v>28</v>
      </c>
      <c r="K321">
        <v>6</v>
      </c>
      <c r="L321" t="s">
        <v>30</v>
      </c>
    </row>
    <row r="322" spans="1:12" x14ac:dyDescent="0.25">
      <c r="A322">
        <v>321</v>
      </c>
      <c r="B322">
        <v>26</v>
      </c>
      <c r="C322" t="s">
        <v>12</v>
      </c>
      <c r="D322" t="s">
        <v>17</v>
      </c>
      <c r="E322">
        <v>13.98</v>
      </c>
      <c r="F322">
        <v>22</v>
      </c>
      <c r="G322">
        <v>12.7</v>
      </c>
      <c r="H322" t="s">
        <v>18</v>
      </c>
      <c r="I322" t="s">
        <v>24</v>
      </c>
      <c r="J322" t="s">
        <v>26</v>
      </c>
      <c r="K322">
        <v>31</v>
      </c>
      <c r="L322" t="s">
        <v>30</v>
      </c>
    </row>
    <row r="323" spans="1:12" x14ac:dyDescent="0.25">
      <c r="A323">
        <v>322</v>
      </c>
      <c r="B323">
        <v>77</v>
      </c>
      <c r="C323" t="s">
        <v>13</v>
      </c>
      <c r="D323" t="s">
        <v>15</v>
      </c>
      <c r="E323">
        <v>45.57</v>
      </c>
      <c r="F323">
        <v>19.02</v>
      </c>
      <c r="G323">
        <v>10.88</v>
      </c>
      <c r="H323" t="s">
        <v>18</v>
      </c>
      <c r="I323" t="s">
        <v>23</v>
      </c>
      <c r="J323" t="s">
        <v>27</v>
      </c>
      <c r="K323">
        <v>32</v>
      </c>
      <c r="L323" t="s">
        <v>29</v>
      </c>
    </row>
    <row r="324" spans="1:12" x14ac:dyDescent="0.25">
      <c r="A324">
        <v>323</v>
      </c>
      <c r="B324">
        <v>76</v>
      </c>
      <c r="C324" t="s">
        <v>12</v>
      </c>
      <c r="D324" t="s">
        <v>15</v>
      </c>
      <c r="E324">
        <v>3.16</v>
      </c>
      <c r="F324">
        <v>10.27</v>
      </c>
      <c r="G324">
        <v>8.25</v>
      </c>
      <c r="H324" t="s">
        <v>19</v>
      </c>
      <c r="I324" t="s">
        <v>23</v>
      </c>
      <c r="J324" t="s">
        <v>25</v>
      </c>
      <c r="K324">
        <v>15</v>
      </c>
      <c r="L324" t="s">
        <v>29</v>
      </c>
    </row>
    <row r="325" spans="1:12" x14ac:dyDescent="0.25">
      <c r="A325">
        <v>324</v>
      </c>
      <c r="B325">
        <v>23</v>
      </c>
      <c r="C325" t="s">
        <v>13</v>
      </c>
      <c r="D325" t="s">
        <v>17</v>
      </c>
      <c r="E325">
        <v>37.81</v>
      </c>
      <c r="F325">
        <v>7.45</v>
      </c>
      <c r="G325">
        <v>3.32</v>
      </c>
      <c r="H325" t="s">
        <v>20</v>
      </c>
      <c r="I325" t="s">
        <v>24</v>
      </c>
      <c r="J325" t="s">
        <v>26</v>
      </c>
      <c r="K325">
        <v>17</v>
      </c>
      <c r="L325" t="s">
        <v>29</v>
      </c>
    </row>
    <row r="326" spans="1:12" x14ac:dyDescent="0.25">
      <c r="A326">
        <v>325</v>
      </c>
      <c r="B326">
        <v>33</v>
      </c>
      <c r="C326" t="s">
        <v>12</v>
      </c>
      <c r="D326" t="s">
        <v>16</v>
      </c>
      <c r="E326">
        <v>14.82</v>
      </c>
      <c r="F326">
        <v>5.93</v>
      </c>
      <c r="G326">
        <v>14.91</v>
      </c>
      <c r="H326" t="s">
        <v>19</v>
      </c>
      <c r="I326" t="s">
        <v>24</v>
      </c>
      <c r="J326" t="s">
        <v>26</v>
      </c>
      <c r="K326">
        <v>22</v>
      </c>
      <c r="L326" t="s">
        <v>29</v>
      </c>
    </row>
    <row r="327" spans="1:12" x14ac:dyDescent="0.25">
      <c r="A327">
        <v>326</v>
      </c>
      <c r="B327">
        <v>46</v>
      </c>
      <c r="C327" t="s">
        <v>12</v>
      </c>
      <c r="D327" t="s">
        <v>16</v>
      </c>
      <c r="E327">
        <v>29.55</v>
      </c>
      <c r="F327">
        <v>5.0199999999999996</v>
      </c>
      <c r="G327">
        <v>6.08</v>
      </c>
      <c r="H327" t="s">
        <v>20</v>
      </c>
      <c r="I327" t="s">
        <v>22</v>
      </c>
      <c r="J327" t="s">
        <v>27</v>
      </c>
      <c r="K327">
        <v>30</v>
      </c>
      <c r="L327" t="s">
        <v>29</v>
      </c>
    </row>
    <row r="328" spans="1:12" x14ac:dyDescent="0.25">
      <c r="A328">
        <v>327</v>
      </c>
      <c r="B328">
        <v>20</v>
      </c>
      <c r="C328" t="s">
        <v>12</v>
      </c>
      <c r="D328" t="s">
        <v>15</v>
      </c>
      <c r="E328">
        <v>18.29</v>
      </c>
      <c r="F328">
        <v>9.3699999999999992</v>
      </c>
      <c r="G328">
        <v>16.45</v>
      </c>
      <c r="H328" t="s">
        <v>21</v>
      </c>
      <c r="I328" t="s">
        <v>22</v>
      </c>
      <c r="J328" t="s">
        <v>26</v>
      </c>
      <c r="K328">
        <v>22</v>
      </c>
      <c r="L328" t="s">
        <v>29</v>
      </c>
    </row>
    <row r="329" spans="1:12" x14ac:dyDescent="0.25">
      <c r="A329">
        <v>328</v>
      </c>
      <c r="B329">
        <v>37</v>
      </c>
      <c r="C329" t="s">
        <v>12</v>
      </c>
      <c r="D329" t="s">
        <v>15</v>
      </c>
      <c r="E329">
        <v>7.35</v>
      </c>
      <c r="F329">
        <v>21.64</v>
      </c>
      <c r="G329">
        <v>1.41</v>
      </c>
      <c r="H329" t="s">
        <v>20</v>
      </c>
      <c r="I329" t="s">
        <v>22</v>
      </c>
      <c r="J329" t="s">
        <v>27</v>
      </c>
      <c r="K329">
        <v>27</v>
      </c>
      <c r="L329" t="s">
        <v>29</v>
      </c>
    </row>
    <row r="330" spans="1:12" x14ac:dyDescent="0.25">
      <c r="A330">
        <v>329</v>
      </c>
      <c r="B330">
        <v>77</v>
      </c>
      <c r="C330" t="s">
        <v>13</v>
      </c>
      <c r="D330" t="s">
        <v>17</v>
      </c>
      <c r="E330">
        <v>40.020000000000003</v>
      </c>
      <c r="F330">
        <v>5.51</v>
      </c>
      <c r="G330">
        <v>3.92</v>
      </c>
      <c r="H330" t="s">
        <v>18</v>
      </c>
      <c r="I330" t="s">
        <v>23</v>
      </c>
      <c r="J330" t="s">
        <v>26</v>
      </c>
      <c r="K330">
        <v>29</v>
      </c>
      <c r="L330" t="s">
        <v>29</v>
      </c>
    </row>
    <row r="331" spans="1:12" x14ac:dyDescent="0.25">
      <c r="A331">
        <v>330</v>
      </c>
      <c r="B331">
        <v>76</v>
      </c>
      <c r="C331" t="s">
        <v>12</v>
      </c>
      <c r="D331" t="s">
        <v>15</v>
      </c>
      <c r="E331">
        <v>36.32</v>
      </c>
      <c r="F331">
        <v>21.66</v>
      </c>
      <c r="G331">
        <v>17.97</v>
      </c>
      <c r="H331" t="s">
        <v>20</v>
      </c>
      <c r="I331" t="s">
        <v>23</v>
      </c>
      <c r="J331" t="s">
        <v>25</v>
      </c>
      <c r="K331">
        <v>32</v>
      </c>
      <c r="L331" t="s">
        <v>30</v>
      </c>
    </row>
    <row r="332" spans="1:12" x14ac:dyDescent="0.25">
      <c r="A332">
        <v>331</v>
      </c>
      <c r="B332">
        <v>53</v>
      </c>
      <c r="C332" t="s">
        <v>13</v>
      </c>
      <c r="D332" t="s">
        <v>15</v>
      </c>
      <c r="E332">
        <v>7.8</v>
      </c>
      <c r="F332">
        <v>2.42</v>
      </c>
      <c r="G332">
        <v>23.81</v>
      </c>
      <c r="H332" t="s">
        <v>20</v>
      </c>
      <c r="I332" t="s">
        <v>22</v>
      </c>
      <c r="J332" t="s">
        <v>27</v>
      </c>
      <c r="K332">
        <v>22</v>
      </c>
      <c r="L332" t="s">
        <v>29</v>
      </c>
    </row>
    <row r="333" spans="1:12" x14ac:dyDescent="0.25">
      <c r="A333">
        <v>332</v>
      </c>
      <c r="B333">
        <v>36</v>
      </c>
      <c r="C333" t="s">
        <v>12</v>
      </c>
      <c r="D333" t="s">
        <v>15</v>
      </c>
      <c r="E333">
        <v>25.33</v>
      </c>
      <c r="F333">
        <v>11.93</v>
      </c>
      <c r="G333">
        <v>16.36</v>
      </c>
      <c r="H333" t="s">
        <v>19</v>
      </c>
      <c r="I333" t="s">
        <v>24</v>
      </c>
      <c r="J333" t="s">
        <v>27</v>
      </c>
      <c r="K333">
        <v>3</v>
      </c>
      <c r="L333" t="s">
        <v>29</v>
      </c>
    </row>
    <row r="334" spans="1:12" x14ac:dyDescent="0.25">
      <c r="A334">
        <v>333</v>
      </c>
      <c r="B334">
        <v>43</v>
      </c>
      <c r="C334" t="s">
        <v>12</v>
      </c>
      <c r="D334" t="s">
        <v>14</v>
      </c>
      <c r="E334">
        <v>11.27</v>
      </c>
      <c r="F334">
        <v>13.81</v>
      </c>
      <c r="G334">
        <v>4.4400000000000004</v>
      </c>
      <c r="H334" t="s">
        <v>18</v>
      </c>
      <c r="I334" t="s">
        <v>23</v>
      </c>
      <c r="J334" t="s">
        <v>26</v>
      </c>
      <c r="K334">
        <v>26</v>
      </c>
      <c r="L334" t="s">
        <v>29</v>
      </c>
    </row>
    <row r="335" spans="1:12" x14ac:dyDescent="0.25">
      <c r="A335">
        <v>334</v>
      </c>
      <c r="B335">
        <v>20</v>
      </c>
      <c r="C335" t="s">
        <v>12</v>
      </c>
      <c r="D335" t="s">
        <v>14</v>
      </c>
      <c r="E335">
        <v>4.99</v>
      </c>
      <c r="F335">
        <v>6.48</v>
      </c>
      <c r="G335">
        <v>18.920000000000002</v>
      </c>
      <c r="H335" t="s">
        <v>21</v>
      </c>
      <c r="I335" t="s">
        <v>22</v>
      </c>
      <c r="J335" t="s">
        <v>25</v>
      </c>
      <c r="K335">
        <v>27</v>
      </c>
      <c r="L335" t="s">
        <v>29</v>
      </c>
    </row>
    <row r="336" spans="1:12" x14ac:dyDescent="0.25">
      <c r="A336">
        <v>335</v>
      </c>
      <c r="B336">
        <v>36</v>
      </c>
      <c r="C336" t="s">
        <v>13</v>
      </c>
      <c r="D336" t="s">
        <v>17</v>
      </c>
      <c r="E336">
        <v>9.68</v>
      </c>
      <c r="F336">
        <v>3.87</v>
      </c>
      <c r="G336">
        <v>4.71</v>
      </c>
      <c r="H336" t="s">
        <v>20</v>
      </c>
      <c r="I336" t="s">
        <v>23</v>
      </c>
      <c r="J336" t="s">
        <v>26</v>
      </c>
      <c r="K336">
        <v>14</v>
      </c>
      <c r="L336" t="s">
        <v>29</v>
      </c>
    </row>
    <row r="337" spans="1:12" x14ac:dyDescent="0.25">
      <c r="A337">
        <v>336</v>
      </c>
      <c r="B337">
        <v>37</v>
      </c>
      <c r="C337" t="s">
        <v>12</v>
      </c>
      <c r="D337" t="s">
        <v>14</v>
      </c>
      <c r="E337">
        <v>38.61</v>
      </c>
      <c r="F337">
        <v>18.09</v>
      </c>
      <c r="G337">
        <v>19.059999999999999</v>
      </c>
      <c r="H337" t="s">
        <v>21</v>
      </c>
      <c r="I337" t="s">
        <v>22</v>
      </c>
      <c r="J337" t="s">
        <v>26</v>
      </c>
      <c r="K337">
        <v>13</v>
      </c>
      <c r="L337" t="s">
        <v>29</v>
      </c>
    </row>
    <row r="338" spans="1:12" x14ac:dyDescent="0.25">
      <c r="A338">
        <v>337</v>
      </c>
      <c r="B338">
        <v>49</v>
      </c>
      <c r="C338" t="s">
        <v>13</v>
      </c>
      <c r="D338" t="s">
        <v>15</v>
      </c>
      <c r="E338">
        <v>30</v>
      </c>
      <c r="F338">
        <v>10.33</v>
      </c>
      <c r="G338">
        <v>3.64</v>
      </c>
      <c r="H338" t="s">
        <v>18</v>
      </c>
      <c r="I338" t="s">
        <v>22</v>
      </c>
      <c r="J338" t="s">
        <v>26</v>
      </c>
      <c r="K338">
        <v>32</v>
      </c>
      <c r="L338" t="s">
        <v>29</v>
      </c>
    </row>
    <row r="339" spans="1:12" x14ac:dyDescent="0.25">
      <c r="A339">
        <v>338</v>
      </c>
      <c r="B339">
        <v>24</v>
      </c>
      <c r="C339" t="s">
        <v>13</v>
      </c>
      <c r="D339" t="s">
        <v>17</v>
      </c>
      <c r="E339">
        <v>14.09</v>
      </c>
      <c r="F339">
        <v>47.48</v>
      </c>
      <c r="G339">
        <v>6.69</v>
      </c>
      <c r="H339" t="s">
        <v>20</v>
      </c>
      <c r="I339" t="s">
        <v>22</v>
      </c>
      <c r="J339" t="s">
        <v>26</v>
      </c>
      <c r="K339">
        <v>15</v>
      </c>
      <c r="L339" t="s">
        <v>29</v>
      </c>
    </row>
    <row r="340" spans="1:12" x14ac:dyDescent="0.25">
      <c r="A340">
        <v>339</v>
      </c>
      <c r="B340">
        <v>69</v>
      </c>
      <c r="C340" t="s">
        <v>13</v>
      </c>
      <c r="D340" t="s">
        <v>15</v>
      </c>
      <c r="E340">
        <v>38.72</v>
      </c>
      <c r="F340">
        <v>21.86</v>
      </c>
      <c r="G340">
        <v>0.56000000000000005</v>
      </c>
      <c r="H340" t="s">
        <v>19</v>
      </c>
      <c r="I340" t="s">
        <v>23</v>
      </c>
      <c r="J340" t="s">
        <v>26</v>
      </c>
      <c r="K340">
        <v>27</v>
      </c>
      <c r="L340" t="s">
        <v>29</v>
      </c>
    </row>
    <row r="341" spans="1:12" x14ac:dyDescent="0.25">
      <c r="A341">
        <v>340</v>
      </c>
      <c r="B341">
        <v>58</v>
      </c>
      <c r="C341" t="s">
        <v>13</v>
      </c>
      <c r="D341" t="s">
        <v>16</v>
      </c>
      <c r="E341">
        <v>34.630000000000003</v>
      </c>
      <c r="F341">
        <v>21.98</v>
      </c>
      <c r="G341">
        <v>3.88</v>
      </c>
      <c r="H341" t="s">
        <v>21</v>
      </c>
      <c r="I341" t="s">
        <v>23</v>
      </c>
      <c r="J341" t="s">
        <v>26</v>
      </c>
      <c r="K341">
        <v>27</v>
      </c>
      <c r="L341" t="s">
        <v>29</v>
      </c>
    </row>
    <row r="342" spans="1:12" x14ac:dyDescent="0.25">
      <c r="A342">
        <v>341</v>
      </c>
      <c r="B342">
        <v>50</v>
      </c>
      <c r="C342" t="s">
        <v>13</v>
      </c>
      <c r="D342" t="s">
        <v>14</v>
      </c>
      <c r="E342">
        <v>9.6999999999999993</v>
      </c>
      <c r="F342">
        <v>0.55000000000000004</v>
      </c>
      <c r="G342">
        <v>14.81</v>
      </c>
      <c r="H342" t="s">
        <v>19</v>
      </c>
      <c r="I342" t="s">
        <v>22</v>
      </c>
      <c r="J342" t="s">
        <v>28</v>
      </c>
      <c r="K342">
        <v>19</v>
      </c>
      <c r="L342" t="s">
        <v>29</v>
      </c>
    </row>
    <row r="343" spans="1:12" x14ac:dyDescent="0.25">
      <c r="A343">
        <v>342</v>
      </c>
      <c r="B343">
        <v>57</v>
      </c>
      <c r="C343" t="s">
        <v>13</v>
      </c>
      <c r="D343" t="s">
        <v>16</v>
      </c>
      <c r="E343">
        <v>44.48</v>
      </c>
      <c r="F343">
        <v>5.61</v>
      </c>
      <c r="G343">
        <v>30.88</v>
      </c>
      <c r="H343" t="s">
        <v>21</v>
      </c>
      <c r="I343" t="s">
        <v>23</v>
      </c>
      <c r="J343" t="s">
        <v>25</v>
      </c>
      <c r="K343">
        <v>14</v>
      </c>
      <c r="L343" t="s">
        <v>29</v>
      </c>
    </row>
    <row r="344" spans="1:12" x14ac:dyDescent="0.25">
      <c r="A344">
        <v>343</v>
      </c>
      <c r="B344">
        <v>56</v>
      </c>
      <c r="C344" t="s">
        <v>13</v>
      </c>
      <c r="D344" t="s">
        <v>17</v>
      </c>
      <c r="E344">
        <v>13.3</v>
      </c>
      <c r="F344">
        <v>3.45</v>
      </c>
      <c r="G344">
        <v>19.88</v>
      </c>
      <c r="H344" t="s">
        <v>18</v>
      </c>
      <c r="I344" t="s">
        <v>23</v>
      </c>
      <c r="J344" t="s">
        <v>26</v>
      </c>
      <c r="K344">
        <v>13</v>
      </c>
      <c r="L344" t="s">
        <v>29</v>
      </c>
    </row>
    <row r="345" spans="1:12" x14ac:dyDescent="0.25">
      <c r="A345">
        <v>344</v>
      </c>
      <c r="B345">
        <v>35</v>
      </c>
      <c r="C345" t="s">
        <v>13</v>
      </c>
      <c r="D345" t="s">
        <v>16</v>
      </c>
      <c r="E345">
        <v>14.63</v>
      </c>
      <c r="F345">
        <v>1.17</v>
      </c>
      <c r="G345">
        <v>15.95</v>
      </c>
      <c r="H345" t="s">
        <v>20</v>
      </c>
      <c r="I345" t="s">
        <v>22</v>
      </c>
      <c r="J345" t="s">
        <v>28</v>
      </c>
      <c r="K345">
        <v>12</v>
      </c>
      <c r="L345" t="s">
        <v>29</v>
      </c>
    </row>
    <row r="346" spans="1:12" x14ac:dyDescent="0.25">
      <c r="A346">
        <v>345</v>
      </c>
      <c r="B346">
        <v>57</v>
      </c>
      <c r="C346" t="s">
        <v>13</v>
      </c>
      <c r="D346" t="s">
        <v>15</v>
      </c>
      <c r="E346">
        <v>3.24</v>
      </c>
      <c r="F346">
        <v>9.7100000000000009</v>
      </c>
      <c r="G346">
        <v>2.39</v>
      </c>
      <c r="H346" t="s">
        <v>21</v>
      </c>
      <c r="I346" t="s">
        <v>22</v>
      </c>
      <c r="J346" t="s">
        <v>26</v>
      </c>
      <c r="K346">
        <v>19</v>
      </c>
      <c r="L346" t="s">
        <v>29</v>
      </c>
    </row>
    <row r="347" spans="1:12" x14ac:dyDescent="0.25">
      <c r="A347">
        <v>346</v>
      </c>
      <c r="B347">
        <v>18</v>
      </c>
      <c r="C347" t="s">
        <v>12</v>
      </c>
      <c r="D347" t="s">
        <v>14</v>
      </c>
      <c r="E347">
        <v>11.12</v>
      </c>
      <c r="F347">
        <v>17.78</v>
      </c>
      <c r="G347">
        <v>6.77</v>
      </c>
      <c r="H347" t="s">
        <v>19</v>
      </c>
      <c r="I347" t="s">
        <v>23</v>
      </c>
      <c r="J347" t="s">
        <v>26</v>
      </c>
      <c r="K347">
        <v>18</v>
      </c>
      <c r="L347" t="s">
        <v>29</v>
      </c>
    </row>
    <row r="348" spans="1:12" x14ac:dyDescent="0.25">
      <c r="A348">
        <v>347</v>
      </c>
      <c r="B348">
        <v>28</v>
      </c>
      <c r="C348" t="s">
        <v>12</v>
      </c>
      <c r="D348" t="s">
        <v>17</v>
      </c>
      <c r="E348">
        <v>15.77</v>
      </c>
      <c r="F348">
        <v>4.24</v>
      </c>
      <c r="G348">
        <v>26.52</v>
      </c>
      <c r="H348" t="s">
        <v>21</v>
      </c>
      <c r="I348" t="s">
        <v>22</v>
      </c>
      <c r="J348" t="s">
        <v>25</v>
      </c>
      <c r="K348">
        <v>22</v>
      </c>
      <c r="L348" t="s">
        <v>30</v>
      </c>
    </row>
    <row r="349" spans="1:12" x14ac:dyDescent="0.25">
      <c r="A349">
        <v>348</v>
      </c>
      <c r="B349">
        <v>45</v>
      </c>
      <c r="C349" t="s">
        <v>12</v>
      </c>
      <c r="D349" t="s">
        <v>17</v>
      </c>
      <c r="E349">
        <v>21.21</v>
      </c>
      <c r="F349">
        <v>1.26</v>
      </c>
      <c r="G349">
        <v>9.69</v>
      </c>
      <c r="H349" t="s">
        <v>21</v>
      </c>
      <c r="I349" t="s">
        <v>24</v>
      </c>
      <c r="J349" t="s">
        <v>26</v>
      </c>
      <c r="K349">
        <v>7</v>
      </c>
      <c r="L349" t="s">
        <v>29</v>
      </c>
    </row>
    <row r="350" spans="1:12" x14ac:dyDescent="0.25">
      <c r="A350">
        <v>349</v>
      </c>
      <c r="B350">
        <v>74</v>
      </c>
      <c r="C350" t="s">
        <v>12</v>
      </c>
      <c r="D350" t="s">
        <v>17</v>
      </c>
      <c r="E350">
        <v>7.37</v>
      </c>
      <c r="F350">
        <v>4.57</v>
      </c>
      <c r="G350">
        <v>3.21</v>
      </c>
      <c r="H350" t="s">
        <v>21</v>
      </c>
      <c r="I350" t="s">
        <v>23</v>
      </c>
      <c r="J350" t="s">
        <v>25</v>
      </c>
      <c r="K350">
        <v>34</v>
      </c>
      <c r="L350" t="s">
        <v>30</v>
      </c>
    </row>
    <row r="351" spans="1:12" x14ac:dyDescent="0.25">
      <c r="A351">
        <v>350</v>
      </c>
      <c r="B351">
        <v>42</v>
      </c>
      <c r="C351" t="s">
        <v>12</v>
      </c>
      <c r="D351" t="s">
        <v>16</v>
      </c>
      <c r="E351">
        <v>10.039999999999999</v>
      </c>
      <c r="F351">
        <v>8.81</v>
      </c>
      <c r="G351">
        <v>6.75</v>
      </c>
      <c r="H351" t="s">
        <v>21</v>
      </c>
      <c r="I351" t="s">
        <v>22</v>
      </c>
      <c r="J351" t="s">
        <v>26</v>
      </c>
      <c r="K351">
        <v>29</v>
      </c>
      <c r="L351" t="s">
        <v>29</v>
      </c>
    </row>
    <row r="352" spans="1:12" x14ac:dyDescent="0.25">
      <c r="A352">
        <v>351</v>
      </c>
      <c r="B352">
        <v>67</v>
      </c>
      <c r="C352" t="s">
        <v>13</v>
      </c>
      <c r="D352" t="s">
        <v>15</v>
      </c>
      <c r="E352">
        <v>45.07</v>
      </c>
      <c r="F352">
        <v>8.31</v>
      </c>
      <c r="G352">
        <v>1.1200000000000001</v>
      </c>
      <c r="H352" t="s">
        <v>21</v>
      </c>
      <c r="I352" t="s">
        <v>23</v>
      </c>
      <c r="J352" t="s">
        <v>26</v>
      </c>
      <c r="K352">
        <v>6</v>
      </c>
      <c r="L352" t="s">
        <v>29</v>
      </c>
    </row>
    <row r="353" spans="1:12" x14ac:dyDescent="0.25">
      <c r="A353">
        <v>352</v>
      </c>
      <c r="B353">
        <v>40</v>
      </c>
      <c r="C353" t="s">
        <v>13</v>
      </c>
      <c r="D353" t="s">
        <v>16</v>
      </c>
      <c r="E353">
        <v>33.24</v>
      </c>
      <c r="F353">
        <v>10.08</v>
      </c>
      <c r="G353">
        <v>17.11</v>
      </c>
      <c r="H353" t="s">
        <v>21</v>
      </c>
      <c r="I353" t="s">
        <v>23</v>
      </c>
      <c r="J353" t="s">
        <v>26</v>
      </c>
      <c r="K353">
        <v>9</v>
      </c>
      <c r="L353" t="s">
        <v>29</v>
      </c>
    </row>
    <row r="354" spans="1:12" x14ac:dyDescent="0.25">
      <c r="A354">
        <v>353</v>
      </c>
      <c r="B354">
        <v>48</v>
      </c>
      <c r="C354" t="s">
        <v>13</v>
      </c>
      <c r="D354" t="s">
        <v>15</v>
      </c>
      <c r="E354">
        <v>37.04</v>
      </c>
      <c r="F354">
        <v>13.61</v>
      </c>
      <c r="G354">
        <v>2.66</v>
      </c>
      <c r="H354" t="s">
        <v>19</v>
      </c>
      <c r="I354" t="s">
        <v>23</v>
      </c>
      <c r="J354" t="s">
        <v>27</v>
      </c>
      <c r="K354">
        <v>16</v>
      </c>
      <c r="L354" t="s">
        <v>29</v>
      </c>
    </row>
    <row r="355" spans="1:12" x14ac:dyDescent="0.25">
      <c r="A355">
        <v>354</v>
      </c>
      <c r="B355">
        <v>47</v>
      </c>
      <c r="C355" t="s">
        <v>13</v>
      </c>
      <c r="D355" t="s">
        <v>16</v>
      </c>
      <c r="E355">
        <v>16.68</v>
      </c>
      <c r="F355">
        <v>9.89</v>
      </c>
      <c r="G355">
        <v>9.36</v>
      </c>
      <c r="H355" t="s">
        <v>21</v>
      </c>
      <c r="I355" t="s">
        <v>23</v>
      </c>
      <c r="J355" t="s">
        <v>25</v>
      </c>
      <c r="K355">
        <v>26</v>
      </c>
      <c r="L355" t="s">
        <v>30</v>
      </c>
    </row>
    <row r="356" spans="1:12" x14ac:dyDescent="0.25">
      <c r="A356">
        <v>355</v>
      </c>
      <c r="B356">
        <v>59</v>
      </c>
      <c r="C356" t="s">
        <v>13</v>
      </c>
      <c r="D356" t="s">
        <v>14</v>
      </c>
      <c r="E356">
        <v>21.63</v>
      </c>
      <c r="F356">
        <v>18.47</v>
      </c>
      <c r="G356">
        <v>3.11</v>
      </c>
      <c r="H356" t="s">
        <v>21</v>
      </c>
      <c r="I356" t="s">
        <v>24</v>
      </c>
      <c r="J356" t="s">
        <v>25</v>
      </c>
      <c r="K356">
        <v>20</v>
      </c>
      <c r="L356" t="s">
        <v>29</v>
      </c>
    </row>
    <row r="357" spans="1:12" x14ac:dyDescent="0.25">
      <c r="A357">
        <v>356</v>
      </c>
      <c r="B357">
        <v>52</v>
      </c>
      <c r="C357" t="s">
        <v>13</v>
      </c>
      <c r="D357" t="s">
        <v>14</v>
      </c>
      <c r="E357">
        <v>25.69</v>
      </c>
      <c r="F357">
        <v>4.3099999999999996</v>
      </c>
      <c r="G357">
        <v>10.64</v>
      </c>
      <c r="H357" t="s">
        <v>21</v>
      </c>
      <c r="I357" t="s">
        <v>23</v>
      </c>
      <c r="J357" t="s">
        <v>25</v>
      </c>
      <c r="K357">
        <v>3</v>
      </c>
      <c r="L357" t="s">
        <v>29</v>
      </c>
    </row>
    <row r="358" spans="1:12" x14ac:dyDescent="0.25">
      <c r="A358">
        <v>357</v>
      </c>
      <c r="B358">
        <v>24</v>
      </c>
      <c r="C358" t="s">
        <v>13</v>
      </c>
      <c r="D358" t="s">
        <v>17</v>
      </c>
      <c r="E358">
        <v>44.67</v>
      </c>
      <c r="F358">
        <v>8.0299999999999994</v>
      </c>
      <c r="G358">
        <v>16.48</v>
      </c>
      <c r="H358" t="s">
        <v>20</v>
      </c>
      <c r="I358" t="s">
        <v>22</v>
      </c>
      <c r="J358" t="s">
        <v>26</v>
      </c>
      <c r="K358">
        <v>19</v>
      </c>
      <c r="L358" t="s">
        <v>30</v>
      </c>
    </row>
    <row r="359" spans="1:12" x14ac:dyDescent="0.25">
      <c r="A359">
        <v>358</v>
      </c>
      <c r="B359">
        <v>77</v>
      </c>
      <c r="C359" t="s">
        <v>12</v>
      </c>
      <c r="D359" t="s">
        <v>17</v>
      </c>
      <c r="E359">
        <v>4.8899999999999997</v>
      </c>
      <c r="F359">
        <v>15.25</v>
      </c>
      <c r="G359">
        <v>6.12</v>
      </c>
      <c r="H359" t="s">
        <v>18</v>
      </c>
      <c r="I359" t="s">
        <v>23</v>
      </c>
      <c r="J359" t="s">
        <v>25</v>
      </c>
      <c r="K359">
        <v>28</v>
      </c>
      <c r="L359" t="s">
        <v>29</v>
      </c>
    </row>
    <row r="360" spans="1:12" x14ac:dyDescent="0.25">
      <c r="A360">
        <v>359</v>
      </c>
      <c r="B360">
        <v>33</v>
      </c>
      <c r="C360" t="s">
        <v>12</v>
      </c>
      <c r="D360" t="s">
        <v>15</v>
      </c>
      <c r="E360">
        <v>11.95</v>
      </c>
      <c r="F360">
        <v>12.34</v>
      </c>
      <c r="G360">
        <v>22.13</v>
      </c>
      <c r="H360" t="s">
        <v>18</v>
      </c>
      <c r="I360" t="s">
        <v>23</v>
      </c>
      <c r="J360" t="s">
        <v>26</v>
      </c>
      <c r="K360">
        <v>24</v>
      </c>
      <c r="L360" t="s">
        <v>29</v>
      </c>
    </row>
    <row r="361" spans="1:12" x14ac:dyDescent="0.25">
      <c r="A361">
        <v>360</v>
      </c>
      <c r="B361">
        <v>43</v>
      </c>
      <c r="C361" t="s">
        <v>12</v>
      </c>
      <c r="D361" t="s">
        <v>16</v>
      </c>
      <c r="E361">
        <v>20.36</v>
      </c>
      <c r="F361">
        <v>31.97</v>
      </c>
      <c r="G361">
        <v>15.33</v>
      </c>
      <c r="H361" t="s">
        <v>18</v>
      </c>
      <c r="I361" t="s">
        <v>22</v>
      </c>
      <c r="J361" t="s">
        <v>26</v>
      </c>
      <c r="K361">
        <v>20</v>
      </c>
      <c r="L361" t="s">
        <v>29</v>
      </c>
    </row>
    <row r="362" spans="1:12" x14ac:dyDescent="0.25">
      <c r="A362">
        <v>361</v>
      </c>
      <c r="B362">
        <v>65</v>
      </c>
      <c r="C362" t="s">
        <v>12</v>
      </c>
      <c r="D362" t="s">
        <v>15</v>
      </c>
      <c r="E362">
        <v>18.37</v>
      </c>
      <c r="F362">
        <v>4.4800000000000004</v>
      </c>
      <c r="G362">
        <v>13.59</v>
      </c>
      <c r="H362" t="s">
        <v>19</v>
      </c>
      <c r="I362" t="s">
        <v>22</v>
      </c>
      <c r="J362" t="s">
        <v>25</v>
      </c>
      <c r="K362">
        <v>30</v>
      </c>
      <c r="L362" t="s">
        <v>29</v>
      </c>
    </row>
    <row r="363" spans="1:12" x14ac:dyDescent="0.25">
      <c r="A363">
        <v>362</v>
      </c>
      <c r="B363">
        <v>74</v>
      </c>
      <c r="C363" t="s">
        <v>13</v>
      </c>
      <c r="D363" t="s">
        <v>17</v>
      </c>
      <c r="E363">
        <v>9.94</v>
      </c>
      <c r="F363">
        <v>15.45</v>
      </c>
      <c r="G363">
        <v>21.66</v>
      </c>
      <c r="H363" t="s">
        <v>19</v>
      </c>
      <c r="I363" t="s">
        <v>24</v>
      </c>
      <c r="J363" t="s">
        <v>26</v>
      </c>
      <c r="K363">
        <v>23</v>
      </c>
      <c r="L363" t="s">
        <v>29</v>
      </c>
    </row>
    <row r="364" spans="1:12" x14ac:dyDescent="0.25">
      <c r="A364">
        <v>363</v>
      </c>
      <c r="B364">
        <v>69</v>
      </c>
      <c r="C364" t="s">
        <v>13</v>
      </c>
      <c r="D364" t="s">
        <v>15</v>
      </c>
      <c r="E364">
        <v>24.3</v>
      </c>
      <c r="F364">
        <v>5.87</v>
      </c>
      <c r="G364">
        <v>10.77</v>
      </c>
      <c r="H364" t="s">
        <v>19</v>
      </c>
      <c r="I364" t="s">
        <v>24</v>
      </c>
      <c r="J364" t="s">
        <v>26</v>
      </c>
      <c r="K364">
        <v>35</v>
      </c>
      <c r="L364" t="s">
        <v>29</v>
      </c>
    </row>
    <row r="365" spans="1:12" x14ac:dyDescent="0.25">
      <c r="A365">
        <v>364</v>
      </c>
      <c r="B365">
        <v>77</v>
      </c>
      <c r="C365" t="s">
        <v>13</v>
      </c>
      <c r="D365" t="s">
        <v>15</v>
      </c>
      <c r="E365">
        <v>12.3</v>
      </c>
      <c r="F365">
        <v>5.32</v>
      </c>
      <c r="G365">
        <v>7.11</v>
      </c>
      <c r="H365" t="s">
        <v>21</v>
      </c>
      <c r="I365" t="s">
        <v>23</v>
      </c>
      <c r="J365" t="s">
        <v>27</v>
      </c>
      <c r="K365">
        <v>32</v>
      </c>
      <c r="L365" t="s">
        <v>30</v>
      </c>
    </row>
    <row r="366" spans="1:12" x14ac:dyDescent="0.25">
      <c r="A366">
        <v>365</v>
      </c>
      <c r="B366">
        <v>66</v>
      </c>
      <c r="C366" t="s">
        <v>12</v>
      </c>
      <c r="D366" t="s">
        <v>16</v>
      </c>
      <c r="E366">
        <v>17.48</v>
      </c>
      <c r="F366">
        <v>20.97</v>
      </c>
      <c r="G366">
        <v>12.37</v>
      </c>
      <c r="H366" t="s">
        <v>18</v>
      </c>
      <c r="I366" t="s">
        <v>22</v>
      </c>
      <c r="J366" t="s">
        <v>25</v>
      </c>
      <c r="K366">
        <v>10</v>
      </c>
      <c r="L366" t="s">
        <v>30</v>
      </c>
    </row>
    <row r="367" spans="1:12" x14ac:dyDescent="0.25">
      <c r="A367">
        <v>366</v>
      </c>
      <c r="B367">
        <v>19</v>
      </c>
      <c r="C367" t="s">
        <v>13</v>
      </c>
      <c r="D367" t="s">
        <v>15</v>
      </c>
      <c r="E367">
        <v>23.62</v>
      </c>
      <c r="F367">
        <v>9.81</v>
      </c>
      <c r="G367">
        <v>3.29</v>
      </c>
      <c r="H367" t="s">
        <v>21</v>
      </c>
      <c r="I367" t="s">
        <v>23</v>
      </c>
      <c r="J367" t="s">
        <v>25</v>
      </c>
      <c r="K367">
        <v>32</v>
      </c>
      <c r="L367" t="s">
        <v>30</v>
      </c>
    </row>
    <row r="368" spans="1:12" x14ac:dyDescent="0.25">
      <c r="A368">
        <v>367</v>
      </c>
      <c r="B368">
        <v>18</v>
      </c>
      <c r="C368" t="s">
        <v>13</v>
      </c>
      <c r="D368" t="s">
        <v>16</v>
      </c>
      <c r="E368">
        <v>12.72</v>
      </c>
      <c r="F368">
        <v>12.19</v>
      </c>
      <c r="G368">
        <v>17.57</v>
      </c>
      <c r="H368" t="s">
        <v>20</v>
      </c>
      <c r="I368" t="s">
        <v>22</v>
      </c>
      <c r="J368" t="s">
        <v>26</v>
      </c>
      <c r="K368">
        <v>11</v>
      </c>
      <c r="L368" t="s">
        <v>29</v>
      </c>
    </row>
    <row r="369" spans="1:12" x14ac:dyDescent="0.25">
      <c r="A369">
        <v>368</v>
      </c>
      <c r="B369">
        <v>65</v>
      </c>
      <c r="C369" t="s">
        <v>13</v>
      </c>
      <c r="D369" t="s">
        <v>15</v>
      </c>
      <c r="E369">
        <v>28.46</v>
      </c>
      <c r="F369">
        <v>6.27</v>
      </c>
      <c r="G369">
        <v>17.579999999999998</v>
      </c>
      <c r="H369" t="s">
        <v>18</v>
      </c>
      <c r="I369" t="s">
        <v>24</v>
      </c>
      <c r="J369" t="s">
        <v>26</v>
      </c>
      <c r="K369">
        <v>35</v>
      </c>
      <c r="L369" t="s">
        <v>29</v>
      </c>
    </row>
    <row r="370" spans="1:12" x14ac:dyDescent="0.25">
      <c r="A370">
        <v>369</v>
      </c>
      <c r="B370">
        <v>79</v>
      </c>
      <c r="C370" t="s">
        <v>12</v>
      </c>
      <c r="D370" t="s">
        <v>15</v>
      </c>
      <c r="E370">
        <v>31.74</v>
      </c>
      <c r="F370">
        <v>6.58</v>
      </c>
      <c r="G370">
        <v>7.89</v>
      </c>
      <c r="H370" t="s">
        <v>20</v>
      </c>
      <c r="I370" t="s">
        <v>23</v>
      </c>
      <c r="J370" t="s">
        <v>25</v>
      </c>
      <c r="K370">
        <v>31</v>
      </c>
      <c r="L370" t="s">
        <v>30</v>
      </c>
    </row>
    <row r="371" spans="1:12" x14ac:dyDescent="0.25">
      <c r="A371">
        <v>370</v>
      </c>
      <c r="B371">
        <v>29</v>
      </c>
      <c r="C371" t="s">
        <v>13</v>
      </c>
      <c r="D371" t="s">
        <v>17</v>
      </c>
      <c r="E371">
        <v>10.23</v>
      </c>
      <c r="F371">
        <v>2.2400000000000002</v>
      </c>
      <c r="G371">
        <v>5.79</v>
      </c>
      <c r="H371" t="s">
        <v>20</v>
      </c>
      <c r="I371" t="s">
        <v>23</v>
      </c>
      <c r="J371" t="s">
        <v>25</v>
      </c>
      <c r="K371">
        <v>33</v>
      </c>
      <c r="L371" t="s">
        <v>29</v>
      </c>
    </row>
    <row r="372" spans="1:12" x14ac:dyDescent="0.25">
      <c r="A372">
        <v>371</v>
      </c>
      <c r="B372">
        <v>22</v>
      </c>
      <c r="C372" t="s">
        <v>12</v>
      </c>
      <c r="D372" t="s">
        <v>15</v>
      </c>
      <c r="E372">
        <v>12.23</v>
      </c>
      <c r="F372">
        <v>11.48</v>
      </c>
      <c r="G372">
        <v>10.99</v>
      </c>
      <c r="H372" t="s">
        <v>21</v>
      </c>
      <c r="I372" t="s">
        <v>22</v>
      </c>
      <c r="J372" t="s">
        <v>26</v>
      </c>
      <c r="K372">
        <v>5</v>
      </c>
      <c r="L372" t="s">
        <v>29</v>
      </c>
    </row>
    <row r="373" spans="1:12" x14ac:dyDescent="0.25">
      <c r="A373">
        <v>372</v>
      </c>
      <c r="B373">
        <v>54</v>
      </c>
      <c r="C373" t="s">
        <v>12</v>
      </c>
      <c r="D373" t="s">
        <v>15</v>
      </c>
      <c r="E373">
        <v>8.26</v>
      </c>
      <c r="F373">
        <v>3.93</v>
      </c>
      <c r="G373">
        <v>2.83</v>
      </c>
      <c r="H373" t="s">
        <v>18</v>
      </c>
      <c r="I373" t="s">
        <v>22</v>
      </c>
      <c r="J373" t="s">
        <v>28</v>
      </c>
      <c r="K373">
        <v>13</v>
      </c>
      <c r="L373" t="s">
        <v>30</v>
      </c>
    </row>
    <row r="374" spans="1:12" x14ac:dyDescent="0.25">
      <c r="A374">
        <v>373</v>
      </c>
      <c r="B374">
        <v>49</v>
      </c>
      <c r="C374" t="s">
        <v>12</v>
      </c>
      <c r="D374" t="s">
        <v>16</v>
      </c>
      <c r="E374">
        <v>17.22</v>
      </c>
      <c r="F374">
        <v>8.94</v>
      </c>
      <c r="G374">
        <v>6.98</v>
      </c>
      <c r="H374" t="s">
        <v>20</v>
      </c>
      <c r="I374" t="s">
        <v>23</v>
      </c>
      <c r="J374" t="s">
        <v>28</v>
      </c>
      <c r="K374">
        <v>7</v>
      </c>
      <c r="L374" t="s">
        <v>30</v>
      </c>
    </row>
    <row r="375" spans="1:12" x14ac:dyDescent="0.25">
      <c r="A375">
        <v>374</v>
      </c>
      <c r="B375">
        <v>76</v>
      </c>
      <c r="C375" t="s">
        <v>12</v>
      </c>
      <c r="D375" t="s">
        <v>15</v>
      </c>
      <c r="E375">
        <v>21.21</v>
      </c>
      <c r="F375">
        <v>18.46</v>
      </c>
      <c r="G375">
        <v>20.93</v>
      </c>
      <c r="H375" t="s">
        <v>18</v>
      </c>
      <c r="I375" t="s">
        <v>24</v>
      </c>
      <c r="J375" t="s">
        <v>26</v>
      </c>
      <c r="K375">
        <v>33</v>
      </c>
      <c r="L375" t="s">
        <v>30</v>
      </c>
    </row>
    <row r="376" spans="1:12" x14ac:dyDescent="0.25">
      <c r="A376">
        <v>375</v>
      </c>
      <c r="B376">
        <v>72</v>
      </c>
      <c r="C376" t="s">
        <v>13</v>
      </c>
      <c r="D376" t="s">
        <v>14</v>
      </c>
      <c r="E376">
        <v>13.6</v>
      </c>
      <c r="F376">
        <v>1.61</v>
      </c>
      <c r="G376">
        <v>3.94</v>
      </c>
      <c r="H376" t="s">
        <v>20</v>
      </c>
      <c r="I376" t="s">
        <v>22</v>
      </c>
      <c r="J376" t="s">
        <v>27</v>
      </c>
      <c r="K376">
        <v>22</v>
      </c>
      <c r="L376" t="s">
        <v>29</v>
      </c>
    </row>
    <row r="377" spans="1:12" x14ac:dyDescent="0.25">
      <c r="A377">
        <v>376</v>
      </c>
      <c r="B377">
        <v>26</v>
      </c>
      <c r="C377" t="s">
        <v>12</v>
      </c>
      <c r="D377" t="s">
        <v>15</v>
      </c>
      <c r="E377">
        <v>20.82</v>
      </c>
      <c r="F377">
        <v>55.71</v>
      </c>
      <c r="G377">
        <v>22.8</v>
      </c>
      <c r="H377" t="s">
        <v>20</v>
      </c>
      <c r="I377" t="s">
        <v>23</v>
      </c>
      <c r="J377" t="s">
        <v>26</v>
      </c>
      <c r="K377">
        <v>6</v>
      </c>
      <c r="L377" t="s">
        <v>29</v>
      </c>
    </row>
    <row r="378" spans="1:12" x14ac:dyDescent="0.25">
      <c r="A378">
        <v>377</v>
      </c>
      <c r="B378">
        <v>58</v>
      </c>
      <c r="C378" t="s">
        <v>12</v>
      </c>
      <c r="D378" t="s">
        <v>15</v>
      </c>
      <c r="E378">
        <v>12</v>
      </c>
      <c r="F378">
        <v>5.23</v>
      </c>
      <c r="G378">
        <v>12.81</v>
      </c>
      <c r="H378" t="s">
        <v>21</v>
      </c>
      <c r="I378" t="s">
        <v>23</v>
      </c>
      <c r="J378" t="s">
        <v>26</v>
      </c>
      <c r="K378">
        <v>10</v>
      </c>
      <c r="L378" t="s">
        <v>29</v>
      </c>
    </row>
    <row r="379" spans="1:12" x14ac:dyDescent="0.25">
      <c r="A379">
        <v>378</v>
      </c>
      <c r="B379">
        <v>52</v>
      </c>
      <c r="C379" t="s">
        <v>13</v>
      </c>
      <c r="D379" t="s">
        <v>16</v>
      </c>
      <c r="E379">
        <v>12.28</v>
      </c>
      <c r="F379">
        <v>9.15</v>
      </c>
      <c r="G379">
        <v>13.98</v>
      </c>
      <c r="H379" t="s">
        <v>18</v>
      </c>
      <c r="I379" t="s">
        <v>22</v>
      </c>
      <c r="J379" t="s">
        <v>26</v>
      </c>
      <c r="K379">
        <v>15</v>
      </c>
      <c r="L379" t="s">
        <v>29</v>
      </c>
    </row>
    <row r="380" spans="1:12" x14ac:dyDescent="0.25">
      <c r="A380">
        <v>379</v>
      </c>
      <c r="B380">
        <v>36</v>
      </c>
      <c r="C380" t="s">
        <v>13</v>
      </c>
      <c r="D380" t="s">
        <v>15</v>
      </c>
      <c r="E380">
        <v>21.92</v>
      </c>
      <c r="F380">
        <v>12.17</v>
      </c>
      <c r="G380">
        <v>5.86</v>
      </c>
      <c r="H380" t="s">
        <v>21</v>
      </c>
      <c r="I380" t="s">
        <v>23</v>
      </c>
      <c r="J380" t="s">
        <v>25</v>
      </c>
      <c r="K380">
        <v>7</v>
      </c>
      <c r="L380" t="s">
        <v>29</v>
      </c>
    </row>
    <row r="381" spans="1:12" x14ac:dyDescent="0.25">
      <c r="A381">
        <v>380</v>
      </c>
      <c r="B381">
        <v>65</v>
      </c>
      <c r="C381" t="s">
        <v>12</v>
      </c>
      <c r="D381" t="s">
        <v>15</v>
      </c>
      <c r="E381">
        <v>12.88</v>
      </c>
      <c r="F381">
        <v>5.07</v>
      </c>
      <c r="G381">
        <v>4.49</v>
      </c>
      <c r="H381" t="s">
        <v>21</v>
      </c>
      <c r="I381" t="s">
        <v>23</v>
      </c>
      <c r="J381" t="s">
        <v>27</v>
      </c>
      <c r="K381">
        <v>21</v>
      </c>
      <c r="L381" t="s">
        <v>29</v>
      </c>
    </row>
    <row r="382" spans="1:12" x14ac:dyDescent="0.25">
      <c r="A382">
        <v>381</v>
      </c>
      <c r="B382">
        <v>33</v>
      </c>
      <c r="C382" t="s">
        <v>13</v>
      </c>
      <c r="D382" t="s">
        <v>17</v>
      </c>
      <c r="E382">
        <v>16.600000000000001</v>
      </c>
      <c r="F382">
        <v>6.78</v>
      </c>
      <c r="G382">
        <v>7.59</v>
      </c>
      <c r="H382" t="s">
        <v>21</v>
      </c>
      <c r="I382" t="s">
        <v>22</v>
      </c>
      <c r="J382" t="s">
        <v>25</v>
      </c>
      <c r="K382">
        <v>20</v>
      </c>
      <c r="L382" t="s">
        <v>29</v>
      </c>
    </row>
    <row r="383" spans="1:12" x14ac:dyDescent="0.25">
      <c r="A383">
        <v>382</v>
      </c>
      <c r="B383">
        <v>20</v>
      </c>
      <c r="C383" t="s">
        <v>12</v>
      </c>
      <c r="D383" t="s">
        <v>15</v>
      </c>
      <c r="E383">
        <v>22.42</v>
      </c>
      <c r="F383">
        <v>21.44</v>
      </c>
      <c r="G383">
        <v>27.2</v>
      </c>
      <c r="H383" t="s">
        <v>21</v>
      </c>
      <c r="I383" t="s">
        <v>22</v>
      </c>
      <c r="J383" t="s">
        <v>25</v>
      </c>
      <c r="K383">
        <v>35</v>
      </c>
      <c r="L383" t="s">
        <v>29</v>
      </c>
    </row>
    <row r="384" spans="1:12" x14ac:dyDescent="0.25">
      <c r="A384">
        <v>383</v>
      </c>
      <c r="B384">
        <v>37</v>
      </c>
      <c r="C384" t="s">
        <v>12</v>
      </c>
      <c r="D384" t="s">
        <v>14</v>
      </c>
      <c r="E384">
        <v>20.63</v>
      </c>
      <c r="F384">
        <v>17.079999999999998</v>
      </c>
      <c r="G384">
        <v>5.6</v>
      </c>
      <c r="H384" t="s">
        <v>21</v>
      </c>
      <c r="I384" t="s">
        <v>22</v>
      </c>
      <c r="J384" t="s">
        <v>26</v>
      </c>
      <c r="K384">
        <v>6</v>
      </c>
      <c r="L384" t="s">
        <v>29</v>
      </c>
    </row>
    <row r="385" spans="1:12" x14ac:dyDescent="0.25">
      <c r="A385">
        <v>384</v>
      </c>
      <c r="B385">
        <v>41</v>
      </c>
      <c r="C385" t="s">
        <v>12</v>
      </c>
      <c r="D385" t="s">
        <v>15</v>
      </c>
      <c r="E385">
        <v>12.13</v>
      </c>
      <c r="F385">
        <v>8.17</v>
      </c>
      <c r="G385">
        <v>0.89</v>
      </c>
      <c r="H385" t="s">
        <v>20</v>
      </c>
      <c r="I385" t="s">
        <v>23</v>
      </c>
      <c r="J385" t="s">
        <v>26</v>
      </c>
      <c r="K385">
        <v>20</v>
      </c>
      <c r="L385" t="s">
        <v>29</v>
      </c>
    </row>
    <row r="386" spans="1:12" x14ac:dyDescent="0.25">
      <c r="A386">
        <v>385</v>
      </c>
      <c r="B386">
        <v>71</v>
      </c>
      <c r="C386" t="s">
        <v>12</v>
      </c>
      <c r="D386" t="s">
        <v>16</v>
      </c>
      <c r="E386">
        <v>33.729999999999997</v>
      </c>
      <c r="F386">
        <v>9.99</v>
      </c>
      <c r="G386">
        <v>10.17</v>
      </c>
      <c r="H386" t="s">
        <v>18</v>
      </c>
      <c r="I386" t="s">
        <v>22</v>
      </c>
      <c r="J386" t="s">
        <v>26</v>
      </c>
      <c r="K386">
        <v>26</v>
      </c>
      <c r="L386" t="s">
        <v>29</v>
      </c>
    </row>
    <row r="387" spans="1:12" x14ac:dyDescent="0.25">
      <c r="A387">
        <v>386</v>
      </c>
      <c r="B387">
        <v>73</v>
      </c>
      <c r="C387" t="s">
        <v>13</v>
      </c>
      <c r="D387" t="s">
        <v>14</v>
      </c>
      <c r="E387">
        <v>4.66</v>
      </c>
      <c r="F387">
        <v>11.12</v>
      </c>
      <c r="G387">
        <v>20.04</v>
      </c>
      <c r="H387" t="s">
        <v>18</v>
      </c>
      <c r="I387" t="s">
        <v>24</v>
      </c>
      <c r="J387" t="s">
        <v>26</v>
      </c>
      <c r="K387">
        <v>31</v>
      </c>
      <c r="L387" t="s">
        <v>29</v>
      </c>
    </row>
    <row r="388" spans="1:12" x14ac:dyDescent="0.25">
      <c r="A388">
        <v>387</v>
      </c>
      <c r="B388">
        <v>50</v>
      </c>
      <c r="C388" t="s">
        <v>12</v>
      </c>
      <c r="D388" t="s">
        <v>17</v>
      </c>
      <c r="E388">
        <v>0.56000000000000005</v>
      </c>
      <c r="F388">
        <v>14.97</v>
      </c>
      <c r="G388">
        <v>11.07</v>
      </c>
      <c r="H388" t="s">
        <v>21</v>
      </c>
      <c r="I388" t="s">
        <v>23</v>
      </c>
      <c r="J388" t="s">
        <v>25</v>
      </c>
      <c r="K388">
        <v>33</v>
      </c>
      <c r="L388" t="s">
        <v>29</v>
      </c>
    </row>
    <row r="389" spans="1:12" x14ac:dyDescent="0.25">
      <c r="A389">
        <v>388</v>
      </c>
      <c r="B389">
        <v>41</v>
      </c>
      <c r="C389" t="s">
        <v>13</v>
      </c>
      <c r="D389" t="s">
        <v>14</v>
      </c>
      <c r="E389">
        <v>24.97</v>
      </c>
      <c r="F389">
        <v>15.74</v>
      </c>
      <c r="G389">
        <v>28.37</v>
      </c>
      <c r="H389" t="s">
        <v>18</v>
      </c>
      <c r="I389" t="s">
        <v>22</v>
      </c>
      <c r="J389" t="s">
        <v>26</v>
      </c>
      <c r="K389">
        <v>30</v>
      </c>
      <c r="L389" t="s">
        <v>29</v>
      </c>
    </row>
    <row r="390" spans="1:12" x14ac:dyDescent="0.25">
      <c r="A390">
        <v>389</v>
      </c>
      <c r="B390">
        <v>69</v>
      </c>
      <c r="C390" t="s">
        <v>13</v>
      </c>
      <c r="D390" t="s">
        <v>17</v>
      </c>
      <c r="E390">
        <v>20.36</v>
      </c>
      <c r="F390">
        <v>15.45</v>
      </c>
      <c r="G390">
        <v>14.7</v>
      </c>
      <c r="H390" t="s">
        <v>20</v>
      </c>
      <c r="I390" t="s">
        <v>24</v>
      </c>
      <c r="J390" t="s">
        <v>25</v>
      </c>
      <c r="K390">
        <v>11</v>
      </c>
      <c r="L390" t="s">
        <v>30</v>
      </c>
    </row>
    <row r="391" spans="1:12" x14ac:dyDescent="0.25">
      <c r="A391">
        <v>390</v>
      </c>
      <c r="B391">
        <v>28</v>
      </c>
      <c r="C391" t="s">
        <v>13</v>
      </c>
      <c r="D391" t="s">
        <v>14</v>
      </c>
      <c r="E391">
        <v>7.4</v>
      </c>
      <c r="F391">
        <v>7.15</v>
      </c>
      <c r="G391">
        <v>11.18</v>
      </c>
      <c r="H391" t="s">
        <v>21</v>
      </c>
      <c r="I391" t="s">
        <v>22</v>
      </c>
      <c r="J391" t="s">
        <v>26</v>
      </c>
      <c r="K391">
        <v>28</v>
      </c>
      <c r="L391" t="s">
        <v>30</v>
      </c>
    </row>
    <row r="392" spans="1:12" x14ac:dyDescent="0.25">
      <c r="A392">
        <v>391</v>
      </c>
      <c r="B392">
        <v>66</v>
      </c>
      <c r="C392" t="s">
        <v>13</v>
      </c>
      <c r="D392" t="s">
        <v>15</v>
      </c>
      <c r="E392">
        <v>18.670000000000002</v>
      </c>
      <c r="F392">
        <v>10.86</v>
      </c>
      <c r="G392">
        <v>7.52</v>
      </c>
      <c r="H392" t="s">
        <v>19</v>
      </c>
      <c r="I392" t="s">
        <v>22</v>
      </c>
      <c r="J392" t="s">
        <v>26</v>
      </c>
      <c r="K392">
        <v>4</v>
      </c>
      <c r="L392" t="s">
        <v>29</v>
      </c>
    </row>
    <row r="393" spans="1:12" x14ac:dyDescent="0.25">
      <c r="A393">
        <v>392</v>
      </c>
      <c r="B393">
        <v>25</v>
      </c>
      <c r="C393" t="s">
        <v>12</v>
      </c>
      <c r="D393" t="s">
        <v>16</v>
      </c>
      <c r="E393">
        <v>10.95</v>
      </c>
      <c r="F393">
        <v>19.899999999999999</v>
      </c>
      <c r="G393">
        <v>13.46</v>
      </c>
      <c r="H393" t="s">
        <v>19</v>
      </c>
      <c r="I393" t="s">
        <v>23</v>
      </c>
      <c r="J393" t="s">
        <v>26</v>
      </c>
      <c r="K393">
        <v>8</v>
      </c>
      <c r="L393" t="s">
        <v>30</v>
      </c>
    </row>
    <row r="394" spans="1:12" x14ac:dyDescent="0.25">
      <c r="A394">
        <v>393</v>
      </c>
      <c r="B394">
        <v>53</v>
      </c>
      <c r="C394" t="s">
        <v>13</v>
      </c>
      <c r="D394" t="s">
        <v>17</v>
      </c>
      <c r="E394">
        <v>23.83</v>
      </c>
      <c r="F394">
        <v>38.68</v>
      </c>
      <c r="G394">
        <v>2.2799999999999998</v>
      </c>
      <c r="H394" t="s">
        <v>20</v>
      </c>
      <c r="I394" t="s">
        <v>22</v>
      </c>
      <c r="J394" t="s">
        <v>27</v>
      </c>
      <c r="K394">
        <v>31</v>
      </c>
      <c r="L394" t="s">
        <v>29</v>
      </c>
    </row>
    <row r="395" spans="1:12" x14ac:dyDescent="0.25">
      <c r="A395">
        <v>394</v>
      </c>
      <c r="B395">
        <v>55</v>
      </c>
      <c r="C395" t="s">
        <v>12</v>
      </c>
      <c r="D395" t="s">
        <v>17</v>
      </c>
      <c r="E395">
        <v>0.77</v>
      </c>
      <c r="F395">
        <v>10.63</v>
      </c>
      <c r="G395">
        <v>27.23</v>
      </c>
      <c r="H395" t="s">
        <v>20</v>
      </c>
      <c r="I395" t="s">
        <v>22</v>
      </c>
      <c r="J395" t="s">
        <v>26</v>
      </c>
      <c r="K395">
        <v>28</v>
      </c>
      <c r="L395" t="s">
        <v>29</v>
      </c>
    </row>
    <row r="396" spans="1:12" x14ac:dyDescent="0.25">
      <c r="A396">
        <v>395</v>
      </c>
      <c r="B396">
        <v>57</v>
      </c>
      <c r="C396" t="s">
        <v>13</v>
      </c>
      <c r="D396" t="s">
        <v>16</v>
      </c>
      <c r="E396">
        <v>14.49</v>
      </c>
      <c r="F396">
        <v>6.37</v>
      </c>
      <c r="G396">
        <v>16.510000000000002</v>
      </c>
      <c r="H396" t="s">
        <v>19</v>
      </c>
      <c r="I396" t="s">
        <v>22</v>
      </c>
      <c r="J396" t="s">
        <v>26</v>
      </c>
      <c r="K396">
        <v>30</v>
      </c>
      <c r="L396" t="s">
        <v>29</v>
      </c>
    </row>
    <row r="397" spans="1:12" x14ac:dyDescent="0.25">
      <c r="A397">
        <v>396</v>
      </c>
      <c r="B397">
        <v>37</v>
      </c>
      <c r="C397" t="s">
        <v>13</v>
      </c>
      <c r="D397" t="s">
        <v>16</v>
      </c>
      <c r="E397">
        <v>11.74</v>
      </c>
      <c r="F397">
        <v>4.99</v>
      </c>
      <c r="G397">
        <v>16.45</v>
      </c>
      <c r="H397" t="s">
        <v>21</v>
      </c>
      <c r="I397" t="s">
        <v>24</v>
      </c>
      <c r="J397" t="s">
        <v>27</v>
      </c>
      <c r="K397">
        <v>9</v>
      </c>
      <c r="L397" t="s">
        <v>29</v>
      </c>
    </row>
    <row r="398" spans="1:12" x14ac:dyDescent="0.25">
      <c r="A398">
        <v>397</v>
      </c>
      <c r="B398">
        <v>79</v>
      </c>
      <c r="C398" t="s">
        <v>12</v>
      </c>
      <c r="D398" t="s">
        <v>15</v>
      </c>
      <c r="E398">
        <v>28.53</v>
      </c>
      <c r="F398">
        <v>15.53</v>
      </c>
      <c r="G398">
        <v>9.06</v>
      </c>
      <c r="H398" t="s">
        <v>20</v>
      </c>
      <c r="I398" t="s">
        <v>23</v>
      </c>
      <c r="J398" t="s">
        <v>28</v>
      </c>
      <c r="K398">
        <v>12</v>
      </c>
      <c r="L398" t="s">
        <v>29</v>
      </c>
    </row>
    <row r="399" spans="1:12" x14ac:dyDescent="0.25">
      <c r="A399">
        <v>398</v>
      </c>
      <c r="B399">
        <v>52</v>
      </c>
      <c r="C399" t="s">
        <v>12</v>
      </c>
      <c r="D399" t="s">
        <v>15</v>
      </c>
      <c r="E399">
        <v>3.36</v>
      </c>
      <c r="F399">
        <v>2.13</v>
      </c>
      <c r="G399">
        <v>22.38</v>
      </c>
      <c r="H399" t="s">
        <v>19</v>
      </c>
      <c r="I399" t="s">
        <v>23</v>
      </c>
      <c r="J399" t="s">
        <v>25</v>
      </c>
      <c r="K399">
        <v>24</v>
      </c>
      <c r="L399" t="s">
        <v>29</v>
      </c>
    </row>
    <row r="400" spans="1:12" x14ac:dyDescent="0.25">
      <c r="A400">
        <v>399</v>
      </c>
      <c r="B400">
        <v>65</v>
      </c>
      <c r="C400" t="s">
        <v>12</v>
      </c>
      <c r="D400" t="s">
        <v>16</v>
      </c>
      <c r="E400">
        <v>17.87</v>
      </c>
      <c r="F400">
        <v>15.64</v>
      </c>
      <c r="G400">
        <v>8.14</v>
      </c>
      <c r="H400" t="s">
        <v>21</v>
      </c>
      <c r="I400" t="s">
        <v>23</v>
      </c>
      <c r="J400" t="s">
        <v>26</v>
      </c>
      <c r="K400">
        <v>29</v>
      </c>
      <c r="L400" t="s">
        <v>29</v>
      </c>
    </row>
    <row r="401" spans="1:12" x14ac:dyDescent="0.25">
      <c r="A401">
        <v>400</v>
      </c>
      <c r="B401">
        <v>79</v>
      </c>
      <c r="C401" t="s">
        <v>13</v>
      </c>
      <c r="D401" t="s">
        <v>16</v>
      </c>
      <c r="E401">
        <v>24.77</v>
      </c>
      <c r="F401">
        <v>15.84</v>
      </c>
      <c r="G401">
        <v>6.18</v>
      </c>
      <c r="H401" t="s">
        <v>20</v>
      </c>
      <c r="I401" t="s">
        <v>22</v>
      </c>
      <c r="J401" t="s">
        <v>26</v>
      </c>
      <c r="K401">
        <v>24</v>
      </c>
      <c r="L401" t="s">
        <v>29</v>
      </c>
    </row>
    <row r="402" spans="1:12" x14ac:dyDescent="0.25">
      <c r="A402">
        <v>401</v>
      </c>
      <c r="B402">
        <v>42</v>
      </c>
      <c r="C402" t="s">
        <v>13</v>
      </c>
      <c r="D402" t="s">
        <v>14</v>
      </c>
      <c r="E402">
        <v>49.68</v>
      </c>
      <c r="F402">
        <v>6.57</v>
      </c>
      <c r="G402">
        <v>9.75</v>
      </c>
      <c r="H402" t="s">
        <v>18</v>
      </c>
      <c r="I402" t="s">
        <v>23</v>
      </c>
      <c r="J402" t="s">
        <v>28</v>
      </c>
      <c r="K402">
        <v>21</v>
      </c>
      <c r="L402" t="s">
        <v>29</v>
      </c>
    </row>
    <row r="403" spans="1:12" x14ac:dyDescent="0.25">
      <c r="A403">
        <v>402</v>
      </c>
      <c r="B403">
        <v>52</v>
      </c>
      <c r="C403" t="s">
        <v>12</v>
      </c>
      <c r="D403" t="s">
        <v>16</v>
      </c>
      <c r="E403">
        <v>12.26</v>
      </c>
      <c r="F403">
        <v>11.98</v>
      </c>
      <c r="G403">
        <v>16.89</v>
      </c>
      <c r="H403" t="s">
        <v>18</v>
      </c>
      <c r="I403" t="s">
        <v>22</v>
      </c>
      <c r="J403" t="s">
        <v>27</v>
      </c>
      <c r="K403">
        <v>11</v>
      </c>
      <c r="L403" t="s">
        <v>29</v>
      </c>
    </row>
    <row r="404" spans="1:12" x14ac:dyDescent="0.25">
      <c r="A404">
        <v>403</v>
      </c>
      <c r="B404">
        <v>42</v>
      </c>
      <c r="C404" t="s">
        <v>12</v>
      </c>
      <c r="D404" t="s">
        <v>14</v>
      </c>
      <c r="E404">
        <v>21.44</v>
      </c>
      <c r="F404">
        <v>8.39</v>
      </c>
      <c r="G404">
        <v>5.34</v>
      </c>
      <c r="H404" t="s">
        <v>18</v>
      </c>
      <c r="I404" t="s">
        <v>23</v>
      </c>
      <c r="J404" t="s">
        <v>25</v>
      </c>
      <c r="K404">
        <v>21</v>
      </c>
      <c r="L404" t="s">
        <v>29</v>
      </c>
    </row>
    <row r="405" spans="1:12" x14ac:dyDescent="0.25">
      <c r="A405">
        <v>404</v>
      </c>
      <c r="B405">
        <v>46</v>
      </c>
      <c r="C405" t="s">
        <v>12</v>
      </c>
      <c r="D405" t="s">
        <v>16</v>
      </c>
      <c r="E405">
        <v>3.59</v>
      </c>
      <c r="F405">
        <v>2.82</v>
      </c>
      <c r="G405">
        <v>4.62</v>
      </c>
      <c r="H405" t="s">
        <v>21</v>
      </c>
      <c r="I405" t="s">
        <v>22</v>
      </c>
      <c r="J405" t="s">
        <v>26</v>
      </c>
      <c r="K405">
        <v>4</v>
      </c>
      <c r="L405" t="s">
        <v>29</v>
      </c>
    </row>
    <row r="406" spans="1:12" x14ac:dyDescent="0.25">
      <c r="A406">
        <v>405</v>
      </c>
      <c r="B406">
        <v>35</v>
      </c>
      <c r="C406" t="s">
        <v>12</v>
      </c>
      <c r="D406" t="s">
        <v>15</v>
      </c>
      <c r="E406">
        <v>17.27</v>
      </c>
      <c r="F406">
        <v>14.84</v>
      </c>
      <c r="G406">
        <v>4.4800000000000004</v>
      </c>
      <c r="H406" t="s">
        <v>20</v>
      </c>
      <c r="I406" t="s">
        <v>23</v>
      </c>
      <c r="J406" t="s">
        <v>26</v>
      </c>
      <c r="K406">
        <v>30</v>
      </c>
      <c r="L406" t="s">
        <v>29</v>
      </c>
    </row>
    <row r="407" spans="1:12" x14ac:dyDescent="0.25">
      <c r="A407">
        <v>406</v>
      </c>
      <c r="B407">
        <v>63</v>
      </c>
      <c r="C407" t="s">
        <v>13</v>
      </c>
      <c r="D407" t="s">
        <v>15</v>
      </c>
      <c r="E407">
        <v>35.24</v>
      </c>
      <c r="F407">
        <v>13.9</v>
      </c>
      <c r="G407">
        <v>6.54</v>
      </c>
      <c r="H407" t="s">
        <v>19</v>
      </c>
      <c r="I407" t="s">
        <v>24</v>
      </c>
      <c r="J407" t="s">
        <v>26</v>
      </c>
      <c r="K407">
        <v>24</v>
      </c>
      <c r="L407" t="s">
        <v>29</v>
      </c>
    </row>
    <row r="408" spans="1:12" x14ac:dyDescent="0.25">
      <c r="A408">
        <v>407</v>
      </c>
      <c r="B408">
        <v>35</v>
      </c>
      <c r="C408" t="s">
        <v>12</v>
      </c>
      <c r="D408" t="s">
        <v>16</v>
      </c>
      <c r="E408">
        <v>49.97</v>
      </c>
      <c r="F408">
        <v>7.01</v>
      </c>
      <c r="G408">
        <v>18.03</v>
      </c>
      <c r="H408" t="s">
        <v>20</v>
      </c>
      <c r="I408" t="s">
        <v>22</v>
      </c>
      <c r="J408" t="s">
        <v>25</v>
      </c>
      <c r="K408">
        <v>8</v>
      </c>
      <c r="L408" t="s">
        <v>30</v>
      </c>
    </row>
    <row r="409" spans="1:12" x14ac:dyDescent="0.25">
      <c r="A409">
        <v>408</v>
      </c>
      <c r="B409">
        <v>19</v>
      </c>
      <c r="C409" t="s">
        <v>12</v>
      </c>
      <c r="D409" t="s">
        <v>16</v>
      </c>
      <c r="E409">
        <v>22.76</v>
      </c>
      <c r="F409">
        <v>38.28</v>
      </c>
      <c r="G409">
        <v>10.67</v>
      </c>
      <c r="H409" t="s">
        <v>18</v>
      </c>
      <c r="I409" t="s">
        <v>24</v>
      </c>
      <c r="J409" t="s">
        <v>26</v>
      </c>
      <c r="K409">
        <v>9</v>
      </c>
      <c r="L409" t="s">
        <v>29</v>
      </c>
    </row>
    <row r="410" spans="1:12" x14ac:dyDescent="0.25">
      <c r="A410">
        <v>409</v>
      </c>
      <c r="B410">
        <v>71</v>
      </c>
      <c r="C410" t="s">
        <v>12</v>
      </c>
      <c r="D410" t="s">
        <v>15</v>
      </c>
      <c r="E410">
        <v>4.6399999999999997</v>
      </c>
      <c r="F410">
        <v>10.050000000000001</v>
      </c>
      <c r="G410">
        <v>3.42</v>
      </c>
      <c r="H410" t="s">
        <v>18</v>
      </c>
      <c r="I410" t="s">
        <v>22</v>
      </c>
      <c r="J410" t="s">
        <v>28</v>
      </c>
      <c r="K410">
        <v>8</v>
      </c>
      <c r="L410" t="s">
        <v>29</v>
      </c>
    </row>
    <row r="411" spans="1:12" x14ac:dyDescent="0.25">
      <c r="A411">
        <v>410</v>
      </c>
      <c r="B411">
        <v>52</v>
      </c>
      <c r="C411" t="s">
        <v>12</v>
      </c>
      <c r="D411" t="s">
        <v>17</v>
      </c>
      <c r="E411">
        <v>38.700000000000003</v>
      </c>
      <c r="F411">
        <v>1.43</v>
      </c>
      <c r="G411">
        <v>37.26</v>
      </c>
      <c r="H411" t="s">
        <v>21</v>
      </c>
      <c r="I411" t="s">
        <v>23</v>
      </c>
      <c r="J411" t="s">
        <v>26</v>
      </c>
      <c r="K411">
        <v>35</v>
      </c>
      <c r="L411" t="s">
        <v>29</v>
      </c>
    </row>
    <row r="412" spans="1:12" x14ac:dyDescent="0.25">
      <c r="A412">
        <v>411</v>
      </c>
      <c r="B412">
        <v>33</v>
      </c>
      <c r="C412" t="s">
        <v>13</v>
      </c>
      <c r="D412" t="s">
        <v>14</v>
      </c>
      <c r="E412">
        <v>4.67</v>
      </c>
      <c r="F412">
        <v>20.61</v>
      </c>
      <c r="G412">
        <v>2.96</v>
      </c>
      <c r="H412" t="s">
        <v>19</v>
      </c>
      <c r="I412" t="s">
        <v>23</v>
      </c>
      <c r="J412" t="s">
        <v>25</v>
      </c>
      <c r="K412">
        <v>16</v>
      </c>
      <c r="L412" t="s">
        <v>30</v>
      </c>
    </row>
    <row r="413" spans="1:12" x14ac:dyDescent="0.25">
      <c r="A413">
        <v>412</v>
      </c>
      <c r="B413">
        <v>78</v>
      </c>
      <c r="C413" t="s">
        <v>12</v>
      </c>
      <c r="D413" t="s">
        <v>17</v>
      </c>
      <c r="E413">
        <v>6.82</v>
      </c>
      <c r="F413">
        <v>17.43</v>
      </c>
      <c r="G413">
        <v>6.58</v>
      </c>
      <c r="H413" t="s">
        <v>21</v>
      </c>
      <c r="I413" t="s">
        <v>24</v>
      </c>
      <c r="J413" t="s">
        <v>26</v>
      </c>
      <c r="K413">
        <v>3</v>
      </c>
      <c r="L413" t="s">
        <v>30</v>
      </c>
    </row>
    <row r="414" spans="1:12" x14ac:dyDescent="0.25">
      <c r="A414">
        <v>413</v>
      </c>
      <c r="B414">
        <v>58</v>
      </c>
      <c r="C414" t="s">
        <v>13</v>
      </c>
      <c r="D414" t="s">
        <v>17</v>
      </c>
      <c r="E414">
        <v>40.700000000000003</v>
      </c>
      <c r="F414">
        <v>18.88</v>
      </c>
      <c r="G414">
        <v>4.32</v>
      </c>
      <c r="H414" t="s">
        <v>19</v>
      </c>
      <c r="I414" t="s">
        <v>22</v>
      </c>
      <c r="J414" t="s">
        <v>26</v>
      </c>
      <c r="K414">
        <v>27</v>
      </c>
      <c r="L414" t="s">
        <v>30</v>
      </c>
    </row>
    <row r="415" spans="1:12" x14ac:dyDescent="0.25">
      <c r="A415">
        <v>414</v>
      </c>
      <c r="B415">
        <v>53</v>
      </c>
      <c r="C415" t="s">
        <v>12</v>
      </c>
      <c r="D415" t="s">
        <v>17</v>
      </c>
      <c r="E415">
        <v>16.43</v>
      </c>
      <c r="F415">
        <v>4.1399999999999997</v>
      </c>
      <c r="G415">
        <v>5.46</v>
      </c>
      <c r="H415" t="s">
        <v>20</v>
      </c>
      <c r="I415" t="s">
        <v>23</v>
      </c>
      <c r="J415" t="s">
        <v>26</v>
      </c>
      <c r="K415">
        <v>8</v>
      </c>
      <c r="L415" t="s">
        <v>30</v>
      </c>
    </row>
    <row r="416" spans="1:12" x14ac:dyDescent="0.25">
      <c r="A416">
        <v>415</v>
      </c>
      <c r="B416">
        <v>50</v>
      </c>
      <c r="C416" t="s">
        <v>12</v>
      </c>
      <c r="D416" t="s">
        <v>15</v>
      </c>
      <c r="E416">
        <v>11.27</v>
      </c>
      <c r="F416">
        <v>11.74</v>
      </c>
      <c r="G416">
        <v>9.83</v>
      </c>
      <c r="H416" t="s">
        <v>21</v>
      </c>
      <c r="I416" t="s">
        <v>22</v>
      </c>
      <c r="J416" t="s">
        <v>25</v>
      </c>
      <c r="K416">
        <v>30</v>
      </c>
      <c r="L416" t="s">
        <v>29</v>
      </c>
    </row>
    <row r="417" spans="1:12" x14ac:dyDescent="0.25">
      <c r="A417">
        <v>416</v>
      </c>
      <c r="B417">
        <v>21</v>
      </c>
      <c r="C417" t="s">
        <v>13</v>
      </c>
      <c r="D417" t="s">
        <v>17</v>
      </c>
      <c r="E417">
        <v>26.93</v>
      </c>
      <c r="F417">
        <v>9.92</v>
      </c>
      <c r="G417">
        <v>7.95</v>
      </c>
      <c r="H417" t="s">
        <v>21</v>
      </c>
      <c r="I417" t="s">
        <v>23</v>
      </c>
      <c r="J417" t="s">
        <v>25</v>
      </c>
      <c r="K417">
        <v>20</v>
      </c>
      <c r="L417" t="s">
        <v>29</v>
      </c>
    </row>
    <row r="418" spans="1:12" x14ac:dyDescent="0.25">
      <c r="A418">
        <v>417</v>
      </c>
      <c r="B418">
        <v>50</v>
      </c>
      <c r="C418" t="s">
        <v>12</v>
      </c>
      <c r="D418" t="s">
        <v>17</v>
      </c>
      <c r="E418">
        <v>19.34</v>
      </c>
      <c r="F418">
        <v>8.7100000000000009</v>
      </c>
      <c r="G418">
        <v>4.9400000000000004</v>
      </c>
      <c r="H418" t="s">
        <v>21</v>
      </c>
      <c r="I418" t="s">
        <v>23</v>
      </c>
      <c r="J418" t="s">
        <v>26</v>
      </c>
      <c r="K418">
        <v>29</v>
      </c>
      <c r="L418" t="s">
        <v>29</v>
      </c>
    </row>
    <row r="419" spans="1:12" x14ac:dyDescent="0.25">
      <c r="A419">
        <v>418</v>
      </c>
      <c r="B419">
        <v>31</v>
      </c>
      <c r="C419" t="s">
        <v>13</v>
      </c>
      <c r="D419" t="s">
        <v>15</v>
      </c>
      <c r="E419">
        <v>33.33</v>
      </c>
      <c r="F419">
        <v>24.37</v>
      </c>
      <c r="G419">
        <v>11.74</v>
      </c>
      <c r="H419" t="s">
        <v>18</v>
      </c>
      <c r="I419" t="s">
        <v>23</v>
      </c>
      <c r="J419" t="s">
        <v>27</v>
      </c>
      <c r="K419">
        <v>4</v>
      </c>
      <c r="L419" t="s">
        <v>30</v>
      </c>
    </row>
    <row r="420" spans="1:12" x14ac:dyDescent="0.25">
      <c r="A420">
        <v>419</v>
      </c>
      <c r="B420">
        <v>38</v>
      </c>
      <c r="C420" t="s">
        <v>13</v>
      </c>
      <c r="D420" t="s">
        <v>16</v>
      </c>
      <c r="E420">
        <v>19.93</v>
      </c>
      <c r="F420">
        <v>10.16</v>
      </c>
      <c r="G420">
        <v>13</v>
      </c>
      <c r="H420" t="s">
        <v>18</v>
      </c>
      <c r="I420" t="s">
        <v>24</v>
      </c>
      <c r="J420" t="s">
        <v>26</v>
      </c>
      <c r="K420">
        <v>23</v>
      </c>
      <c r="L420" t="s">
        <v>29</v>
      </c>
    </row>
    <row r="421" spans="1:12" x14ac:dyDescent="0.25">
      <c r="A421">
        <v>420</v>
      </c>
      <c r="B421">
        <v>65</v>
      </c>
      <c r="C421" t="s">
        <v>12</v>
      </c>
      <c r="D421" t="s">
        <v>17</v>
      </c>
      <c r="E421">
        <v>20.239999999999998</v>
      </c>
      <c r="F421">
        <v>7.21</v>
      </c>
      <c r="G421">
        <v>14.66</v>
      </c>
      <c r="H421" t="s">
        <v>19</v>
      </c>
      <c r="I421" t="s">
        <v>23</v>
      </c>
      <c r="J421" t="s">
        <v>27</v>
      </c>
      <c r="K421">
        <v>25</v>
      </c>
      <c r="L421" t="s">
        <v>30</v>
      </c>
    </row>
    <row r="422" spans="1:12" x14ac:dyDescent="0.25">
      <c r="A422">
        <v>421</v>
      </c>
      <c r="B422">
        <v>37</v>
      </c>
      <c r="C422" t="s">
        <v>13</v>
      </c>
      <c r="D422" t="s">
        <v>14</v>
      </c>
      <c r="E422">
        <v>32.61</v>
      </c>
      <c r="F422">
        <v>7.15</v>
      </c>
      <c r="G422">
        <v>9.9499999999999993</v>
      </c>
      <c r="H422" t="s">
        <v>20</v>
      </c>
      <c r="I422" t="s">
        <v>23</v>
      </c>
      <c r="J422" t="s">
        <v>27</v>
      </c>
      <c r="K422">
        <v>4</v>
      </c>
      <c r="L422" t="s">
        <v>29</v>
      </c>
    </row>
    <row r="423" spans="1:12" x14ac:dyDescent="0.25">
      <c r="A423">
        <v>422</v>
      </c>
      <c r="B423">
        <v>73</v>
      </c>
      <c r="C423" t="s">
        <v>13</v>
      </c>
      <c r="D423" t="s">
        <v>14</v>
      </c>
      <c r="E423">
        <v>16.28</v>
      </c>
      <c r="F423">
        <v>3.85</v>
      </c>
      <c r="G423">
        <v>12.63</v>
      </c>
      <c r="H423" t="s">
        <v>21</v>
      </c>
      <c r="I423" t="s">
        <v>23</v>
      </c>
      <c r="J423" t="s">
        <v>27</v>
      </c>
      <c r="K423">
        <v>18</v>
      </c>
      <c r="L423" t="s">
        <v>30</v>
      </c>
    </row>
    <row r="424" spans="1:12" x14ac:dyDescent="0.25">
      <c r="A424">
        <v>423</v>
      </c>
      <c r="B424">
        <v>25</v>
      </c>
      <c r="C424" t="s">
        <v>13</v>
      </c>
      <c r="D424" t="s">
        <v>15</v>
      </c>
      <c r="E424">
        <v>8.84</v>
      </c>
      <c r="F424">
        <v>10.92</v>
      </c>
      <c r="G424">
        <v>14.42</v>
      </c>
      <c r="H424" t="s">
        <v>18</v>
      </c>
      <c r="I424" t="s">
        <v>23</v>
      </c>
      <c r="J424" t="s">
        <v>26</v>
      </c>
      <c r="K424">
        <v>6</v>
      </c>
      <c r="L424" t="s">
        <v>29</v>
      </c>
    </row>
    <row r="425" spans="1:12" x14ac:dyDescent="0.25">
      <c r="A425">
        <v>424</v>
      </c>
      <c r="B425">
        <v>24</v>
      </c>
      <c r="C425" t="s">
        <v>13</v>
      </c>
      <c r="D425" t="s">
        <v>16</v>
      </c>
      <c r="E425">
        <v>27.9</v>
      </c>
      <c r="F425">
        <v>25.63</v>
      </c>
      <c r="G425">
        <v>5.55</v>
      </c>
      <c r="H425" t="s">
        <v>21</v>
      </c>
      <c r="I425" t="s">
        <v>22</v>
      </c>
      <c r="J425" t="s">
        <v>26</v>
      </c>
      <c r="K425">
        <v>7</v>
      </c>
      <c r="L425" t="s">
        <v>29</v>
      </c>
    </row>
    <row r="426" spans="1:12" x14ac:dyDescent="0.25">
      <c r="A426">
        <v>425</v>
      </c>
      <c r="B426">
        <v>20</v>
      </c>
      <c r="C426" t="s">
        <v>13</v>
      </c>
      <c r="D426" t="s">
        <v>17</v>
      </c>
      <c r="E426">
        <v>14.12</v>
      </c>
      <c r="F426">
        <v>7.7</v>
      </c>
      <c r="G426">
        <v>31.78</v>
      </c>
      <c r="H426" t="s">
        <v>19</v>
      </c>
      <c r="I426" t="s">
        <v>23</v>
      </c>
      <c r="J426" t="s">
        <v>28</v>
      </c>
      <c r="K426">
        <v>24</v>
      </c>
      <c r="L426" t="s">
        <v>30</v>
      </c>
    </row>
    <row r="427" spans="1:12" x14ac:dyDescent="0.25">
      <c r="A427">
        <v>426</v>
      </c>
      <c r="B427">
        <v>34</v>
      </c>
      <c r="C427" t="s">
        <v>13</v>
      </c>
      <c r="D427" t="s">
        <v>14</v>
      </c>
      <c r="E427">
        <v>20.99</v>
      </c>
      <c r="F427">
        <v>12.23</v>
      </c>
      <c r="G427">
        <v>26.59</v>
      </c>
      <c r="H427" t="s">
        <v>19</v>
      </c>
      <c r="I427" t="s">
        <v>23</v>
      </c>
      <c r="J427" t="s">
        <v>26</v>
      </c>
      <c r="K427">
        <v>22</v>
      </c>
      <c r="L427" t="s">
        <v>29</v>
      </c>
    </row>
    <row r="428" spans="1:12" x14ac:dyDescent="0.25">
      <c r="A428">
        <v>427</v>
      </c>
      <c r="B428">
        <v>50</v>
      </c>
      <c r="C428" t="s">
        <v>13</v>
      </c>
      <c r="D428" t="s">
        <v>15</v>
      </c>
      <c r="E428">
        <v>2.85</v>
      </c>
      <c r="F428">
        <v>8.6</v>
      </c>
      <c r="G428">
        <v>16.72</v>
      </c>
      <c r="H428" t="s">
        <v>20</v>
      </c>
      <c r="I428" t="s">
        <v>24</v>
      </c>
      <c r="J428" t="s">
        <v>26</v>
      </c>
      <c r="K428">
        <v>15</v>
      </c>
      <c r="L428" t="s">
        <v>29</v>
      </c>
    </row>
    <row r="429" spans="1:12" x14ac:dyDescent="0.25">
      <c r="A429">
        <v>428</v>
      </c>
      <c r="B429">
        <v>65</v>
      </c>
      <c r="C429" t="s">
        <v>13</v>
      </c>
      <c r="D429" t="s">
        <v>16</v>
      </c>
      <c r="E429">
        <v>15.82</v>
      </c>
      <c r="F429">
        <v>9.35</v>
      </c>
      <c r="G429">
        <v>7.15</v>
      </c>
      <c r="H429" t="s">
        <v>19</v>
      </c>
      <c r="I429" t="s">
        <v>23</v>
      </c>
      <c r="J429" t="s">
        <v>25</v>
      </c>
      <c r="K429">
        <v>8</v>
      </c>
      <c r="L429" t="s">
        <v>29</v>
      </c>
    </row>
    <row r="430" spans="1:12" x14ac:dyDescent="0.25">
      <c r="A430">
        <v>429</v>
      </c>
      <c r="B430">
        <v>29</v>
      </c>
      <c r="C430" t="s">
        <v>12</v>
      </c>
      <c r="D430" t="s">
        <v>16</v>
      </c>
      <c r="E430">
        <v>11.87</v>
      </c>
      <c r="F430">
        <v>17.98</v>
      </c>
      <c r="G430">
        <v>1.43</v>
      </c>
      <c r="H430" t="s">
        <v>21</v>
      </c>
      <c r="I430" t="s">
        <v>23</v>
      </c>
      <c r="J430" t="s">
        <v>26</v>
      </c>
      <c r="K430">
        <v>31</v>
      </c>
      <c r="L430" t="s">
        <v>29</v>
      </c>
    </row>
    <row r="431" spans="1:12" x14ac:dyDescent="0.25">
      <c r="A431">
        <v>430</v>
      </c>
      <c r="B431">
        <v>76</v>
      </c>
      <c r="C431" t="s">
        <v>12</v>
      </c>
      <c r="D431" t="s">
        <v>15</v>
      </c>
      <c r="E431">
        <v>2.76</v>
      </c>
      <c r="F431">
        <v>3.8</v>
      </c>
      <c r="G431">
        <v>1.84</v>
      </c>
      <c r="H431" t="s">
        <v>20</v>
      </c>
      <c r="I431" t="s">
        <v>22</v>
      </c>
      <c r="J431" t="s">
        <v>25</v>
      </c>
      <c r="K431">
        <v>35</v>
      </c>
      <c r="L431" t="s">
        <v>29</v>
      </c>
    </row>
    <row r="432" spans="1:12" x14ac:dyDescent="0.25">
      <c r="A432">
        <v>431</v>
      </c>
      <c r="B432">
        <v>68</v>
      </c>
      <c r="C432" t="s">
        <v>13</v>
      </c>
      <c r="D432" t="s">
        <v>15</v>
      </c>
      <c r="E432">
        <v>16.170000000000002</v>
      </c>
      <c r="F432">
        <v>2.37</v>
      </c>
      <c r="G432">
        <v>7.58</v>
      </c>
      <c r="H432" t="s">
        <v>20</v>
      </c>
      <c r="I432" t="s">
        <v>22</v>
      </c>
      <c r="J432" t="s">
        <v>27</v>
      </c>
      <c r="K432">
        <v>3</v>
      </c>
      <c r="L432" t="s">
        <v>29</v>
      </c>
    </row>
    <row r="433" spans="1:12" x14ac:dyDescent="0.25">
      <c r="A433">
        <v>432</v>
      </c>
      <c r="B433">
        <v>39</v>
      </c>
      <c r="C433" t="s">
        <v>12</v>
      </c>
      <c r="D433" t="s">
        <v>16</v>
      </c>
      <c r="E433">
        <v>16.54</v>
      </c>
      <c r="F433">
        <v>20.64</v>
      </c>
      <c r="G433">
        <v>26.72</v>
      </c>
      <c r="H433" t="s">
        <v>18</v>
      </c>
      <c r="I433" t="s">
        <v>24</v>
      </c>
      <c r="J433" t="s">
        <v>25</v>
      </c>
      <c r="K433">
        <v>9</v>
      </c>
      <c r="L433" t="s">
        <v>30</v>
      </c>
    </row>
    <row r="434" spans="1:12" x14ac:dyDescent="0.25">
      <c r="A434">
        <v>433</v>
      </c>
      <c r="B434">
        <v>72</v>
      </c>
      <c r="C434" t="s">
        <v>13</v>
      </c>
      <c r="D434" t="s">
        <v>16</v>
      </c>
      <c r="E434">
        <v>21.98</v>
      </c>
      <c r="F434">
        <v>6.42</v>
      </c>
      <c r="G434">
        <v>8.2100000000000009</v>
      </c>
      <c r="H434" t="s">
        <v>21</v>
      </c>
      <c r="I434" t="s">
        <v>23</v>
      </c>
      <c r="J434" t="s">
        <v>26</v>
      </c>
      <c r="K434">
        <v>24</v>
      </c>
      <c r="L434" t="s">
        <v>29</v>
      </c>
    </row>
    <row r="435" spans="1:12" x14ac:dyDescent="0.25">
      <c r="A435">
        <v>434</v>
      </c>
      <c r="B435">
        <v>39</v>
      </c>
      <c r="C435" t="s">
        <v>13</v>
      </c>
      <c r="D435" t="s">
        <v>15</v>
      </c>
      <c r="E435">
        <v>34.880000000000003</v>
      </c>
      <c r="F435">
        <v>7.28</v>
      </c>
      <c r="G435">
        <v>4.2699999999999996</v>
      </c>
      <c r="H435" t="s">
        <v>19</v>
      </c>
      <c r="I435" t="s">
        <v>24</v>
      </c>
      <c r="J435" t="s">
        <v>26</v>
      </c>
      <c r="K435">
        <v>34</v>
      </c>
      <c r="L435" t="s">
        <v>29</v>
      </c>
    </row>
    <row r="436" spans="1:12" x14ac:dyDescent="0.25">
      <c r="A436">
        <v>435</v>
      </c>
      <c r="B436">
        <v>63</v>
      </c>
      <c r="C436" t="s">
        <v>12</v>
      </c>
      <c r="D436" t="s">
        <v>16</v>
      </c>
      <c r="E436">
        <v>31.5</v>
      </c>
      <c r="F436">
        <v>43.72</v>
      </c>
      <c r="G436">
        <v>4.51</v>
      </c>
      <c r="H436" t="s">
        <v>18</v>
      </c>
      <c r="I436" t="s">
        <v>22</v>
      </c>
      <c r="J436" t="s">
        <v>26</v>
      </c>
      <c r="K436">
        <v>16</v>
      </c>
      <c r="L436" t="s">
        <v>29</v>
      </c>
    </row>
    <row r="437" spans="1:12" x14ac:dyDescent="0.25">
      <c r="A437">
        <v>436</v>
      </c>
      <c r="B437">
        <v>47</v>
      </c>
      <c r="C437" t="s">
        <v>13</v>
      </c>
      <c r="D437" t="s">
        <v>17</v>
      </c>
      <c r="E437">
        <v>12.48</v>
      </c>
      <c r="F437">
        <v>17.36</v>
      </c>
      <c r="G437">
        <v>26.35</v>
      </c>
      <c r="H437" t="s">
        <v>21</v>
      </c>
      <c r="I437" t="s">
        <v>22</v>
      </c>
      <c r="J437" t="s">
        <v>26</v>
      </c>
      <c r="K437">
        <v>26</v>
      </c>
      <c r="L437" t="s">
        <v>29</v>
      </c>
    </row>
    <row r="438" spans="1:12" x14ac:dyDescent="0.25">
      <c r="A438">
        <v>437</v>
      </c>
      <c r="B438">
        <v>55</v>
      </c>
      <c r="C438" t="s">
        <v>13</v>
      </c>
      <c r="D438" t="s">
        <v>16</v>
      </c>
      <c r="E438">
        <v>19.61</v>
      </c>
      <c r="F438">
        <v>4.6900000000000004</v>
      </c>
      <c r="G438">
        <v>7.71</v>
      </c>
      <c r="H438" t="s">
        <v>21</v>
      </c>
      <c r="I438" t="s">
        <v>23</v>
      </c>
      <c r="J438" t="s">
        <v>26</v>
      </c>
      <c r="K438">
        <v>21</v>
      </c>
      <c r="L438" t="s">
        <v>29</v>
      </c>
    </row>
    <row r="439" spans="1:12" x14ac:dyDescent="0.25">
      <c r="A439">
        <v>438</v>
      </c>
      <c r="B439">
        <v>55</v>
      </c>
      <c r="C439" t="s">
        <v>13</v>
      </c>
      <c r="D439" t="s">
        <v>15</v>
      </c>
      <c r="E439">
        <v>24.04</v>
      </c>
      <c r="F439">
        <v>21.63</v>
      </c>
      <c r="G439">
        <v>25.33</v>
      </c>
      <c r="H439" t="s">
        <v>20</v>
      </c>
      <c r="I439" t="s">
        <v>23</v>
      </c>
      <c r="J439" t="s">
        <v>26</v>
      </c>
      <c r="K439">
        <v>29</v>
      </c>
      <c r="L439" t="s">
        <v>29</v>
      </c>
    </row>
    <row r="440" spans="1:12" x14ac:dyDescent="0.25">
      <c r="A440">
        <v>439</v>
      </c>
      <c r="B440">
        <v>62</v>
      </c>
      <c r="C440" t="s">
        <v>13</v>
      </c>
      <c r="D440" t="s">
        <v>14</v>
      </c>
      <c r="E440">
        <v>12.74</v>
      </c>
      <c r="F440">
        <v>17.64</v>
      </c>
      <c r="G440">
        <v>4.0599999999999996</v>
      </c>
      <c r="H440" t="s">
        <v>20</v>
      </c>
      <c r="I440" t="s">
        <v>22</v>
      </c>
      <c r="J440" t="s">
        <v>26</v>
      </c>
      <c r="K440">
        <v>25</v>
      </c>
      <c r="L440" t="s">
        <v>29</v>
      </c>
    </row>
    <row r="441" spans="1:12" x14ac:dyDescent="0.25">
      <c r="A441">
        <v>440</v>
      </c>
      <c r="B441">
        <v>68</v>
      </c>
      <c r="C441" t="s">
        <v>12</v>
      </c>
      <c r="D441" t="s">
        <v>15</v>
      </c>
      <c r="E441">
        <v>5.07</v>
      </c>
      <c r="F441">
        <v>0.14000000000000001</v>
      </c>
      <c r="G441">
        <v>4.71</v>
      </c>
      <c r="H441" t="s">
        <v>21</v>
      </c>
      <c r="I441" t="s">
        <v>24</v>
      </c>
      <c r="J441" t="s">
        <v>26</v>
      </c>
      <c r="K441">
        <v>23</v>
      </c>
      <c r="L441" t="s">
        <v>29</v>
      </c>
    </row>
    <row r="442" spans="1:12" x14ac:dyDescent="0.25">
      <c r="A442">
        <v>441</v>
      </c>
      <c r="B442">
        <v>71</v>
      </c>
      <c r="C442" t="s">
        <v>13</v>
      </c>
      <c r="D442" t="s">
        <v>17</v>
      </c>
      <c r="E442">
        <v>14.99</v>
      </c>
      <c r="F442">
        <v>11.22</v>
      </c>
      <c r="G442">
        <v>6.41</v>
      </c>
      <c r="H442" t="s">
        <v>18</v>
      </c>
      <c r="I442" t="s">
        <v>22</v>
      </c>
      <c r="J442" t="s">
        <v>27</v>
      </c>
      <c r="K442">
        <v>31</v>
      </c>
      <c r="L442" t="s">
        <v>29</v>
      </c>
    </row>
    <row r="443" spans="1:12" x14ac:dyDescent="0.25">
      <c r="A443">
        <v>442</v>
      </c>
      <c r="B443">
        <v>25</v>
      </c>
      <c r="C443" t="s">
        <v>13</v>
      </c>
      <c r="D443" t="s">
        <v>15</v>
      </c>
      <c r="E443">
        <v>35.78</v>
      </c>
      <c r="F443">
        <v>3.98</v>
      </c>
      <c r="G443">
        <v>13.24</v>
      </c>
      <c r="H443" t="s">
        <v>20</v>
      </c>
      <c r="I443" t="s">
        <v>23</v>
      </c>
      <c r="J443" t="s">
        <v>26</v>
      </c>
      <c r="K443">
        <v>3</v>
      </c>
      <c r="L443" t="s">
        <v>30</v>
      </c>
    </row>
    <row r="444" spans="1:12" x14ac:dyDescent="0.25">
      <c r="A444">
        <v>443</v>
      </c>
      <c r="B444">
        <v>44</v>
      </c>
      <c r="C444" t="s">
        <v>13</v>
      </c>
      <c r="D444" t="s">
        <v>15</v>
      </c>
      <c r="E444">
        <v>4.8499999999999996</v>
      </c>
      <c r="F444">
        <v>9.33</v>
      </c>
      <c r="G444">
        <v>15.51</v>
      </c>
      <c r="H444" t="s">
        <v>20</v>
      </c>
      <c r="I444" t="s">
        <v>23</v>
      </c>
      <c r="J444" t="s">
        <v>26</v>
      </c>
      <c r="K444">
        <v>33</v>
      </c>
      <c r="L444" t="s">
        <v>29</v>
      </c>
    </row>
    <row r="445" spans="1:12" x14ac:dyDescent="0.25">
      <c r="A445">
        <v>444</v>
      </c>
      <c r="B445">
        <v>44</v>
      </c>
      <c r="C445" t="s">
        <v>12</v>
      </c>
      <c r="D445" t="s">
        <v>17</v>
      </c>
      <c r="E445">
        <v>8.1300000000000008</v>
      </c>
      <c r="F445">
        <v>38.76</v>
      </c>
      <c r="G445">
        <v>5.2</v>
      </c>
      <c r="H445" t="s">
        <v>21</v>
      </c>
      <c r="I445" t="s">
        <v>22</v>
      </c>
      <c r="J445" t="s">
        <v>25</v>
      </c>
      <c r="K445">
        <v>29</v>
      </c>
      <c r="L445" t="s">
        <v>29</v>
      </c>
    </row>
    <row r="446" spans="1:12" x14ac:dyDescent="0.25">
      <c r="A446">
        <v>445</v>
      </c>
      <c r="B446">
        <v>51</v>
      </c>
      <c r="C446" t="s">
        <v>13</v>
      </c>
      <c r="D446" t="s">
        <v>15</v>
      </c>
      <c r="E446">
        <v>9.58</v>
      </c>
      <c r="F446">
        <v>18.510000000000002</v>
      </c>
      <c r="G446">
        <v>5.75</v>
      </c>
      <c r="H446" t="s">
        <v>21</v>
      </c>
      <c r="I446" t="s">
        <v>22</v>
      </c>
      <c r="J446" t="s">
        <v>25</v>
      </c>
      <c r="K446">
        <v>29</v>
      </c>
      <c r="L446" t="s">
        <v>29</v>
      </c>
    </row>
    <row r="447" spans="1:12" x14ac:dyDescent="0.25">
      <c r="A447">
        <v>446</v>
      </c>
      <c r="B447">
        <v>38</v>
      </c>
      <c r="C447" t="s">
        <v>12</v>
      </c>
      <c r="D447" t="s">
        <v>14</v>
      </c>
      <c r="E447">
        <v>8.2100000000000009</v>
      </c>
      <c r="F447">
        <v>20.260000000000002</v>
      </c>
      <c r="G447">
        <v>2.52</v>
      </c>
      <c r="H447" t="s">
        <v>20</v>
      </c>
      <c r="I447" t="s">
        <v>23</v>
      </c>
      <c r="J447" t="s">
        <v>26</v>
      </c>
      <c r="K447">
        <v>17</v>
      </c>
      <c r="L447" t="s">
        <v>29</v>
      </c>
    </row>
    <row r="448" spans="1:12" x14ac:dyDescent="0.25">
      <c r="A448">
        <v>447</v>
      </c>
      <c r="B448">
        <v>47</v>
      </c>
      <c r="C448" t="s">
        <v>12</v>
      </c>
      <c r="D448" t="s">
        <v>15</v>
      </c>
      <c r="E448">
        <v>27.01</v>
      </c>
      <c r="F448">
        <v>8.6199999999999992</v>
      </c>
      <c r="G448">
        <v>2.44</v>
      </c>
      <c r="H448" t="s">
        <v>18</v>
      </c>
      <c r="I448" t="s">
        <v>23</v>
      </c>
      <c r="J448" t="s">
        <v>25</v>
      </c>
      <c r="K448">
        <v>27</v>
      </c>
      <c r="L448" t="s">
        <v>29</v>
      </c>
    </row>
    <row r="449" spans="1:12" x14ac:dyDescent="0.25">
      <c r="A449">
        <v>448</v>
      </c>
      <c r="B449">
        <v>50</v>
      </c>
      <c r="C449" t="s">
        <v>13</v>
      </c>
      <c r="D449" t="s">
        <v>17</v>
      </c>
      <c r="E449">
        <v>10.92</v>
      </c>
      <c r="F449">
        <v>20.32</v>
      </c>
      <c r="G449">
        <v>4.3600000000000003</v>
      </c>
      <c r="H449" t="s">
        <v>20</v>
      </c>
      <c r="I449" t="s">
        <v>23</v>
      </c>
      <c r="J449" t="s">
        <v>26</v>
      </c>
      <c r="K449">
        <v>17</v>
      </c>
      <c r="L449" t="s">
        <v>29</v>
      </c>
    </row>
    <row r="450" spans="1:12" x14ac:dyDescent="0.25">
      <c r="A450">
        <v>449</v>
      </c>
      <c r="B450">
        <v>45</v>
      </c>
      <c r="C450" t="s">
        <v>13</v>
      </c>
      <c r="D450" t="s">
        <v>15</v>
      </c>
      <c r="E450">
        <v>27.46</v>
      </c>
      <c r="F450">
        <v>5.39</v>
      </c>
      <c r="G450">
        <v>23.76</v>
      </c>
      <c r="H450" t="s">
        <v>21</v>
      </c>
      <c r="I450" t="s">
        <v>22</v>
      </c>
      <c r="J450" t="s">
        <v>26</v>
      </c>
      <c r="K450">
        <v>21</v>
      </c>
      <c r="L450" t="s">
        <v>29</v>
      </c>
    </row>
    <row r="451" spans="1:12" x14ac:dyDescent="0.25">
      <c r="A451">
        <v>450</v>
      </c>
      <c r="B451">
        <v>64</v>
      </c>
      <c r="C451" t="s">
        <v>12</v>
      </c>
      <c r="D451" t="s">
        <v>15</v>
      </c>
      <c r="E451">
        <v>17.86</v>
      </c>
      <c r="F451">
        <v>11.11</v>
      </c>
      <c r="G451">
        <v>4.3</v>
      </c>
      <c r="H451" t="s">
        <v>20</v>
      </c>
      <c r="I451" t="s">
        <v>22</v>
      </c>
      <c r="J451" t="s">
        <v>27</v>
      </c>
      <c r="K451">
        <v>13</v>
      </c>
      <c r="L451" t="s">
        <v>29</v>
      </c>
    </row>
    <row r="452" spans="1:12" x14ac:dyDescent="0.25">
      <c r="A452">
        <v>451</v>
      </c>
      <c r="B452">
        <v>50</v>
      </c>
      <c r="C452" t="s">
        <v>13</v>
      </c>
      <c r="D452" t="s">
        <v>15</v>
      </c>
      <c r="E452">
        <v>3.83</v>
      </c>
      <c r="F452">
        <v>17.920000000000002</v>
      </c>
      <c r="G452">
        <v>9.98</v>
      </c>
      <c r="H452" t="s">
        <v>21</v>
      </c>
      <c r="I452" t="s">
        <v>24</v>
      </c>
      <c r="J452" t="s">
        <v>27</v>
      </c>
      <c r="K452">
        <v>35</v>
      </c>
      <c r="L452" t="s">
        <v>30</v>
      </c>
    </row>
    <row r="453" spans="1:12" x14ac:dyDescent="0.25">
      <c r="A453">
        <v>452</v>
      </c>
      <c r="B453">
        <v>22</v>
      </c>
      <c r="C453" t="s">
        <v>12</v>
      </c>
      <c r="D453" t="s">
        <v>17</v>
      </c>
      <c r="E453">
        <v>12.95</v>
      </c>
      <c r="F453">
        <v>17.54</v>
      </c>
      <c r="G453">
        <v>7.06</v>
      </c>
      <c r="H453" t="s">
        <v>20</v>
      </c>
      <c r="I453" t="s">
        <v>22</v>
      </c>
      <c r="J453" t="s">
        <v>25</v>
      </c>
      <c r="K453">
        <v>25</v>
      </c>
      <c r="L453" t="s">
        <v>29</v>
      </c>
    </row>
    <row r="454" spans="1:12" x14ac:dyDescent="0.25">
      <c r="A454">
        <v>453</v>
      </c>
      <c r="B454">
        <v>77</v>
      </c>
      <c r="C454" t="s">
        <v>12</v>
      </c>
      <c r="D454" t="s">
        <v>17</v>
      </c>
      <c r="E454">
        <v>32.08</v>
      </c>
      <c r="F454">
        <v>2.5299999999999998</v>
      </c>
      <c r="G454">
        <v>4.03</v>
      </c>
      <c r="H454" t="s">
        <v>21</v>
      </c>
      <c r="I454" t="s">
        <v>23</v>
      </c>
      <c r="J454" t="s">
        <v>25</v>
      </c>
      <c r="K454">
        <v>14</v>
      </c>
      <c r="L454" t="s">
        <v>29</v>
      </c>
    </row>
    <row r="455" spans="1:12" x14ac:dyDescent="0.25">
      <c r="A455">
        <v>454</v>
      </c>
      <c r="B455">
        <v>78</v>
      </c>
      <c r="C455" t="s">
        <v>13</v>
      </c>
      <c r="D455" t="s">
        <v>17</v>
      </c>
      <c r="E455">
        <v>19.22</v>
      </c>
      <c r="F455">
        <v>33.32</v>
      </c>
      <c r="G455">
        <v>14.18</v>
      </c>
      <c r="H455" t="s">
        <v>21</v>
      </c>
      <c r="I455" t="s">
        <v>22</v>
      </c>
      <c r="J455" t="s">
        <v>27</v>
      </c>
      <c r="K455">
        <v>4</v>
      </c>
      <c r="L455" t="s">
        <v>29</v>
      </c>
    </row>
    <row r="456" spans="1:12" x14ac:dyDescent="0.25">
      <c r="A456">
        <v>455</v>
      </c>
      <c r="B456">
        <v>65</v>
      </c>
      <c r="C456" t="s">
        <v>13</v>
      </c>
      <c r="D456" t="s">
        <v>17</v>
      </c>
      <c r="E456">
        <v>13.66</v>
      </c>
      <c r="F456">
        <v>4.51</v>
      </c>
      <c r="G456">
        <v>5.89</v>
      </c>
      <c r="H456" t="s">
        <v>18</v>
      </c>
      <c r="I456" t="s">
        <v>24</v>
      </c>
      <c r="J456" t="s">
        <v>28</v>
      </c>
      <c r="K456">
        <v>23</v>
      </c>
      <c r="L456" t="s">
        <v>29</v>
      </c>
    </row>
    <row r="457" spans="1:12" x14ac:dyDescent="0.25">
      <c r="A457">
        <v>456</v>
      </c>
      <c r="B457">
        <v>36</v>
      </c>
      <c r="C457" t="s">
        <v>12</v>
      </c>
      <c r="D457" t="s">
        <v>17</v>
      </c>
      <c r="E457">
        <v>36.04</v>
      </c>
      <c r="F457">
        <v>48.84</v>
      </c>
      <c r="G457">
        <v>17.309999999999999</v>
      </c>
      <c r="H457" t="s">
        <v>21</v>
      </c>
      <c r="I457" t="s">
        <v>24</v>
      </c>
      <c r="J457" t="s">
        <v>26</v>
      </c>
      <c r="K457">
        <v>16</v>
      </c>
      <c r="L457" t="s">
        <v>29</v>
      </c>
    </row>
    <row r="458" spans="1:12" x14ac:dyDescent="0.25">
      <c r="A458">
        <v>457</v>
      </c>
      <c r="B458">
        <v>21</v>
      </c>
      <c r="C458" t="s">
        <v>12</v>
      </c>
      <c r="D458" t="s">
        <v>15</v>
      </c>
      <c r="E458">
        <v>7.49</v>
      </c>
      <c r="F458">
        <v>18.3</v>
      </c>
      <c r="G458">
        <v>17.66</v>
      </c>
      <c r="H458" t="s">
        <v>20</v>
      </c>
      <c r="I458" t="s">
        <v>24</v>
      </c>
      <c r="J458" t="s">
        <v>25</v>
      </c>
      <c r="K458">
        <v>17</v>
      </c>
      <c r="L458" t="s">
        <v>30</v>
      </c>
    </row>
    <row r="459" spans="1:12" x14ac:dyDescent="0.25">
      <c r="A459">
        <v>458</v>
      </c>
      <c r="B459">
        <v>52</v>
      </c>
      <c r="C459" t="s">
        <v>12</v>
      </c>
      <c r="D459" t="s">
        <v>17</v>
      </c>
      <c r="E459">
        <v>11.22</v>
      </c>
      <c r="F459">
        <v>17.22</v>
      </c>
      <c r="G459">
        <v>6.09</v>
      </c>
      <c r="H459" t="s">
        <v>21</v>
      </c>
      <c r="I459" t="s">
        <v>23</v>
      </c>
      <c r="J459" t="s">
        <v>26</v>
      </c>
      <c r="K459">
        <v>23</v>
      </c>
      <c r="L459" t="s">
        <v>29</v>
      </c>
    </row>
    <row r="460" spans="1:12" x14ac:dyDescent="0.25">
      <c r="A460">
        <v>459</v>
      </c>
      <c r="B460">
        <v>66</v>
      </c>
      <c r="C460" t="s">
        <v>12</v>
      </c>
      <c r="D460" t="s">
        <v>14</v>
      </c>
      <c r="E460">
        <v>30.25</v>
      </c>
      <c r="F460">
        <v>4.87</v>
      </c>
      <c r="G460">
        <v>15.78</v>
      </c>
      <c r="H460" t="s">
        <v>19</v>
      </c>
      <c r="I460" t="s">
        <v>22</v>
      </c>
      <c r="J460" t="s">
        <v>26</v>
      </c>
      <c r="K460">
        <v>25</v>
      </c>
      <c r="L460" t="s">
        <v>29</v>
      </c>
    </row>
    <row r="461" spans="1:12" x14ac:dyDescent="0.25">
      <c r="A461">
        <v>460</v>
      </c>
      <c r="B461">
        <v>34</v>
      </c>
      <c r="C461" t="s">
        <v>13</v>
      </c>
      <c r="D461" t="s">
        <v>17</v>
      </c>
      <c r="E461">
        <v>26.66</v>
      </c>
      <c r="F461">
        <v>6.65</v>
      </c>
      <c r="G461">
        <v>15.73</v>
      </c>
      <c r="H461" t="s">
        <v>20</v>
      </c>
      <c r="I461" t="s">
        <v>24</v>
      </c>
      <c r="J461" t="s">
        <v>26</v>
      </c>
      <c r="K461">
        <v>23</v>
      </c>
      <c r="L461" t="s">
        <v>29</v>
      </c>
    </row>
    <row r="462" spans="1:12" x14ac:dyDescent="0.25">
      <c r="A462">
        <v>461</v>
      </c>
      <c r="B462">
        <v>61</v>
      </c>
      <c r="C462" t="s">
        <v>13</v>
      </c>
      <c r="D462" t="s">
        <v>16</v>
      </c>
      <c r="E462">
        <v>6.99</v>
      </c>
      <c r="F462">
        <v>31.55</v>
      </c>
      <c r="G462">
        <v>7.42</v>
      </c>
      <c r="H462" t="s">
        <v>18</v>
      </c>
      <c r="I462" t="s">
        <v>22</v>
      </c>
      <c r="J462" t="s">
        <v>25</v>
      </c>
      <c r="K462">
        <v>16</v>
      </c>
      <c r="L462" t="s">
        <v>30</v>
      </c>
    </row>
    <row r="463" spans="1:12" x14ac:dyDescent="0.25">
      <c r="A463">
        <v>462</v>
      </c>
      <c r="B463">
        <v>45</v>
      </c>
      <c r="C463" t="s">
        <v>13</v>
      </c>
      <c r="D463" t="s">
        <v>15</v>
      </c>
      <c r="E463">
        <v>23.52</v>
      </c>
      <c r="F463">
        <v>28.86</v>
      </c>
      <c r="G463">
        <v>6.69</v>
      </c>
      <c r="H463" t="s">
        <v>20</v>
      </c>
      <c r="I463" t="s">
        <v>23</v>
      </c>
      <c r="J463" t="s">
        <v>27</v>
      </c>
      <c r="K463">
        <v>23</v>
      </c>
      <c r="L463" t="s">
        <v>29</v>
      </c>
    </row>
    <row r="464" spans="1:12" x14ac:dyDescent="0.25">
      <c r="A464">
        <v>463</v>
      </c>
      <c r="B464">
        <v>47</v>
      </c>
      <c r="C464" t="s">
        <v>13</v>
      </c>
      <c r="D464" t="s">
        <v>16</v>
      </c>
      <c r="E464">
        <v>10.79</v>
      </c>
      <c r="F464">
        <v>8.81</v>
      </c>
      <c r="G464">
        <v>11.77</v>
      </c>
      <c r="H464" t="s">
        <v>18</v>
      </c>
      <c r="I464" t="s">
        <v>24</v>
      </c>
      <c r="J464" t="s">
        <v>27</v>
      </c>
      <c r="K464">
        <v>14</v>
      </c>
      <c r="L464" t="s">
        <v>29</v>
      </c>
    </row>
    <row r="465" spans="1:12" x14ac:dyDescent="0.25">
      <c r="A465">
        <v>464</v>
      </c>
      <c r="B465">
        <v>46</v>
      </c>
      <c r="C465" t="s">
        <v>13</v>
      </c>
      <c r="D465" t="s">
        <v>16</v>
      </c>
      <c r="E465">
        <v>2.62</v>
      </c>
      <c r="F465">
        <v>8.23</v>
      </c>
      <c r="G465">
        <v>30.27</v>
      </c>
      <c r="H465" t="s">
        <v>19</v>
      </c>
      <c r="I465" t="s">
        <v>22</v>
      </c>
      <c r="J465" t="s">
        <v>26</v>
      </c>
      <c r="K465">
        <v>7</v>
      </c>
      <c r="L465" t="s">
        <v>29</v>
      </c>
    </row>
    <row r="466" spans="1:12" x14ac:dyDescent="0.25">
      <c r="A466">
        <v>465</v>
      </c>
      <c r="B466">
        <v>63</v>
      </c>
      <c r="C466" t="s">
        <v>12</v>
      </c>
      <c r="D466" t="s">
        <v>17</v>
      </c>
      <c r="E466">
        <v>13.86</v>
      </c>
      <c r="F466">
        <v>8.42</v>
      </c>
      <c r="G466">
        <v>19.920000000000002</v>
      </c>
      <c r="H466" t="s">
        <v>18</v>
      </c>
      <c r="I466" t="s">
        <v>23</v>
      </c>
      <c r="J466" t="s">
        <v>26</v>
      </c>
      <c r="K466">
        <v>4</v>
      </c>
      <c r="L466" t="s">
        <v>29</v>
      </c>
    </row>
    <row r="467" spans="1:12" x14ac:dyDescent="0.25">
      <c r="A467">
        <v>466</v>
      </c>
      <c r="B467">
        <v>70</v>
      </c>
      <c r="C467" t="s">
        <v>13</v>
      </c>
      <c r="D467" t="s">
        <v>14</v>
      </c>
      <c r="E467">
        <v>51.89</v>
      </c>
      <c r="F467">
        <v>21.73</v>
      </c>
      <c r="G467">
        <v>9.81</v>
      </c>
      <c r="H467" t="s">
        <v>21</v>
      </c>
      <c r="I467" t="s">
        <v>23</v>
      </c>
      <c r="J467" t="s">
        <v>26</v>
      </c>
      <c r="K467">
        <v>24</v>
      </c>
      <c r="L467" t="s">
        <v>30</v>
      </c>
    </row>
    <row r="468" spans="1:12" x14ac:dyDescent="0.25">
      <c r="A468">
        <v>467</v>
      </c>
      <c r="B468">
        <v>23</v>
      </c>
      <c r="C468" t="s">
        <v>13</v>
      </c>
      <c r="D468" t="s">
        <v>15</v>
      </c>
      <c r="E468">
        <v>32.42</v>
      </c>
      <c r="F468">
        <v>20.309999999999999</v>
      </c>
      <c r="G468">
        <v>1.43</v>
      </c>
      <c r="H468" t="s">
        <v>19</v>
      </c>
      <c r="I468" t="s">
        <v>22</v>
      </c>
      <c r="J468" t="s">
        <v>26</v>
      </c>
      <c r="K468">
        <v>8</v>
      </c>
      <c r="L468" t="s">
        <v>29</v>
      </c>
    </row>
    <row r="469" spans="1:12" x14ac:dyDescent="0.25">
      <c r="A469">
        <v>468</v>
      </c>
      <c r="B469">
        <v>52</v>
      </c>
      <c r="C469" t="s">
        <v>13</v>
      </c>
      <c r="D469" t="s">
        <v>15</v>
      </c>
      <c r="E469">
        <v>16.78</v>
      </c>
      <c r="F469">
        <v>13.32</v>
      </c>
      <c r="G469">
        <v>9.08</v>
      </c>
      <c r="H469" t="s">
        <v>19</v>
      </c>
      <c r="I469" t="s">
        <v>23</v>
      </c>
      <c r="J469" t="s">
        <v>27</v>
      </c>
      <c r="K469">
        <v>4</v>
      </c>
      <c r="L469" t="s">
        <v>29</v>
      </c>
    </row>
    <row r="470" spans="1:12" x14ac:dyDescent="0.25">
      <c r="A470">
        <v>469</v>
      </c>
      <c r="B470">
        <v>77</v>
      </c>
      <c r="C470" t="s">
        <v>13</v>
      </c>
      <c r="D470" t="s">
        <v>16</v>
      </c>
      <c r="E470">
        <v>4.58</v>
      </c>
      <c r="F470">
        <v>11.2</v>
      </c>
      <c r="G470">
        <v>1.4</v>
      </c>
      <c r="H470" t="s">
        <v>18</v>
      </c>
      <c r="I470" t="s">
        <v>23</v>
      </c>
      <c r="J470" t="s">
        <v>26</v>
      </c>
      <c r="K470">
        <v>31</v>
      </c>
      <c r="L470" t="s">
        <v>29</v>
      </c>
    </row>
    <row r="471" spans="1:12" x14ac:dyDescent="0.25">
      <c r="A471">
        <v>470</v>
      </c>
      <c r="B471">
        <v>58</v>
      </c>
      <c r="C471" t="s">
        <v>13</v>
      </c>
      <c r="D471" t="s">
        <v>14</v>
      </c>
      <c r="E471">
        <v>2.71</v>
      </c>
      <c r="F471">
        <v>8.73</v>
      </c>
      <c r="G471">
        <v>2.14</v>
      </c>
      <c r="H471" t="s">
        <v>20</v>
      </c>
      <c r="I471" t="s">
        <v>22</v>
      </c>
      <c r="J471" t="s">
        <v>25</v>
      </c>
      <c r="K471">
        <v>9</v>
      </c>
      <c r="L471" t="s">
        <v>29</v>
      </c>
    </row>
    <row r="472" spans="1:12" x14ac:dyDescent="0.25">
      <c r="A472">
        <v>471</v>
      </c>
      <c r="B472">
        <v>54</v>
      </c>
      <c r="C472" t="s">
        <v>12</v>
      </c>
      <c r="D472" t="s">
        <v>15</v>
      </c>
      <c r="E472">
        <v>17.899999999999999</v>
      </c>
      <c r="F472">
        <v>46.33</v>
      </c>
      <c r="G472">
        <v>4.8600000000000003</v>
      </c>
      <c r="H472" t="s">
        <v>18</v>
      </c>
      <c r="I472" t="s">
        <v>22</v>
      </c>
      <c r="J472" t="s">
        <v>26</v>
      </c>
      <c r="K472">
        <v>18</v>
      </c>
      <c r="L472" t="s">
        <v>29</v>
      </c>
    </row>
    <row r="473" spans="1:12" x14ac:dyDescent="0.25">
      <c r="A473">
        <v>472</v>
      </c>
      <c r="B473">
        <v>41</v>
      </c>
      <c r="C473" t="s">
        <v>12</v>
      </c>
      <c r="D473" t="s">
        <v>15</v>
      </c>
      <c r="E473">
        <v>22.54</v>
      </c>
      <c r="F473">
        <v>2.83</v>
      </c>
      <c r="G473">
        <v>9.99</v>
      </c>
      <c r="H473" t="s">
        <v>18</v>
      </c>
      <c r="I473" t="s">
        <v>22</v>
      </c>
      <c r="J473" t="s">
        <v>26</v>
      </c>
      <c r="K473">
        <v>35</v>
      </c>
      <c r="L473" t="s">
        <v>29</v>
      </c>
    </row>
    <row r="474" spans="1:12" x14ac:dyDescent="0.25">
      <c r="A474">
        <v>473</v>
      </c>
      <c r="B474">
        <v>46</v>
      </c>
      <c r="C474" t="s">
        <v>12</v>
      </c>
      <c r="D474" t="s">
        <v>15</v>
      </c>
      <c r="E474">
        <v>27.2</v>
      </c>
      <c r="F474">
        <v>7.36</v>
      </c>
      <c r="G474">
        <v>5.36</v>
      </c>
      <c r="H474" t="s">
        <v>19</v>
      </c>
      <c r="I474" t="s">
        <v>23</v>
      </c>
      <c r="J474" t="s">
        <v>25</v>
      </c>
      <c r="K474">
        <v>35</v>
      </c>
      <c r="L474" t="s">
        <v>29</v>
      </c>
    </row>
    <row r="475" spans="1:12" x14ac:dyDescent="0.25">
      <c r="A475">
        <v>474</v>
      </c>
      <c r="B475">
        <v>66</v>
      </c>
      <c r="C475" t="s">
        <v>13</v>
      </c>
      <c r="D475" t="s">
        <v>15</v>
      </c>
      <c r="E475">
        <v>25.27</v>
      </c>
      <c r="F475">
        <v>12.65</v>
      </c>
      <c r="G475">
        <v>21.21</v>
      </c>
      <c r="H475" t="s">
        <v>21</v>
      </c>
      <c r="I475" t="s">
        <v>22</v>
      </c>
      <c r="J475" t="s">
        <v>26</v>
      </c>
      <c r="K475">
        <v>16</v>
      </c>
      <c r="L475" t="s">
        <v>30</v>
      </c>
    </row>
    <row r="476" spans="1:12" x14ac:dyDescent="0.25">
      <c r="A476">
        <v>475</v>
      </c>
      <c r="B476">
        <v>63</v>
      </c>
      <c r="C476" t="s">
        <v>12</v>
      </c>
      <c r="D476" t="s">
        <v>16</v>
      </c>
      <c r="E476">
        <v>26.64</v>
      </c>
      <c r="F476">
        <v>2.2799999999999998</v>
      </c>
      <c r="G476">
        <v>9.1300000000000008</v>
      </c>
      <c r="H476" t="s">
        <v>20</v>
      </c>
      <c r="I476" t="s">
        <v>23</v>
      </c>
      <c r="J476" t="s">
        <v>26</v>
      </c>
      <c r="K476">
        <v>14</v>
      </c>
      <c r="L476" t="s">
        <v>29</v>
      </c>
    </row>
    <row r="477" spans="1:12" x14ac:dyDescent="0.25">
      <c r="A477">
        <v>476</v>
      </c>
      <c r="B477">
        <v>70</v>
      </c>
      <c r="C477" t="s">
        <v>12</v>
      </c>
      <c r="D477" t="s">
        <v>17</v>
      </c>
      <c r="E477">
        <v>20.8</v>
      </c>
      <c r="F477">
        <v>6.28</v>
      </c>
      <c r="G477">
        <v>5.55</v>
      </c>
      <c r="H477" t="s">
        <v>18</v>
      </c>
      <c r="I477" t="s">
        <v>23</v>
      </c>
      <c r="J477" t="s">
        <v>26</v>
      </c>
      <c r="K477">
        <v>8</v>
      </c>
      <c r="L477" t="s">
        <v>30</v>
      </c>
    </row>
    <row r="478" spans="1:12" x14ac:dyDescent="0.25">
      <c r="A478">
        <v>477</v>
      </c>
      <c r="B478">
        <v>48</v>
      </c>
      <c r="C478" t="s">
        <v>13</v>
      </c>
      <c r="D478" t="s">
        <v>15</v>
      </c>
      <c r="E478">
        <v>35.57</v>
      </c>
      <c r="F478">
        <v>38.43</v>
      </c>
      <c r="G478">
        <v>14.94</v>
      </c>
      <c r="H478" t="s">
        <v>21</v>
      </c>
      <c r="I478" t="s">
        <v>23</v>
      </c>
      <c r="J478" t="s">
        <v>25</v>
      </c>
      <c r="K478">
        <v>14</v>
      </c>
      <c r="L478" t="s">
        <v>30</v>
      </c>
    </row>
    <row r="479" spans="1:12" x14ac:dyDescent="0.25">
      <c r="A479">
        <v>478</v>
      </c>
      <c r="B479">
        <v>52</v>
      </c>
      <c r="C479" t="s">
        <v>13</v>
      </c>
      <c r="D479" t="s">
        <v>17</v>
      </c>
      <c r="E479">
        <v>11.85</v>
      </c>
      <c r="F479">
        <v>19.38</v>
      </c>
      <c r="G479">
        <v>5.05</v>
      </c>
      <c r="H479" t="s">
        <v>21</v>
      </c>
      <c r="I479" t="s">
        <v>24</v>
      </c>
      <c r="J479" t="s">
        <v>28</v>
      </c>
      <c r="K479">
        <v>33</v>
      </c>
      <c r="L479" t="s">
        <v>30</v>
      </c>
    </row>
    <row r="480" spans="1:12" x14ac:dyDescent="0.25">
      <c r="A480">
        <v>479</v>
      </c>
      <c r="B480">
        <v>77</v>
      </c>
      <c r="C480" t="s">
        <v>13</v>
      </c>
      <c r="D480" t="s">
        <v>15</v>
      </c>
      <c r="E480">
        <v>17.72</v>
      </c>
      <c r="F480">
        <v>6.23</v>
      </c>
      <c r="G480">
        <v>10.17</v>
      </c>
      <c r="H480" t="s">
        <v>20</v>
      </c>
      <c r="I480" t="s">
        <v>23</v>
      </c>
      <c r="J480" t="s">
        <v>27</v>
      </c>
      <c r="K480">
        <v>14</v>
      </c>
      <c r="L480" t="s">
        <v>30</v>
      </c>
    </row>
    <row r="481" spans="1:12" x14ac:dyDescent="0.25">
      <c r="A481">
        <v>480</v>
      </c>
      <c r="B481">
        <v>50</v>
      </c>
      <c r="C481" t="s">
        <v>12</v>
      </c>
      <c r="D481" t="s">
        <v>15</v>
      </c>
      <c r="E481">
        <v>3.85</v>
      </c>
      <c r="F481">
        <v>6.08</v>
      </c>
      <c r="G481">
        <v>0.71</v>
      </c>
      <c r="H481" t="s">
        <v>21</v>
      </c>
      <c r="I481" t="s">
        <v>23</v>
      </c>
      <c r="J481" t="s">
        <v>28</v>
      </c>
      <c r="K481">
        <v>12</v>
      </c>
      <c r="L481" t="s">
        <v>30</v>
      </c>
    </row>
    <row r="482" spans="1:12" x14ac:dyDescent="0.25">
      <c r="A482">
        <v>481</v>
      </c>
      <c r="B482">
        <v>69</v>
      </c>
      <c r="C482" t="s">
        <v>12</v>
      </c>
      <c r="D482" t="s">
        <v>16</v>
      </c>
      <c r="E482">
        <v>11.67</v>
      </c>
      <c r="F482">
        <v>2.85</v>
      </c>
      <c r="G482">
        <v>4.9800000000000004</v>
      </c>
      <c r="H482" t="s">
        <v>18</v>
      </c>
      <c r="I482" t="s">
        <v>23</v>
      </c>
      <c r="J482" t="s">
        <v>27</v>
      </c>
      <c r="K482">
        <v>29</v>
      </c>
      <c r="L482" t="s">
        <v>29</v>
      </c>
    </row>
    <row r="483" spans="1:12" x14ac:dyDescent="0.25">
      <c r="A483">
        <v>482</v>
      </c>
      <c r="B483">
        <v>78</v>
      </c>
      <c r="C483" t="s">
        <v>13</v>
      </c>
      <c r="D483" t="s">
        <v>14</v>
      </c>
      <c r="E483">
        <v>31.88</v>
      </c>
      <c r="F483">
        <v>6.99</v>
      </c>
      <c r="G483">
        <v>20.309999999999999</v>
      </c>
      <c r="H483" t="s">
        <v>19</v>
      </c>
      <c r="I483" t="s">
        <v>22</v>
      </c>
      <c r="J483" t="s">
        <v>27</v>
      </c>
      <c r="K483">
        <v>9</v>
      </c>
      <c r="L483" t="s">
        <v>30</v>
      </c>
    </row>
    <row r="484" spans="1:12" x14ac:dyDescent="0.25">
      <c r="A484">
        <v>483</v>
      </c>
      <c r="B484">
        <v>38</v>
      </c>
      <c r="C484" t="s">
        <v>13</v>
      </c>
      <c r="D484" t="s">
        <v>14</v>
      </c>
      <c r="E484">
        <v>26.11</v>
      </c>
      <c r="F484">
        <v>15.08</v>
      </c>
      <c r="G484">
        <v>12.78</v>
      </c>
      <c r="H484" t="s">
        <v>21</v>
      </c>
      <c r="I484" t="s">
        <v>24</v>
      </c>
      <c r="J484" t="s">
        <v>25</v>
      </c>
      <c r="K484">
        <v>35</v>
      </c>
      <c r="L484" t="s">
        <v>29</v>
      </c>
    </row>
    <row r="485" spans="1:12" x14ac:dyDescent="0.25">
      <c r="A485">
        <v>484</v>
      </c>
      <c r="B485">
        <v>49</v>
      </c>
      <c r="C485" t="s">
        <v>12</v>
      </c>
      <c r="D485" t="s">
        <v>15</v>
      </c>
      <c r="E485">
        <v>1.72</v>
      </c>
      <c r="F485">
        <v>13.27</v>
      </c>
      <c r="G485">
        <v>11</v>
      </c>
      <c r="H485" t="s">
        <v>19</v>
      </c>
      <c r="I485" t="s">
        <v>24</v>
      </c>
      <c r="J485" t="s">
        <v>26</v>
      </c>
      <c r="K485">
        <v>29</v>
      </c>
      <c r="L485" t="s">
        <v>29</v>
      </c>
    </row>
    <row r="486" spans="1:12" x14ac:dyDescent="0.25">
      <c r="A486">
        <v>485</v>
      </c>
      <c r="B486">
        <v>40</v>
      </c>
      <c r="C486" t="s">
        <v>12</v>
      </c>
      <c r="D486" t="s">
        <v>14</v>
      </c>
      <c r="E486">
        <v>54.21</v>
      </c>
      <c r="F486">
        <v>7.3</v>
      </c>
      <c r="G486">
        <v>14.22</v>
      </c>
      <c r="H486" t="s">
        <v>20</v>
      </c>
      <c r="I486" t="s">
        <v>23</v>
      </c>
      <c r="J486" t="s">
        <v>26</v>
      </c>
      <c r="K486">
        <v>10</v>
      </c>
      <c r="L486" t="s">
        <v>30</v>
      </c>
    </row>
    <row r="487" spans="1:12" x14ac:dyDescent="0.25">
      <c r="A487">
        <v>486</v>
      </c>
      <c r="B487">
        <v>50</v>
      </c>
      <c r="C487" t="s">
        <v>13</v>
      </c>
      <c r="D487" t="s">
        <v>16</v>
      </c>
      <c r="E487">
        <v>19.25</v>
      </c>
      <c r="F487">
        <v>4.45</v>
      </c>
      <c r="G487">
        <v>20.43</v>
      </c>
      <c r="H487" t="s">
        <v>20</v>
      </c>
      <c r="I487" t="s">
        <v>23</v>
      </c>
      <c r="J487" t="s">
        <v>27</v>
      </c>
      <c r="K487">
        <v>7</v>
      </c>
      <c r="L487" t="s">
        <v>29</v>
      </c>
    </row>
    <row r="488" spans="1:12" x14ac:dyDescent="0.25">
      <c r="A488">
        <v>487</v>
      </c>
      <c r="B488">
        <v>20</v>
      </c>
      <c r="C488" t="s">
        <v>13</v>
      </c>
      <c r="D488" t="s">
        <v>16</v>
      </c>
      <c r="E488">
        <v>19.489999999999998</v>
      </c>
      <c r="F488">
        <v>8.64</v>
      </c>
      <c r="G488">
        <v>8.99</v>
      </c>
      <c r="H488" t="s">
        <v>21</v>
      </c>
      <c r="I488" t="s">
        <v>23</v>
      </c>
      <c r="J488" t="s">
        <v>26</v>
      </c>
      <c r="K488">
        <v>10</v>
      </c>
      <c r="L488" t="s">
        <v>29</v>
      </c>
    </row>
    <row r="489" spans="1:12" x14ac:dyDescent="0.25">
      <c r="A489">
        <v>488</v>
      </c>
      <c r="B489">
        <v>35</v>
      </c>
      <c r="C489" t="s">
        <v>12</v>
      </c>
      <c r="D489" t="s">
        <v>17</v>
      </c>
      <c r="E489">
        <v>11.12</v>
      </c>
      <c r="F489">
        <v>8.49</v>
      </c>
      <c r="G489">
        <v>6.09</v>
      </c>
      <c r="H489" t="s">
        <v>19</v>
      </c>
      <c r="I489" t="s">
        <v>22</v>
      </c>
      <c r="J489" t="s">
        <v>26</v>
      </c>
      <c r="K489">
        <v>23</v>
      </c>
      <c r="L489" t="s">
        <v>29</v>
      </c>
    </row>
    <row r="490" spans="1:12" x14ac:dyDescent="0.25">
      <c r="A490">
        <v>489</v>
      </c>
      <c r="B490">
        <v>42</v>
      </c>
      <c r="C490" t="s">
        <v>13</v>
      </c>
      <c r="D490" t="s">
        <v>17</v>
      </c>
      <c r="E490">
        <v>12.99</v>
      </c>
      <c r="F490">
        <v>17.670000000000002</v>
      </c>
      <c r="G490">
        <v>15.67</v>
      </c>
      <c r="H490" t="s">
        <v>18</v>
      </c>
      <c r="I490" t="s">
        <v>23</v>
      </c>
      <c r="J490" t="s">
        <v>27</v>
      </c>
      <c r="K490">
        <v>26</v>
      </c>
      <c r="L490" t="s">
        <v>29</v>
      </c>
    </row>
    <row r="491" spans="1:12" x14ac:dyDescent="0.25">
      <c r="A491">
        <v>490</v>
      </c>
      <c r="B491">
        <v>59</v>
      </c>
      <c r="C491" t="s">
        <v>12</v>
      </c>
      <c r="D491" t="s">
        <v>15</v>
      </c>
      <c r="E491">
        <v>19.11</v>
      </c>
      <c r="F491">
        <v>11.9</v>
      </c>
      <c r="G491">
        <v>7.92</v>
      </c>
      <c r="H491" t="s">
        <v>19</v>
      </c>
      <c r="I491" t="s">
        <v>23</v>
      </c>
      <c r="J491" t="s">
        <v>26</v>
      </c>
      <c r="K491">
        <v>9</v>
      </c>
      <c r="L491" t="s">
        <v>29</v>
      </c>
    </row>
    <row r="492" spans="1:12" x14ac:dyDescent="0.25">
      <c r="A492">
        <v>491</v>
      </c>
      <c r="B492">
        <v>48</v>
      </c>
      <c r="C492" t="s">
        <v>12</v>
      </c>
      <c r="D492" t="s">
        <v>15</v>
      </c>
      <c r="E492">
        <v>25.18</v>
      </c>
      <c r="F492">
        <v>10.73</v>
      </c>
      <c r="G492">
        <v>5.99</v>
      </c>
      <c r="H492" t="s">
        <v>21</v>
      </c>
      <c r="I492" t="s">
        <v>22</v>
      </c>
      <c r="J492" t="s">
        <v>28</v>
      </c>
      <c r="K492">
        <v>21</v>
      </c>
      <c r="L492" t="s">
        <v>29</v>
      </c>
    </row>
    <row r="493" spans="1:12" x14ac:dyDescent="0.25">
      <c r="A493">
        <v>492</v>
      </c>
      <c r="B493">
        <v>71</v>
      </c>
      <c r="C493" t="s">
        <v>12</v>
      </c>
      <c r="D493" t="s">
        <v>15</v>
      </c>
      <c r="E493">
        <v>21.44</v>
      </c>
      <c r="F493">
        <v>23.05</v>
      </c>
      <c r="G493">
        <v>7.18</v>
      </c>
      <c r="H493" t="s">
        <v>19</v>
      </c>
      <c r="I493" t="s">
        <v>23</v>
      </c>
      <c r="J493" t="s">
        <v>25</v>
      </c>
      <c r="K493">
        <v>33</v>
      </c>
      <c r="L493" t="s">
        <v>29</v>
      </c>
    </row>
    <row r="494" spans="1:12" x14ac:dyDescent="0.25">
      <c r="A494">
        <v>493</v>
      </c>
      <c r="B494">
        <v>75</v>
      </c>
      <c r="C494" t="s">
        <v>12</v>
      </c>
      <c r="D494" t="s">
        <v>15</v>
      </c>
      <c r="E494">
        <v>11.79</v>
      </c>
      <c r="F494">
        <v>28.69</v>
      </c>
      <c r="G494">
        <v>12.73</v>
      </c>
      <c r="H494" t="s">
        <v>19</v>
      </c>
      <c r="I494" t="s">
        <v>23</v>
      </c>
      <c r="J494" t="s">
        <v>26</v>
      </c>
      <c r="K494">
        <v>29</v>
      </c>
      <c r="L494" t="s">
        <v>29</v>
      </c>
    </row>
    <row r="495" spans="1:12" x14ac:dyDescent="0.25">
      <c r="A495">
        <v>494</v>
      </c>
      <c r="B495">
        <v>20</v>
      </c>
      <c r="C495" t="s">
        <v>13</v>
      </c>
      <c r="D495" t="s">
        <v>17</v>
      </c>
      <c r="E495">
        <v>8.74</v>
      </c>
      <c r="F495">
        <v>13.15</v>
      </c>
      <c r="G495">
        <v>1.67</v>
      </c>
      <c r="H495" t="s">
        <v>20</v>
      </c>
      <c r="I495" t="s">
        <v>23</v>
      </c>
      <c r="J495" t="s">
        <v>25</v>
      </c>
      <c r="K495">
        <v>31</v>
      </c>
      <c r="L495" t="s">
        <v>29</v>
      </c>
    </row>
    <row r="496" spans="1:12" x14ac:dyDescent="0.25">
      <c r="A496">
        <v>495</v>
      </c>
      <c r="B496">
        <v>57</v>
      </c>
      <c r="C496" t="s">
        <v>13</v>
      </c>
      <c r="D496" t="s">
        <v>16</v>
      </c>
      <c r="E496">
        <v>8.2799999999999994</v>
      </c>
      <c r="F496">
        <v>13.39</v>
      </c>
      <c r="G496">
        <v>12.89</v>
      </c>
      <c r="H496" t="s">
        <v>21</v>
      </c>
      <c r="I496" t="s">
        <v>23</v>
      </c>
      <c r="J496" t="s">
        <v>27</v>
      </c>
      <c r="K496">
        <v>25</v>
      </c>
      <c r="L496" t="s">
        <v>29</v>
      </c>
    </row>
    <row r="497" spans="1:12" x14ac:dyDescent="0.25">
      <c r="A497">
        <v>496</v>
      </c>
      <c r="B497">
        <v>63</v>
      </c>
      <c r="C497" t="s">
        <v>12</v>
      </c>
      <c r="D497" t="s">
        <v>17</v>
      </c>
      <c r="E497">
        <v>33.42</v>
      </c>
      <c r="F497">
        <v>9.1199999999999992</v>
      </c>
      <c r="G497">
        <v>3.56</v>
      </c>
      <c r="H497" t="s">
        <v>19</v>
      </c>
      <c r="I497" t="s">
        <v>22</v>
      </c>
      <c r="J497" t="s">
        <v>26</v>
      </c>
      <c r="K497">
        <v>22</v>
      </c>
      <c r="L497" t="s">
        <v>30</v>
      </c>
    </row>
    <row r="498" spans="1:12" x14ac:dyDescent="0.25">
      <c r="A498">
        <v>497</v>
      </c>
      <c r="B498">
        <v>41</v>
      </c>
      <c r="C498" t="s">
        <v>12</v>
      </c>
      <c r="D498" t="s">
        <v>15</v>
      </c>
      <c r="E498">
        <v>30.97</v>
      </c>
      <c r="F498">
        <v>4.82</v>
      </c>
      <c r="G498">
        <v>5.33</v>
      </c>
      <c r="H498" t="s">
        <v>21</v>
      </c>
      <c r="I498" t="s">
        <v>24</v>
      </c>
      <c r="J498" t="s">
        <v>25</v>
      </c>
      <c r="K498">
        <v>8</v>
      </c>
      <c r="L498" t="s">
        <v>29</v>
      </c>
    </row>
    <row r="499" spans="1:12" x14ac:dyDescent="0.25">
      <c r="A499">
        <v>498</v>
      </c>
      <c r="B499">
        <v>67</v>
      </c>
      <c r="C499" t="s">
        <v>12</v>
      </c>
      <c r="D499" t="s">
        <v>14</v>
      </c>
      <c r="E499">
        <v>23.73</v>
      </c>
      <c r="F499">
        <v>18.670000000000002</v>
      </c>
      <c r="G499">
        <v>2.82</v>
      </c>
      <c r="H499" t="s">
        <v>18</v>
      </c>
      <c r="I499" t="s">
        <v>23</v>
      </c>
      <c r="J499" t="s">
        <v>27</v>
      </c>
      <c r="K499">
        <v>14</v>
      </c>
      <c r="L499" t="s">
        <v>30</v>
      </c>
    </row>
    <row r="500" spans="1:12" x14ac:dyDescent="0.25">
      <c r="A500">
        <v>499</v>
      </c>
      <c r="B500">
        <v>49</v>
      </c>
      <c r="C500" t="s">
        <v>12</v>
      </c>
      <c r="D500" t="s">
        <v>14</v>
      </c>
      <c r="E500">
        <v>33.270000000000003</v>
      </c>
      <c r="F500">
        <v>16.21</v>
      </c>
      <c r="G500">
        <v>14.61</v>
      </c>
      <c r="H500" t="s">
        <v>21</v>
      </c>
      <c r="I500" t="s">
        <v>23</v>
      </c>
      <c r="J500" t="s">
        <v>26</v>
      </c>
      <c r="K500">
        <v>14</v>
      </c>
      <c r="L500" t="s">
        <v>29</v>
      </c>
    </row>
    <row r="501" spans="1:12" x14ac:dyDescent="0.25">
      <c r="A501">
        <v>500</v>
      </c>
      <c r="B501">
        <v>64</v>
      </c>
      <c r="C501" t="s">
        <v>12</v>
      </c>
      <c r="D501" t="s">
        <v>16</v>
      </c>
      <c r="E501">
        <v>15.9</v>
      </c>
      <c r="F501">
        <v>9.7100000000000009</v>
      </c>
      <c r="G501">
        <v>11.03</v>
      </c>
      <c r="H501" t="s">
        <v>18</v>
      </c>
      <c r="I501" t="s">
        <v>24</v>
      </c>
      <c r="J501" t="s">
        <v>26</v>
      </c>
      <c r="K501">
        <v>5</v>
      </c>
      <c r="L501" t="s">
        <v>29</v>
      </c>
    </row>
    <row r="502" spans="1:12" x14ac:dyDescent="0.25">
      <c r="A502">
        <v>501</v>
      </c>
      <c r="B502">
        <v>39</v>
      </c>
      <c r="C502" t="s">
        <v>13</v>
      </c>
      <c r="D502" t="s">
        <v>14</v>
      </c>
      <c r="E502">
        <v>29.34</v>
      </c>
      <c r="F502">
        <v>11.92</v>
      </c>
      <c r="G502">
        <v>3.57</v>
      </c>
      <c r="H502" t="s">
        <v>21</v>
      </c>
      <c r="I502" t="s">
        <v>24</v>
      </c>
      <c r="J502" t="s">
        <v>26</v>
      </c>
      <c r="K502">
        <v>21</v>
      </c>
      <c r="L502" t="s">
        <v>29</v>
      </c>
    </row>
    <row r="503" spans="1:12" x14ac:dyDescent="0.25">
      <c r="A503">
        <v>502</v>
      </c>
      <c r="B503">
        <v>40</v>
      </c>
      <c r="C503" t="s">
        <v>13</v>
      </c>
      <c r="D503" t="s">
        <v>17</v>
      </c>
      <c r="E503">
        <v>24.51</v>
      </c>
      <c r="F503">
        <v>22.01</v>
      </c>
      <c r="G503">
        <v>16.22</v>
      </c>
      <c r="H503" t="s">
        <v>21</v>
      </c>
      <c r="I503" t="s">
        <v>23</v>
      </c>
      <c r="J503" t="s">
        <v>26</v>
      </c>
      <c r="K503">
        <v>6</v>
      </c>
      <c r="L503" t="s">
        <v>29</v>
      </c>
    </row>
    <row r="504" spans="1:12" x14ac:dyDescent="0.25">
      <c r="A504">
        <v>503</v>
      </c>
      <c r="B504">
        <v>19</v>
      </c>
      <c r="C504" t="s">
        <v>13</v>
      </c>
      <c r="D504" t="s">
        <v>14</v>
      </c>
      <c r="E504">
        <v>29.83</v>
      </c>
      <c r="F504">
        <v>24.56</v>
      </c>
      <c r="G504">
        <v>2.17</v>
      </c>
      <c r="H504" t="s">
        <v>19</v>
      </c>
      <c r="I504" t="s">
        <v>22</v>
      </c>
      <c r="J504" t="s">
        <v>26</v>
      </c>
      <c r="K504">
        <v>33</v>
      </c>
      <c r="L504" t="s">
        <v>29</v>
      </c>
    </row>
    <row r="505" spans="1:12" x14ac:dyDescent="0.25">
      <c r="A505">
        <v>504</v>
      </c>
      <c r="B505">
        <v>44</v>
      </c>
      <c r="C505" t="s">
        <v>13</v>
      </c>
      <c r="D505" t="s">
        <v>15</v>
      </c>
      <c r="E505">
        <v>7.62</v>
      </c>
      <c r="F505">
        <v>0.59</v>
      </c>
      <c r="G505">
        <v>6.85</v>
      </c>
      <c r="H505" t="s">
        <v>19</v>
      </c>
      <c r="I505" t="s">
        <v>23</v>
      </c>
      <c r="J505" t="s">
        <v>25</v>
      </c>
      <c r="K505">
        <v>35</v>
      </c>
      <c r="L505" t="s">
        <v>29</v>
      </c>
    </row>
    <row r="506" spans="1:12" x14ac:dyDescent="0.25">
      <c r="A506">
        <v>505</v>
      </c>
      <c r="B506">
        <v>59</v>
      </c>
      <c r="C506" t="s">
        <v>12</v>
      </c>
      <c r="D506" t="s">
        <v>17</v>
      </c>
      <c r="E506">
        <v>1.42</v>
      </c>
      <c r="F506">
        <v>5.89</v>
      </c>
      <c r="G506">
        <v>2.66</v>
      </c>
      <c r="H506" t="s">
        <v>18</v>
      </c>
      <c r="I506" t="s">
        <v>22</v>
      </c>
      <c r="J506" t="s">
        <v>26</v>
      </c>
      <c r="K506">
        <v>8</v>
      </c>
      <c r="L506" t="s">
        <v>29</v>
      </c>
    </row>
    <row r="507" spans="1:12" x14ac:dyDescent="0.25">
      <c r="A507">
        <v>506</v>
      </c>
      <c r="B507">
        <v>19</v>
      </c>
      <c r="C507" t="s">
        <v>12</v>
      </c>
      <c r="D507" t="s">
        <v>15</v>
      </c>
      <c r="E507">
        <v>20.61</v>
      </c>
      <c r="F507">
        <v>9.69</v>
      </c>
      <c r="G507">
        <v>8.07</v>
      </c>
      <c r="H507" t="s">
        <v>18</v>
      </c>
      <c r="I507" t="s">
        <v>24</v>
      </c>
      <c r="J507" t="s">
        <v>27</v>
      </c>
      <c r="K507">
        <v>10</v>
      </c>
      <c r="L507" t="s">
        <v>29</v>
      </c>
    </row>
    <row r="508" spans="1:12" x14ac:dyDescent="0.25">
      <c r="A508">
        <v>507</v>
      </c>
      <c r="B508">
        <v>43</v>
      </c>
      <c r="C508" t="s">
        <v>12</v>
      </c>
      <c r="D508" t="s">
        <v>15</v>
      </c>
      <c r="E508">
        <v>13.52</v>
      </c>
      <c r="F508">
        <v>3.84</v>
      </c>
      <c r="G508">
        <v>5.99</v>
      </c>
      <c r="H508" t="s">
        <v>20</v>
      </c>
      <c r="I508" t="s">
        <v>22</v>
      </c>
      <c r="J508" t="s">
        <v>26</v>
      </c>
      <c r="K508">
        <v>30</v>
      </c>
      <c r="L508" t="s">
        <v>29</v>
      </c>
    </row>
    <row r="509" spans="1:12" x14ac:dyDescent="0.25">
      <c r="A509">
        <v>508</v>
      </c>
      <c r="B509">
        <v>34</v>
      </c>
      <c r="C509" t="s">
        <v>12</v>
      </c>
      <c r="D509" t="s">
        <v>15</v>
      </c>
      <c r="E509">
        <v>2.14</v>
      </c>
      <c r="F509">
        <v>12.16</v>
      </c>
      <c r="G509">
        <v>3.25</v>
      </c>
      <c r="H509" t="s">
        <v>19</v>
      </c>
      <c r="I509" t="s">
        <v>22</v>
      </c>
      <c r="J509" t="s">
        <v>26</v>
      </c>
      <c r="K509">
        <v>17</v>
      </c>
      <c r="L509" t="s">
        <v>30</v>
      </c>
    </row>
    <row r="510" spans="1:12" x14ac:dyDescent="0.25">
      <c r="A510">
        <v>509</v>
      </c>
      <c r="B510">
        <v>57</v>
      </c>
      <c r="C510" t="s">
        <v>12</v>
      </c>
      <c r="D510" t="s">
        <v>16</v>
      </c>
      <c r="E510">
        <v>36.72</v>
      </c>
      <c r="F510">
        <v>6.16</v>
      </c>
      <c r="G510">
        <v>9.2200000000000006</v>
      </c>
      <c r="H510" t="s">
        <v>18</v>
      </c>
      <c r="I510" t="s">
        <v>23</v>
      </c>
      <c r="J510" t="s">
        <v>25</v>
      </c>
      <c r="K510">
        <v>33</v>
      </c>
      <c r="L510" t="s">
        <v>29</v>
      </c>
    </row>
    <row r="511" spans="1:12" x14ac:dyDescent="0.25">
      <c r="A511">
        <v>510</v>
      </c>
      <c r="B511">
        <v>50</v>
      </c>
      <c r="C511" t="s">
        <v>13</v>
      </c>
      <c r="D511" t="s">
        <v>16</v>
      </c>
      <c r="E511">
        <v>31.03</v>
      </c>
      <c r="F511">
        <v>12.46</v>
      </c>
      <c r="G511">
        <v>3.81</v>
      </c>
      <c r="H511" t="s">
        <v>19</v>
      </c>
      <c r="I511" t="s">
        <v>22</v>
      </c>
      <c r="J511" t="s">
        <v>27</v>
      </c>
      <c r="K511">
        <v>10</v>
      </c>
      <c r="L511" t="s">
        <v>29</v>
      </c>
    </row>
    <row r="512" spans="1:12" x14ac:dyDescent="0.25">
      <c r="A512">
        <v>511</v>
      </c>
      <c r="B512">
        <v>26</v>
      </c>
      <c r="C512" t="s">
        <v>12</v>
      </c>
      <c r="D512" t="s">
        <v>17</v>
      </c>
      <c r="E512">
        <v>21.8</v>
      </c>
      <c r="F512">
        <v>6.32</v>
      </c>
      <c r="G512">
        <v>0.98</v>
      </c>
      <c r="H512" t="s">
        <v>21</v>
      </c>
      <c r="I512" t="s">
        <v>22</v>
      </c>
      <c r="J512" t="s">
        <v>26</v>
      </c>
      <c r="K512">
        <v>8</v>
      </c>
      <c r="L512" t="s">
        <v>29</v>
      </c>
    </row>
    <row r="513" spans="1:12" x14ac:dyDescent="0.25">
      <c r="A513">
        <v>512</v>
      </c>
      <c r="B513">
        <v>60</v>
      </c>
      <c r="C513" t="s">
        <v>13</v>
      </c>
      <c r="D513" t="s">
        <v>15</v>
      </c>
      <c r="E513">
        <v>9.17</v>
      </c>
      <c r="F513">
        <v>6.55</v>
      </c>
      <c r="G513">
        <v>2.09</v>
      </c>
      <c r="H513" t="s">
        <v>20</v>
      </c>
      <c r="I513" t="s">
        <v>22</v>
      </c>
      <c r="J513" t="s">
        <v>26</v>
      </c>
      <c r="K513">
        <v>31</v>
      </c>
      <c r="L513" t="s">
        <v>29</v>
      </c>
    </row>
    <row r="514" spans="1:12" x14ac:dyDescent="0.25">
      <c r="A514">
        <v>513</v>
      </c>
      <c r="B514">
        <v>71</v>
      </c>
      <c r="C514" t="s">
        <v>13</v>
      </c>
      <c r="D514" t="s">
        <v>14</v>
      </c>
      <c r="E514">
        <v>3.68</v>
      </c>
      <c r="F514">
        <v>12.39</v>
      </c>
      <c r="G514">
        <v>6.76</v>
      </c>
      <c r="H514" t="s">
        <v>19</v>
      </c>
      <c r="I514" t="s">
        <v>23</v>
      </c>
      <c r="J514" t="s">
        <v>27</v>
      </c>
      <c r="K514">
        <v>9</v>
      </c>
      <c r="L514" t="s">
        <v>30</v>
      </c>
    </row>
    <row r="515" spans="1:12" x14ac:dyDescent="0.25">
      <c r="A515">
        <v>514</v>
      </c>
      <c r="B515">
        <v>65</v>
      </c>
      <c r="C515" t="s">
        <v>13</v>
      </c>
      <c r="D515" t="s">
        <v>16</v>
      </c>
      <c r="E515">
        <v>2.1</v>
      </c>
      <c r="F515">
        <v>19.239999999999998</v>
      </c>
      <c r="G515">
        <v>7.51</v>
      </c>
      <c r="H515" t="s">
        <v>19</v>
      </c>
      <c r="I515" t="s">
        <v>22</v>
      </c>
      <c r="J515" t="s">
        <v>26</v>
      </c>
      <c r="K515">
        <v>12</v>
      </c>
      <c r="L515" t="s">
        <v>29</v>
      </c>
    </row>
    <row r="516" spans="1:12" x14ac:dyDescent="0.25">
      <c r="A516">
        <v>515</v>
      </c>
      <c r="B516">
        <v>56</v>
      </c>
      <c r="C516" t="s">
        <v>13</v>
      </c>
      <c r="D516" t="s">
        <v>17</v>
      </c>
      <c r="E516">
        <v>11.6</v>
      </c>
      <c r="F516">
        <v>15.54</v>
      </c>
      <c r="G516">
        <v>4.66</v>
      </c>
      <c r="H516" t="s">
        <v>19</v>
      </c>
      <c r="I516" t="s">
        <v>22</v>
      </c>
      <c r="J516" t="s">
        <v>26</v>
      </c>
      <c r="K516">
        <v>15</v>
      </c>
      <c r="L516" t="s">
        <v>30</v>
      </c>
    </row>
    <row r="517" spans="1:12" x14ac:dyDescent="0.25">
      <c r="A517">
        <v>516</v>
      </c>
      <c r="B517">
        <v>46</v>
      </c>
      <c r="C517" t="s">
        <v>12</v>
      </c>
      <c r="D517" t="s">
        <v>16</v>
      </c>
      <c r="E517">
        <v>26.89</v>
      </c>
      <c r="F517">
        <v>9.75</v>
      </c>
      <c r="G517">
        <v>22.95</v>
      </c>
      <c r="H517" t="s">
        <v>19</v>
      </c>
      <c r="I517" t="s">
        <v>23</v>
      </c>
      <c r="J517" t="s">
        <v>26</v>
      </c>
      <c r="K517">
        <v>24</v>
      </c>
      <c r="L517" t="s">
        <v>29</v>
      </c>
    </row>
    <row r="518" spans="1:12" x14ac:dyDescent="0.25">
      <c r="A518">
        <v>517</v>
      </c>
      <c r="B518">
        <v>59</v>
      </c>
      <c r="C518" t="s">
        <v>13</v>
      </c>
      <c r="D518" t="s">
        <v>15</v>
      </c>
      <c r="E518">
        <v>13.62</v>
      </c>
      <c r="F518">
        <v>1.58</v>
      </c>
      <c r="G518">
        <v>11.61</v>
      </c>
      <c r="H518" t="s">
        <v>18</v>
      </c>
      <c r="I518" t="s">
        <v>23</v>
      </c>
      <c r="J518" t="s">
        <v>25</v>
      </c>
      <c r="K518">
        <v>23</v>
      </c>
      <c r="L518" t="s">
        <v>30</v>
      </c>
    </row>
    <row r="519" spans="1:12" x14ac:dyDescent="0.25">
      <c r="A519">
        <v>518</v>
      </c>
      <c r="B519">
        <v>72</v>
      </c>
      <c r="C519" t="s">
        <v>13</v>
      </c>
      <c r="D519" t="s">
        <v>15</v>
      </c>
      <c r="E519">
        <v>23.92</v>
      </c>
      <c r="F519">
        <v>6.41</v>
      </c>
      <c r="G519">
        <v>12.25</v>
      </c>
      <c r="H519" t="s">
        <v>18</v>
      </c>
      <c r="I519" t="s">
        <v>23</v>
      </c>
      <c r="J519" t="s">
        <v>26</v>
      </c>
      <c r="K519">
        <v>3</v>
      </c>
      <c r="L519" t="s">
        <v>29</v>
      </c>
    </row>
    <row r="520" spans="1:12" x14ac:dyDescent="0.25">
      <c r="A520">
        <v>519</v>
      </c>
      <c r="B520">
        <v>43</v>
      </c>
      <c r="C520" t="s">
        <v>13</v>
      </c>
      <c r="D520" t="s">
        <v>14</v>
      </c>
      <c r="E520">
        <v>24.68</v>
      </c>
      <c r="F520">
        <v>5.83</v>
      </c>
      <c r="G520">
        <v>4.2699999999999996</v>
      </c>
      <c r="H520" t="s">
        <v>20</v>
      </c>
      <c r="I520" t="s">
        <v>22</v>
      </c>
      <c r="J520" t="s">
        <v>25</v>
      </c>
      <c r="K520">
        <v>4</v>
      </c>
      <c r="L520" t="s">
        <v>29</v>
      </c>
    </row>
    <row r="521" spans="1:12" x14ac:dyDescent="0.25">
      <c r="A521">
        <v>520</v>
      </c>
      <c r="B521">
        <v>52</v>
      </c>
      <c r="C521" t="s">
        <v>12</v>
      </c>
      <c r="D521" t="s">
        <v>15</v>
      </c>
      <c r="E521">
        <v>26.64</v>
      </c>
      <c r="F521">
        <v>16.91</v>
      </c>
      <c r="G521">
        <v>3.83</v>
      </c>
      <c r="H521" t="s">
        <v>21</v>
      </c>
      <c r="I521" t="s">
        <v>22</v>
      </c>
      <c r="J521" t="s">
        <v>25</v>
      </c>
      <c r="K521">
        <v>31</v>
      </c>
      <c r="L521" t="s">
        <v>29</v>
      </c>
    </row>
    <row r="522" spans="1:12" x14ac:dyDescent="0.25">
      <c r="A522">
        <v>521</v>
      </c>
      <c r="B522">
        <v>67</v>
      </c>
      <c r="C522" t="s">
        <v>12</v>
      </c>
      <c r="D522" t="s">
        <v>17</v>
      </c>
      <c r="E522">
        <v>3.07</v>
      </c>
      <c r="F522">
        <v>11.27</v>
      </c>
      <c r="G522">
        <v>10.5</v>
      </c>
      <c r="H522" t="s">
        <v>21</v>
      </c>
      <c r="I522" t="s">
        <v>24</v>
      </c>
      <c r="J522" t="s">
        <v>27</v>
      </c>
      <c r="K522">
        <v>13</v>
      </c>
      <c r="L522" t="s">
        <v>29</v>
      </c>
    </row>
    <row r="523" spans="1:12" x14ac:dyDescent="0.25">
      <c r="A523">
        <v>522</v>
      </c>
      <c r="B523">
        <v>42</v>
      </c>
      <c r="C523" t="s">
        <v>12</v>
      </c>
      <c r="D523" t="s">
        <v>14</v>
      </c>
      <c r="E523">
        <v>9.82</v>
      </c>
      <c r="F523">
        <v>11.59</v>
      </c>
      <c r="G523">
        <v>7.41</v>
      </c>
      <c r="H523" t="s">
        <v>20</v>
      </c>
      <c r="I523" t="s">
        <v>23</v>
      </c>
      <c r="J523" t="s">
        <v>26</v>
      </c>
      <c r="K523">
        <v>9</v>
      </c>
      <c r="L523" t="s">
        <v>29</v>
      </c>
    </row>
    <row r="524" spans="1:12" x14ac:dyDescent="0.25">
      <c r="A524">
        <v>523</v>
      </c>
      <c r="B524">
        <v>41</v>
      </c>
      <c r="C524" t="s">
        <v>13</v>
      </c>
      <c r="D524" t="s">
        <v>16</v>
      </c>
      <c r="E524">
        <v>23.63</v>
      </c>
      <c r="F524">
        <v>5.0199999999999996</v>
      </c>
      <c r="G524">
        <v>11.2</v>
      </c>
      <c r="H524" t="s">
        <v>21</v>
      </c>
      <c r="I524" t="s">
        <v>24</v>
      </c>
      <c r="J524" t="s">
        <v>26</v>
      </c>
      <c r="K524">
        <v>32</v>
      </c>
      <c r="L524" t="s">
        <v>29</v>
      </c>
    </row>
    <row r="525" spans="1:12" x14ac:dyDescent="0.25">
      <c r="A525">
        <v>524</v>
      </c>
      <c r="B525">
        <v>30</v>
      </c>
      <c r="C525" t="s">
        <v>13</v>
      </c>
      <c r="D525" t="s">
        <v>15</v>
      </c>
      <c r="E525">
        <v>41.61</v>
      </c>
      <c r="F525">
        <v>25.23</v>
      </c>
      <c r="G525">
        <v>7.34</v>
      </c>
      <c r="H525" t="s">
        <v>18</v>
      </c>
      <c r="I525" t="s">
        <v>22</v>
      </c>
      <c r="J525" t="s">
        <v>26</v>
      </c>
      <c r="K525">
        <v>18</v>
      </c>
      <c r="L525" t="s">
        <v>30</v>
      </c>
    </row>
    <row r="526" spans="1:12" x14ac:dyDescent="0.25">
      <c r="A526">
        <v>525</v>
      </c>
      <c r="B526">
        <v>77</v>
      </c>
      <c r="C526" t="s">
        <v>12</v>
      </c>
      <c r="D526" t="s">
        <v>15</v>
      </c>
      <c r="E526">
        <v>34.700000000000003</v>
      </c>
      <c r="F526">
        <v>11.53</v>
      </c>
      <c r="G526">
        <v>15.03</v>
      </c>
      <c r="H526" t="s">
        <v>19</v>
      </c>
      <c r="I526" t="s">
        <v>23</v>
      </c>
      <c r="J526" t="s">
        <v>26</v>
      </c>
      <c r="K526">
        <v>17</v>
      </c>
      <c r="L526" t="s">
        <v>29</v>
      </c>
    </row>
    <row r="527" spans="1:12" x14ac:dyDescent="0.25">
      <c r="A527">
        <v>526</v>
      </c>
      <c r="B527">
        <v>75</v>
      </c>
      <c r="C527" t="s">
        <v>13</v>
      </c>
      <c r="D527" t="s">
        <v>15</v>
      </c>
      <c r="E527">
        <v>21.07</v>
      </c>
      <c r="F527">
        <v>4.75</v>
      </c>
      <c r="G527">
        <v>9.2799999999999994</v>
      </c>
      <c r="H527" t="s">
        <v>21</v>
      </c>
      <c r="I527" t="s">
        <v>23</v>
      </c>
      <c r="J527" t="s">
        <v>25</v>
      </c>
      <c r="K527">
        <v>22</v>
      </c>
      <c r="L527" t="s">
        <v>30</v>
      </c>
    </row>
    <row r="528" spans="1:12" x14ac:dyDescent="0.25">
      <c r="A528">
        <v>527</v>
      </c>
      <c r="B528">
        <v>24</v>
      </c>
      <c r="C528" t="s">
        <v>12</v>
      </c>
      <c r="D528" t="s">
        <v>16</v>
      </c>
      <c r="E528">
        <v>36.96</v>
      </c>
      <c r="F528">
        <v>5.0599999999999996</v>
      </c>
      <c r="G528">
        <v>8.08</v>
      </c>
      <c r="H528" t="s">
        <v>19</v>
      </c>
      <c r="I528" t="s">
        <v>23</v>
      </c>
      <c r="J528" t="s">
        <v>25</v>
      </c>
      <c r="K528">
        <v>30</v>
      </c>
      <c r="L528" t="s">
        <v>29</v>
      </c>
    </row>
    <row r="529" spans="1:12" x14ac:dyDescent="0.25">
      <c r="A529">
        <v>528</v>
      </c>
      <c r="B529">
        <v>74</v>
      </c>
      <c r="C529" t="s">
        <v>12</v>
      </c>
      <c r="D529" t="s">
        <v>17</v>
      </c>
      <c r="E529">
        <v>20.96</v>
      </c>
      <c r="F529">
        <v>12.8</v>
      </c>
      <c r="G529">
        <v>12.94</v>
      </c>
      <c r="H529" t="s">
        <v>19</v>
      </c>
      <c r="I529" t="s">
        <v>24</v>
      </c>
      <c r="J529" t="s">
        <v>25</v>
      </c>
      <c r="K529">
        <v>5</v>
      </c>
      <c r="L529" t="s">
        <v>29</v>
      </c>
    </row>
    <row r="530" spans="1:12" x14ac:dyDescent="0.25">
      <c r="A530">
        <v>529</v>
      </c>
      <c r="B530">
        <v>53</v>
      </c>
      <c r="C530" t="s">
        <v>13</v>
      </c>
      <c r="D530" t="s">
        <v>15</v>
      </c>
      <c r="E530">
        <v>4.7300000000000004</v>
      </c>
      <c r="F530">
        <v>4.59</v>
      </c>
      <c r="G530">
        <v>25</v>
      </c>
      <c r="H530" t="s">
        <v>18</v>
      </c>
      <c r="I530" t="s">
        <v>23</v>
      </c>
      <c r="J530" t="s">
        <v>27</v>
      </c>
      <c r="K530">
        <v>31</v>
      </c>
      <c r="L530" t="s">
        <v>29</v>
      </c>
    </row>
    <row r="531" spans="1:12" x14ac:dyDescent="0.25">
      <c r="A531">
        <v>530</v>
      </c>
      <c r="B531">
        <v>62</v>
      </c>
      <c r="C531" t="s">
        <v>13</v>
      </c>
      <c r="D531" t="s">
        <v>14</v>
      </c>
      <c r="E531">
        <v>26.36</v>
      </c>
      <c r="F531">
        <v>5.9</v>
      </c>
      <c r="G531">
        <v>14.43</v>
      </c>
      <c r="H531" t="s">
        <v>19</v>
      </c>
      <c r="I531" t="s">
        <v>23</v>
      </c>
      <c r="J531" t="s">
        <v>27</v>
      </c>
      <c r="K531">
        <v>11</v>
      </c>
      <c r="L531" t="s">
        <v>29</v>
      </c>
    </row>
    <row r="532" spans="1:12" x14ac:dyDescent="0.25">
      <c r="A532">
        <v>531</v>
      </c>
      <c r="B532">
        <v>37</v>
      </c>
      <c r="C532" t="s">
        <v>13</v>
      </c>
      <c r="D532" t="s">
        <v>17</v>
      </c>
      <c r="E532">
        <v>35.44</v>
      </c>
      <c r="F532">
        <v>3.67</v>
      </c>
      <c r="G532">
        <v>3.04</v>
      </c>
      <c r="H532" t="s">
        <v>21</v>
      </c>
      <c r="I532" t="s">
        <v>23</v>
      </c>
      <c r="J532" t="s">
        <v>26</v>
      </c>
      <c r="K532">
        <v>29</v>
      </c>
      <c r="L532" t="s">
        <v>29</v>
      </c>
    </row>
    <row r="533" spans="1:12" x14ac:dyDescent="0.25">
      <c r="A533">
        <v>532</v>
      </c>
      <c r="B533">
        <v>18</v>
      </c>
      <c r="C533" t="s">
        <v>13</v>
      </c>
      <c r="D533" t="s">
        <v>15</v>
      </c>
      <c r="E533">
        <v>49.5</v>
      </c>
      <c r="F533">
        <v>16.809999999999999</v>
      </c>
      <c r="G533">
        <v>7.9</v>
      </c>
      <c r="H533" t="s">
        <v>18</v>
      </c>
      <c r="I533" t="s">
        <v>24</v>
      </c>
      <c r="J533" t="s">
        <v>28</v>
      </c>
      <c r="K533">
        <v>34</v>
      </c>
      <c r="L533" t="s">
        <v>29</v>
      </c>
    </row>
    <row r="534" spans="1:12" x14ac:dyDescent="0.25">
      <c r="A534">
        <v>533</v>
      </c>
      <c r="B534">
        <v>25</v>
      </c>
      <c r="C534" t="s">
        <v>12</v>
      </c>
      <c r="D534" t="s">
        <v>17</v>
      </c>
      <c r="E534">
        <v>11.36</v>
      </c>
      <c r="F534">
        <v>4.6900000000000004</v>
      </c>
      <c r="G534">
        <v>8.1</v>
      </c>
      <c r="H534" t="s">
        <v>20</v>
      </c>
      <c r="I534" t="s">
        <v>23</v>
      </c>
      <c r="J534" t="s">
        <v>26</v>
      </c>
      <c r="K534">
        <v>33</v>
      </c>
      <c r="L534" t="s">
        <v>30</v>
      </c>
    </row>
    <row r="535" spans="1:12" x14ac:dyDescent="0.25">
      <c r="A535">
        <v>534</v>
      </c>
      <c r="B535">
        <v>63</v>
      </c>
      <c r="C535" t="s">
        <v>12</v>
      </c>
      <c r="D535" t="s">
        <v>16</v>
      </c>
      <c r="E535">
        <v>6.97</v>
      </c>
      <c r="F535">
        <v>28.06</v>
      </c>
      <c r="G535">
        <v>11.41</v>
      </c>
      <c r="H535" t="s">
        <v>18</v>
      </c>
      <c r="I535" t="s">
        <v>23</v>
      </c>
      <c r="J535" t="s">
        <v>25</v>
      </c>
      <c r="K535">
        <v>28</v>
      </c>
      <c r="L535" t="s">
        <v>29</v>
      </c>
    </row>
    <row r="536" spans="1:12" x14ac:dyDescent="0.25">
      <c r="A536">
        <v>535</v>
      </c>
      <c r="B536">
        <v>33</v>
      </c>
      <c r="C536" t="s">
        <v>12</v>
      </c>
      <c r="D536" t="s">
        <v>15</v>
      </c>
      <c r="E536">
        <v>29.39</v>
      </c>
      <c r="F536">
        <v>13.99</v>
      </c>
      <c r="G536">
        <v>6.72</v>
      </c>
      <c r="H536" t="s">
        <v>21</v>
      </c>
      <c r="I536" t="s">
        <v>23</v>
      </c>
      <c r="J536" t="s">
        <v>26</v>
      </c>
      <c r="K536">
        <v>5</v>
      </c>
      <c r="L536" t="s">
        <v>30</v>
      </c>
    </row>
    <row r="537" spans="1:12" x14ac:dyDescent="0.25">
      <c r="A537">
        <v>536</v>
      </c>
      <c r="B537">
        <v>31</v>
      </c>
      <c r="C537" t="s">
        <v>12</v>
      </c>
      <c r="D537" t="s">
        <v>15</v>
      </c>
      <c r="E537">
        <v>22.73</v>
      </c>
      <c r="F537">
        <v>3.65</v>
      </c>
      <c r="G537">
        <v>9.08</v>
      </c>
      <c r="H537" t="s">
        <v>18</v>
      </c>
      <c r="I537" t="s">
        <v>23</v>
      </c>
      <c r="J537" t="s">
        <v>27</v>
      </c>
      <c r="K537">
        <v>13</v>
      </c>
      <c r="L537" t="s">
        <v>29</v>
      </c>
    </row>
    <row r="538" spans="1:12" x14ac:dyDescent="0.25">
      <c r="A538">
        <v>537</v>
      </c>
      <c r="B538">
        <v>29</v>
      </c>
      <c r="C538" t="s">
        <v>12</v>
      </c>
      <c r="D538" t="s">
        <v>14</v>
      </c>
      <c r="E538">
        <v>21.42</v>
      </c>
      <c r="F538">
        <v>15.44</v>
      </c>
      <c r="G538">
        <v>9.6199999999999992</v>
      </c>
      <c r="H538" t="s">
        <v>21</v>
      </c>
      <c r="I538" t="s">
        <v>23</v>
      </c>
      <c r="J538" t="s">
        <v>26</v>
      </c>
      <c r="K538">
        <v>31</v>
      </c>
      <c r="L538" t="s">
        <v>30</v>
      </c>
    </row>
    <row r="539" spans="1:12" x14ac:dyDescent="0.25">
      <c r="A539">
        <v>538</v>
      </c>
      <c r="B539">
        <v>68</v>
      </c>
      <c r="C539" t="s">
        <v>13</v>
      </c>
      <c r="D539" t="s">
        <v>17</v>
      </c>
      <c r="E539">
        <v>37.270000000000003</v>
      </c>
      <c r="F539">
        <v>25.26</v>
      </c>
      <c r="G539">
        <v>10.99</v>
      </c>
      <c r="H539" t="s">
        <v>21</v>
      </c>
      <c r="I539" t="s">
        <v>22</v>
      </c>
      <c r="J539" t="s">
        <v>25</v>
      </c>
      <c r="K539">
        <v>29</v>
      </c>
      <c r="L539" t="s">
        <v>29</v>
      </c>
    </row>
    <row r="540" spans="1:12" x14ac:dyDescent="0.25">
      <c r="A540">
        <v>539</v>
      </c>
      <c r="B540">
        <v>40</v>
      </c>
      <c r="C540" t="s">
        <v>12</v>
      </c>
      <c r="D540" t="s">
        <v>17</v>
      </c>
      <c r="E540">
        <v>29.32</v>
      </c>
      <c r="F540">
        <v>9.43</v>
      </c>
      <c r="G540">
        <v>3.02</v>
      </c>
      <c r="H540" t="s">
        <v>18</v>
      </c>
      <c r="I540" t="s">
        <v>24</v>
      </c>
      <c r="J540" t="s">
        <v>27</v>
      </c>
      <c r="K540">
        <v>12</v>
      </c>
      <c r="L540" t="s">
        <v>29</v>
      </c>
    </row>
    <row r="541" spans="1:12" x14ac:dyDescent="0.25">
      <c r="A541">
        <v>540</v>
      </c>
      <c r="B541">
        <v>32</v>
      </c>
      <c r="C541" t="s">
        <v>12</v>
      </c>
      <c r="D541" t="s">
        <v>17</v>
      </c>
      <c r="E541">
        <v>24.12</v>
      </c>
      <c r="F541">
        <v>27.26</v>
      </c>
      <c r="G541">
        <v>3.41</v>
      </c>
      <c r="H541" t="s">
        <v>21</v>
      </c>
      <c r="I541" t="s">
        <v>24</v>
      </c>
      <c r="J541" t="s">
        <v>25</v>
      </c>
      <c r="K541">
        <v>25</v>
      </c>
      <c r="L541" t="s">
        <v>29</v>
      </c>
    </row>
    <row r="542" spans="1:12" x14ac:dyDescent="0.25">
      <c r="A542">
        <v>541</v>
      </c>
      <c r="B542">
        <v>45</v>
      </c>
      <c r="C542" t="s">
        <v>12</v>
      </c>
      <c r="D542" t="s">
        <v>15</v>
      </c>
      <c r="E542">
        <v>12.45</v>
      </c>
      <c r="F542">
        <v>14.18</v>
      </c>
      <c r="G542">
        <v>29.95</v>
      </c>
      <c r="H542" t="s">
        <v>20</v>
      </c>
      <c r="I542" t="s">
        <v>22</v>
      </c>
      <c r="J542" t="s">
        <v>25</v>
      </c>
      <c r="K542">
        <v>8</v>
      </c>
      <c r="L542" t="s">
        <v>29</v>
      </c>
    </row>
    <row r="543" spans="1:12" x14ac:dyDescent="0.25">
      <c r="A543">
        <v>542</v>
      </c>
      <c r="B543">
        <v>51</v>
      </c>
      <c r="C543" t="s">
        <v>13</v>
      </c>
      <c r="D543" t="s">
        <v>15</v>
      </c>
      <c r="E543">
        <v>27.86</v>
      </c>
      <c r="F543">
        <v>6.16</v>
      </c>
      <c r="G543">
        <v>1.27</v>
      </c>
      <c r="H543" t="s">
        <v>21</v>
      </c>
      <c r="I543" t="s">
        <v>23</v>
      </c>
      <c r="J543" t="s">
        <v>26</v>
      </c>
      <c r="K543">
        <v>13</v>
      </c>
      <c r="L543" t="s">
        <v>29</v>
      </c>
    </row>
    <row r="544" spans="1:12" x14ac:dyDescent="0.25">
      <c r="A544">
        <v>543</v>
      </c>
      <c r="B544">
        <v>19</v>
      </c>
      <c r="C544" t="s">
        <v>13</v>
      </c>
      <c r="D544" t="s">
        <v>17</v>
      </c>
      <c r="E544">
        <v>6.73</v>
      </c>
      <c r="F544">
        <v>38.83</v>
      </c>
      <c r="G544">
        <v>9.5399999999999991</v>
      </c>
      <c r="H544" t="s">
        <v>20</v>
      </c>
      <c r="I544" t="s">
        <v>22</v>
      </c>
      <c r="J544" t="s">
        <v>26</v>
      </c>
      <c r="K544">
        <v>29</v>
      </c>
      <c r="L544" t="s">
        <v>30</v>
      </c>
    </row>
    <row r="545" spans="1:12" x14ac:dyDescent="0.25">
      <c r="A545">
        <v>544</v>
      </c>
      <c r="B545">
        <v>49</v>
      </c>
      <c r="C545" t="s">
        <v>13</v>
      </c>
      <c r="D545" t="s">
        <v>15</v>
      </c>
      <c r="E545">
        <v>20.92</v>
      </c>
      <c r="F545">
        <v>2.77</v>
      </c>
      <c r="G545">
        <v>14.42</v>
      </c>
      <c r="H545" t="s">
        <v>20</v>
      </c>
      <c r="I545" t="s">
        <v>23</v>
      </c>
      <c r="J545" t="s">
        <v>28</v>
      </c>
      <c r="K545">
        <v>33</v>
      </c>
      <c r="L545" t="s">
        <v>30</v>
      </c>
    </row>
    <row r="546" spans="1:12" x14ac:dyDescent="0.25">
      <c r="A546">
        <v>545</v>
      </c>
      <c r="B546">
        <v>40</v>
      </c>
      <c r="C546" t="s">
        <v>13</v>
      </c>
      <c r="D546" t="s">
        <v>15</v>
      </c>
      <c r="E546">
        <v>16.940000000000001</v>
      </c>
      <c r="F546">
        <v>7.71</v>
      </c>
      <c r="G546">
        <v>4</v>
      </c>
      <c r="H546" t="s">
        <v>21</v>
      </c>
      <c r="I546" t="s">
        <v>23</v>
      </c>
      <c r="J546" t="s">
        <v>25</v>
      </c>
      <c r="K546">
        <v>32</v>
      </c>
      <c r="L546" t="s">
        <v>29</v>
      </c>
    </row>
    <row r="547" spans="1:12" x14ac:dyDescent="0.25">
      <c r="A547">
        <v>546</v>
      </c>
      <c r="B547">
        <v>39</v>
      </c>
      <c r="C547" t="s">
        <v>12</v>
      </c>
      <c r="D547" t="s">
        <v>14</v>
      </c>
      <c r="E547">
        <v>4.5199999999999996</v>
      </c>
      <c r="F547">
        <v>9.75</v>
      </c>
      <c r="G547">
        <v>19.86</v>
      </c>
      <c r="H547" t="s">
        <v>19</v>
      </c>
      <c r="I547" t="s">
        <v>24</v>
      </c>
      <c r="J547" t="s">
        <v>25</v>
      </c>
      <c r="K547">
        <v>5</v>
      </c>
      <c r="L547" t="s">
        <v>29</v>
      </c>
    </row>
    <row r="548" spans="1:12" x14ac:dyDescent="0.25">
      <c r="A548">
        <v>547</v>
      </c>
      <c r="B548">
        <v>68</v>
      </c>
      <c r="C548" t="s">
        <v>12</v>
      </c>
      <c r="D548" t="s">
        <v>14</v>
      </c>
      <c r="E548">
        <v>22.77</v>
      </c>
      <c r="F548">
        <v>34.58</v>
      </c>
      <c r="G548">
        <v>9.34</v>
      </c>
      <c r="H548" t="s">
        <v>20</v>
      </c>
      <c r="I548" t="s">
        <v>24</v>
      </c>
      <c r="J548" t="s">
        <v>26</v>
      </c>
      <c r="K548">
        <v>15</v>
      </c>
      <c r="L548" t="s">
        <v>29</v>
      </c>
    </row>
    <row r="549" spans="1:12" x14ac:dyDescent="0.25">
      <c r="A549">
        <v>548</v>
      </c>
      <c r="B549">
        <v>42</v>
      </c>
      <c r="C549" t="s">
        <v>13</v>
      </c>
      <c r="D549" t="s">
        <v>16</v>
      </c>
      <c r="E549">
        <v>11.38</v>
      </c>
      <c r="F549">
        <v>17.09</v>
      </c>
      <c r="G549">
        <v>25.51</v>
      </c>
      <c r="H549" t="s">
        <v>20</v>
      </c>
      <c r="I549" t="s">
        <v>22</v>
      </c>
      <c r="J549" t="s">
        <v>26</v>
      </c>
      <c r="K549">
        <v>23</v>
      </c>
      <c r="L549" t="s">
        <v>30</v>
      </c>
    </row>
    <row r="550" spans="1:12" x14ac:dyDescent="0.25">
      <c r="A550">
        <v>549</v>
      </c>
      <c r="B550">
        <v>75</v>
      </c>
      <c r="C550" t="s">
        <v>13</v>
      </c>
      <c r="D550" t="s">
        <v>14</v>
      </c>
      <c r="E550">
        <v>22.42</v>
      </c>
      <c r="F550">
        <v>15.11</v>
      </c>
      <c r="G550">
        <v>4.33</v>
      </c>
      <c r="H550" t="s">
        <v>18</v>
      </c>
      <c r="I550" t="s">
        <v>24</v>
      </c>
      <c r="J550" t="s">
        <v>26</v>
      </c>
      <c r="K550">
        <v>13</v>
      </c>
      <c r="L550" t="s">
        <v>29</v>
      </c>
    </row>
    <row r="551" spans="1:12" x14ac:dyDescent="0.25">
      <c r="A551">
        <v>550</v>
      </c>
      <c r="B551">
        <v>79</v>
      </c>
      <c r="C551" t="s">
        <v>12</v>
      </c>
      <c r="D551" t="s">
        <v>15</v>
      </c>
      <c r="E551">
        <v>8.33</v>
      </c>
      <c r="F551">
        <v>5.38</v>
      </c>
      <c r="G551">
        <v>7.97</v>
      </c>
      <c r="H551" t="s">
        <v>20</v>
      </c>
      <c r="I551" t="s">
        <v>24</v>
      </c>
      <c r="J551" t="s">
        <v>26</v>
      </c>
      <c r="K551">
        <v>5</v>
      </c>
      <c r="L551" t="s">
        <v>29</v>
      </c>
    </row>
    <row r="552" spans="1:12" x14ac:dyDescent="0.25">
      <c r="A552">
        <v>551</v>
      </c>
      <c r="B552">
        <v>78</v>
      </c>
      <c r="C552" t="s">
        <v>12</v>
      </c>
      <c r="D552" t="s">
        <v>14</v>
      </c>
      <c r="E552">
        <v>29.51</v>
      </c>
      <c r="F552">
        <v>9.15</v>
      </c>
      <c r="G552">
        <v>6.24</v>
      </c>
      <c r="H552" t="s">
        <v>20</v>
      </c>
      <c r="I552" t="s">
        <v>22</v>
      </c>
      <c r="J552" t="s">
        <v>26</v>
      </c>
      <c r="K552">
        <v>33</v>
      </c>
      <c r="L552" t="s">
        <v>29</v>
      </c>
    </row>
    <row r="553" spans="1:12" x14ac:dyDescent="0.25">
      <c r="A553">
        <v>552</v>
      </c>
      <c r="B553">
        <v>39</v>
      </c>
      <c r="C553" t="s">
        <v>13</v>
      </c>
      <c r="D553" t="s">
        <v>15</v>
      </c>
      <c r="E553">
        <v>45.54</v>
      </c>
      <c r="F553">
        <v>6.29</v>
      </c>
      <c r="G553">
        <v>5.58</v>
      </c>
      <c r="H553" t="s">
        <v>20</v>
      </c>
      <c r="I553" t="s">
        <v>22</v>
      </c>
      <c r="J553" t="s">
        <v>26</v>
      </c>
      <c r="K553">
        <v>26</v>
      </c>
      <c r="L553" t="s">
        <v>29</v>
      </c>
    </row>
    <row r="554" spans="1:12" x14ac:dyDescent="0.25">
      <c r="A554">
        <v>553</v>
      </c>
      <c r="B554">
        <v>75</v>
      </c>
      <c r="C554" t="s">
        <v>13</v>
      </c>
      <c r="D554" t="s">
        <v>14</v>
      </c>
      <c r="E554">
        <v>6.73</v>
      </c>
      <c r="F554">
        <v>14.75</v>
      </c>
      <c r="G554">
        <v>5.84</v>
      </c>
      <c r="H554" t="s">
        <v>20</v>
      </c>
      <c r="I554" t="s">
        <v>22</v>
      </c>
      <c r="J554" t="s">
        <v>26</v>
      </c>
      <c r="K554">
        <v>14</v>
      </c>
      <c r="L554" t="s">
        <v>29</v>
      </c>
    </row>
    <row r="555" spans="1:12" x14ac:dyDescent="0.25">
      <c r="A555">
        <v>554</v>
      </c>
      <c r="B555">
        <v>75</v>
      </c>
      <c r="C555" t="s">
        <v>13</v>
      </c>
      <c r="D555" t="s">
        <v>14</v>
      </c>
      <c r="E555">
        <v>8.32</v>
      </c>
      <c r="F555">
        <v>22.59</v>
      </c>
      <c r="G555">
        <v>7.1</v>
      </c>
      <c r="H555" t="s">
        <v>19</v>
      </c>
      <c r="I555" t="s">
        <v>23</v>
      </c>
      <c r="J555" t="s">
        <v>25</v>
      </c>
      <c r="K555">
        <v>29</v>
      </c>
      <c r="L555" t="s">
        <v>29</v>
      </c>
    </row>
    <row r="556" spans="1:12" x14ac:dyDescent="0.25">
      <c r="A556">
        <v>555</v>
      </c>
      <c r="B556">
        <v>39</v>
      </c>
      <c r="C556" t="s">
        <v>13</v>
      </c>
      <c r="D556" t="s">
        <v>16</v>
      </c>
      <c r="E556">
        <v>5.79</v>
      </c>
      <c r="F556">
        <v>44.67</v>
      </c>
      <c r="G556">
        <v>6.7</v>
      </c>
      <c r="H556" t="s">
        <v>20</v>
      </c>
      <c r="I556" t="s">
        <v>23</v>
      </c>
      <c r="J556" t="s">
        <v>26</v>
      </c>
      <c r="K556">
        <v>23</v>
      </c>
      <c r="L556" t="s">
        <v>29</v>
      </c>
    </row>
    <row r="557" spans="1:12" x14ac:dyDescent="0.25">
      <c r="A557">
        <v>556</v>
      </c>
      <c r="B557">
        <v>66</v>
      </c>
      <c r="C557" t="s">
        <v>12</v>
      </c>
      <c r="D557" t="s">
        <v>14</v>
      </c>
      <c r="E557">
        <v>14.93</v>
      </c>
      <c r="F557">
        <v>6.89</v>
      </c>
      <c r="G557">
        <v>15.56</v>
      </c>
      <c r="H557" t="s">
        <v>21</v>
      </c>
      <c r="I557" t="s">
        <v>22</v>
      </c>
      <c r="J557" t="s">
        <v>25</v>
      </c>
      <c r="K557">
        <v>27</v>
      </c>
      <c r="L557" t="s">
        <v>29</v>
      </c>
    </row>
    <row r="558" spans="1:12" x14ac:dyDescent="0.25">
      <c r="A558">
        <v>557</v>
      </c>
      <c r="B558">
        <v>69</v>
      </c>
      <c r="C558" t="s">
        <v>12</v>
      </c>
      <c r="D558" t="s">
        <v>17</v>
      </c>
      <c r="E558">
        <v>22.2</v>
      </c>
      <c r="F558">
        <v>2.69</v>
      </c>
      <c r="G558">
        <v>14.72</v>
      </c>
      <c r="H558" t="s">
        <v>19</v>
      </c>
      <c r="I558" t="s">
        <v>23</v>
      </c>
      <c r="J558" t="s">
        <v>27</v>
      </c>
      <c r="K558">
        <v>32</v>
      </c>
      <c r="L558" t="s">
        <v>30</v>
      </c>
    </row>
    <row r="559" spans="1:12" x14ac:dyDescent="0.25">
      <c r="A559">
        <v>558</v>
      </c>
      <c r="B559">
        <v>59</v>
      </c>
      <c r="C559" t="s">
        <v>12</v>
      </c>
      <c r="D559" t="s">
        <v>15</v>
      </c>
      <c r="E559">
        <v>26.8</v>
      </c>
      <c r="F559">
        <v>7.81</v>
      </c>
      <c r="G559">
        <v>2.29</v>
      </c>
      <c r="H559" t="s">
        <v>20</v>
      </c>
      <c r="I559" t="s">
        <v>23</v>
      </c>
      <c r="J559" t="s">
        <v>26</v>
      </c>
      <c r="K559">
        <v>32</v>
      </c>
      <c r="L559" t="s">
        <v>30</v>
      </c>
    </row>
    <row r="560" spans="1:12" x14ac:dyDescent="0.25">
      <c r="A560">
        <v>559</v>
      </c>
      <c r="B560">
        <v>23</v>
      </c>
      <c r="C560" t="s">
        <v>13</v>
      </c>
      <c r="D560" t="s">
        <v>17</v>
      </c>
      <c r="E560">
        <v>20.65</v>
      </c>
      <c r="F560">
        <v>20.52</v>
      </c>
      <c r="G560">
        <v>5.84</v>
      </c>
      <c r="H560" t="s">
        <v>21</v>
      </c>
      <c r="I560" t="s">
        <v>23</v>
      </c>
      <c r="J560" t="s">
        <v>27</v>
      </c>
      <c r="K560">
        <v>12</v>
      </c>
      <c r="L560" t="s">
        <v>29</v>
      </c>
    </row>
    <row r="561" spans="1:12" x14ac:dyDescent="0.25">
      <c r="A561">
        <v>560</v>
      </c>
      <c r="B561">
        <v>32</v>
      </c>
      <c r="C561" t="s">
        <v>13</v>
      </c>
      <c r="D561" t="s">
        <v>17</v>
      </c>
      <c r="E561">
        <v>26.29</v>
      </c>
      <c r="F561">
        <v>4.8099999999999996</v>
      </c>
      <c r="G561">
        <v>11.81</v>
      </c>
      <c r="H561" t="s">
        <v>21</v>
      </c>
      <c r="I561" t="s">
        <v>23</v>
      </c>
      <c r="J561" t="s">
        <v>27</v>
      </c>
      <c r="K561">
        <v>5</v>
      </c>
      <c r="L561" t="s">
        <v>30</v>
      </c>
    </row>
    <row r="562" spans="1:12" x14ac:dyDescent="0.25">
      <c r="A562">
        <v>561</v>
      </c>
      <c r="B562">
        <v>71</v>
      </c>
      <c r="C562" t="s">
        <v>12</v>
      </c>
      <c r="D562" t="s">
        <v>15</v>
      </c>
      <c r="E562">
        <v>16.53</v>
      </c>
      <c r="F562">
        <v>10.02</v>
      </c>
      <c r="G562">
        <v>11.06</v>
      </c>
      <c r="H562" t="s">
        <v>19</v>
      </c>
      <c r="I562" t="s">
        <v>24</v>
      </c>
      <c r="J562" t="s">
        <v>26</v>
      </c>
      <c r="K562">
        <v>15</v>
      </c>
      <c r="L562" t="s">
        <v>29</v>
      </c>
    </row>
    <row r="563" spans="1:12" x14ac:dyDescent="0.25">
      <c r="A563">
        <v>562</v>
      </c>
      <c r="B563">
        <v>60</v>
      </c>
      <c r="C563" t="s">
        <v>12</v>
      </c>
      <c r="D563" t="s">
        <v>16</v>
      </c>
      <c r="E563">
        <v>11.28</v>
      </c>
      <c r="F563">
        <v>15.25</v>
      </c>
      <c r="G563">
        <v>7.66</v>
      </c>
      <c r="H563" t="s">
        <v>19</v>
      </c>
      <c r="I563" t="s">
        <v>22</v>
      </c>
      <c r="J563" t="s">
        <v>26</v>
      </c>
      <c r="K563">
        <v>29</v>
      </c>
      <c r="L563" t="s">
        <v>29</v>
      </c>
    </row>
    <row r="564" spans="1:12" x14ac:dyDescent="0.25">
      <c r="A564">
        <v>563</v>
      </c>
      <c r="B564">
        <v>77</v>
      </c>
      <c r="C564" t="s">
        <v>12</v>
      </c>
      <c r="D564" t="s">
        <v>14</v>
      </c>
      <c r="E564">
        <v>8.49</v>
      </c>
      <c r="F564">
        <v>7.01</v>
      </c>
      <c r="G564">
        <v>9.06</v>
      </c>
      <c r="H564" t="s">
        <v>21</v>
      </c>
      <c r="I564" t="s">
        <v>22</v>
      </c>
      <c r="J564" t="s">
        <v>26</v>
      </c>
      <c r="K564">
        <v>20</v>
      </c>
      <c r="L564" t="s">
        <v>29</v>
      </c>
    </row>
    <row r="565" spans="1:12" x14ac:dyDescent="0.25">
      <c r="A565">
        <v>564</v>
      </c>
      <c r="B565">
        <v>54</v>
      </c>
      <c r="C565" t="s">
        <v>12</v>
      </c>
      <c r="D565" t="s">
        <v>15</v>
      </c>
      <c r="E565">
        <v>15.32</v>
      </c>
      <c r="F565">
        <v>11.9</v>
      </c>
      <c r="G565">
        <v>6.84</v>
      </c>
      <c r="H565" t="s">
        <v>19</v>
      </c>
      <c r="I565" t="s">
        <v>24</v>
      </c>
      <c r="J565" t="s">
        <v>25</v>
      </c>
      <c r="K565">
        <v>26</v>
      </c>
      <c r="L565" t="s">
        <v>30</v>
      </c>
    </row>
    <row r="566" spans="1:12" x14ac:dyDescent="0.25">
      <c r="A566">
        <v>565</v>
      </c>
      <c r="B566">
        <v>50</v>
      </c>
      <c r="C566" t="s">
        <v>13</v>
      </c>
      <c r="D566" t="s">
        <v>16</v>
      </c>
      <c r="E566">
        <v>8.65</v>
      </c>
      <c r="F566">
        <v>4.4000000000000004</v>
      </c>
      <c r="G566">
        <v>16.48</v>
      </c>
      <c r="H566" t="s">
        <v>19</v>
      </c>
      <c r="I566" t="s">
        <v>24</v>
      </c>
      <c r="J566" t="s">
        <v>26</v>
      </c>
      <c r="K566">
        <v>16</v>
      </c>
      <c r="L566" t="s">
        <v>29</v>
      </c>
    </row>
    <row r="567" spans="1:12" x14ac:dyDescent="0.25">
      <c r="A567">
        <v>566</v>
      </c>
      <c r="B567">
        <v>25</v>
      </c>
      <c r="C567" t="s">
        <v>12</v>
      </c>
      <c r="D567" t="s">
        <v>14</v>
      </c>
      <c r="E567">
        <v>21.77</v>
      </c>
      <c r="F567">
        <v>23.67</v>
      </c>
      <c r="G567">
        <v>15.31</v>
      </c>
      <c r="H567" t="s">
        <v>18</v>
      </c>
      <c r="I567" t="s">
        <v>22</v>
      </c>
      <c r="J567" t="s">
        <v>26</v>
      </c>
      <c r="K567">
        <v>6</v>
      </c>
      <c r="L567" t="s">
        <v>29</v>
      </c>
    </row>
    <row r="568" spans="1:12" x14ac:dyDescent="0.25">
      <c r="A568">
        <v>567</v>
      </c>
      <c r="B568">
        <v>70</v>
      </c>
      <c r="C568" t="s">
        <v>12</v>
      </c>
      <c r="D568" t="s">
        <v>14</v>
      </c>
      <c r="E568">
        <v>8.76</v>
      </c>
      <c r="F568">
        <v>8.3000000000000007</v>
      </c>
      <c r="G568">
        <v>7.27</v>
      </c>
      <c r="H568" t="s">
        <v>19</v>
      </c>
      <c r="I568" t="s">
        <v>24</v>
      </c>
      <c r="J568" t="s">
        <v>25</v>
      </c>
      <c r="K568">
        <v>18</v>
      </c>
      <c r="L568" t="s">
        <v>30</v>
      </c>
    </row>
    <row r="569" spans="1:12" x14ac:dyDescent="0.25">
      <c r="A569">
        <v>568</v>
      </c>
      <c r="B569">
        <v>77</v>
      </c>
      <c r="C569" t="s">
        <v>12</v>
      </c>
      <c r="D569" t="s">
        <v>14</v>
      </c>
      <c r="E569">
        <v>12.2</v>
      </c>
      <c r="F569">
        <v>11.65</v>
      </c>
      <c r="G569">
        <v>8.74</v>
      </c>
      <c r="H569" t="s">
        <v>18</v>
      </c>
      <c r="I569" t="s">
        <v>23</v>
      </c>
      <c r="J569" t="s">
        <v>26</v>
      </c>
      <c r="K569">
        <v>12</v>
      </c>
      <c r="L569" t="s">
        <v>29</v>
      </c>
    </row>
    <row r="570" spans="1:12" x14ac:dyDescent="0.25">
      <c r="A570">
        <v>569</v>
      </c>
      <c r="B570">
        <v>61</v>
      </c>
      <c r="C570" t="s">
        <v>12</v>
      </c>
      <c r="D570" t="s">
        <v>17</v>
      </c>
      <c r="E570">
        <v>33.31</v>
      </c>
      <c r="F570">
        <v>1.66</v>
      </c>
      <c r="G570">
        <v>7.29</v>
      </c>
      <c r="H570" t="s">
        <v>19</v>
      </c>
      <c r="I570" t="s">
        <v>23</v>
      </c>
      <c r="J570" t="s">
        <v>28</v>
      </c>
      <c r="K570">
        <v>29</v>
      </c>
      <c r="L570" t="s">
        <v>29</v>
      </c>
    </row>
    <row r="571" spans="1:12" x14ac:dyDescent="0.25">
      <c r="A571">
        <v>570</v>
      </c>
      <c r="B571">
        <v>61</v>
      </c>
      <c r="C571" t="s">
        <v>12</v>
      </c>
      <c r="D571" t="s">
        <v>14</v>
      </c>
      <c r="E571">
        <v>35.270000000000003</v>
      </c>
      <c r="F571">
        <v>3.85</v>
      </c>
      <c r="G571">
        <v>8.1999999999999993</v>
      </c>
      <c r="H571" t="s">
        <v>19</v>
      </c>
      <c r="I571" t="s">
        <v>23</v>
      </c>
      <c r="J571" t="s">
        <v>26</v>
      </c>
      <c r="K571">
        <v>3</v>
      </c>
      <c r="L571" t="s">
        <v>29</v>
      </c>
    </row>
    <row r="572" spans="1:12" x14ac:dyDescent="0.25">
      <c r="A572">
        <v>571</v>
      </c>
      <c r="B572">
        <v>22</v>
      </c>
      <c r="C572" t="s">
        <v>12</v>
      </c>
      <c r="D572" t="s">
        <v>16</v>
      </c>
      <c r="E572">
        <v>34.6</v>
      </c>
      <c r="F572">
        <v>20.05</v>
      </c>
      <c r="G572">
        <v>18.16</v>
      </c>
      <c r="H572" t="s">
        <v>21</v>
      </c>
      <c r="I572" t="s">
        <v>22</v>
      </c>
      <c r="J572" t="s">
        <v>27</v>
      </c>
      <c r="K572">
        <v>7</v>
      </c>
      <c r="L572" t="s">
        <v>30</v>
      </c>
    </row>
    <row r="573" spans="1:12" x14ac:dyDescent="0.25">
      <c r="A573">
        <v>572</v>
      </c>
      <c r="B573">
        <v>56</v>
      </c>
      <c r="C573" t="s">
        <v>12</v>
      </c>
      <c r="D573" t="s">
        <v>15</v>
      </c>
      <c r="E573">
        <v>16.72</v>
      </c>
      <c r="F573">
        <v>6.93</v>
      </c>
      <c r="G573">
        <v>6.7</v>
      </c>
      <c r="H573" t="s">
        <v>18</v>
      </c>
      <c r="I573" t="s">
        <v>22</v>
      </c>
      <c r="J573" t="s">
        <v>26</v>
      </c>
      <c r="K573">
        <v>15</v>
      </c>
      <c r="L573" t="s">
        <v>29</v>
      </c>
    </row>
    <row r="574" spans="1:12" x14ac:dyDescent="0.25">
      <c r="A574">
        <v>573</v>
      </c>
      <c r="B574">
        <v>21</v>
      </c>
      <c r="C574" t="s">
        <v>13</v>
      </c>
      <c r="D574" t="s">
        <v>17</v>
      </c>
      <c r="E574">
        <v>11.62</v>
      </c>
      <c r="F574">
        <v>4.6100000000000003</v>
      </c>
      <c r="G574">
        <v>5.62</v>
      </c>
      <c r="H574" t="s">
        <v>19</v>
      </c>
      <c r="I574" t="s">
        <v>22</v>
      </c>
      <c r="J574" t="s">
        <v>26</v>
      </c>
      <c r="K574">
        <v>5</v>
      </c>
      <c r="L574" t="s">
        <v>29</v>
      </c>
    </row>
    <row r="575" spans="1:12" x14ac:dyDescent="0.25">
      <c r="A575">
        <v>574</v>
      </c>
      <c r="B575">
        <v>23</v>
      </c>
      <c r="C575" t="s">
        <v>13</v>
      </c>
      <c r="D575" t="s">
        <v>16</v>
      </c>
      <c r="E575">
        <v>23.93</v>
      </c>
      <c r="F575">
        <v>2.4700000000000002</v>
      </c>
      <c r="G575">
        <v>8.69</v>
      </c>
      <c r="H575" t="s">
        <v>20</v>
      </c>
      <c r="I575" t="s">
        <v>22</v>
      </c>
      <c r="J575" t="s">
        <v>26</v>
      </c>
      <c r="K575">
        <v>19</v>
      </c>
      <c r="L575" t="s">
        <v>29</v>
      </c>
    </row>
    <row r="576" spans="1:12" x14ac:dyDescent="0.25">
      <c r="A576">
        <v>575</v>
      </c>
      <c r="B576">
        <v>62</v>
      </c>
      <c r="C576" t="s">
        <v>13</v>
      </c>
      <c r="D576" t="s">
        <v>15</v>
      </c>
      <c r="E576">
        <v>8.91</v>
      </c>
      <c r="F576">
        <v>23.37</v>
      </c>
      <c r="G576">
        <v>7.23</v>
      </c>
      <c r="H576" t="s">
        <v>19</v>
      </c>
      <c r="I576" t="s">
        <v>23</v>
      </c>
      <c r="J576" t="s">
        <v>28</v>
      </c>
      <c r="K576">
        <v>21</v>
      </c>
      <c r="L576" t="s">
        <v>29</v>
      </c>
    </row>
    <row r="577" spans="1:12" x14ac:dyDescent="0.25">
      <c r="A577">
        <v>576</v>
      </c>
      <c r="B577">
        <v>49</v>
      </c>
      <c r="C577" t="s">
        <v>13</v>
      </c>
      <c r="D577" t="s">
        <v>16</v>
      </c>
      <c r="E577">
        <v>27.63</v>
      </c>
      <c r="F577">
        <v>16.57</v>
      </c>
      <c r="G577">
        <v>4.97</v>
      </c>
      <c r="H577" t="s">
        <v>21</v>
      </c>
      <c r="I577" t="s">
        <v>23</v>
      </c>
      <c r="J577" t="s">
        <v>26</v>
      </c>
      <c r="K577">
        <v>7</v>
      </c>
      <c r="L577" t="s">
        <v>29</v>
      </c>
    </row>
    <row r="578" spans="1:12" x14ac:dyDescent="0.25">
      <c r="A578">
        <v>577</v>
      </c>
      <c r="B578">
        <v>69</v>
      </c>
      <c r="C578" t="s">
        <v>12</v>
      </c>
      <c r="D578" t="s">
        <v>16</v>
      </c>
      <c r="E578">
        <v>10.86</v>
      </c>
      <c r="F578">
        <v>15.81</v>
      </c>
      <c r="G578">
        <v>13.97</v>
      </c>
      <c r="H578" t="s">
        <v>21</v>
      </c>
      <c r="I578" t="s">
        <v>22</v>
      </c>
      <c r="J578" t="s">
        <v>25</v>
      </c>
      <c r="K578">
        <v>26</v>
      </c>
      <c r="L578" t="s">
        <v>30</v>
      </c>
    </row>
    <row r="579" spans="1:12" x14ac:dyDescent="0.25">
      <c r="A579">
        <v>578</v>
      </c>
      <c r="B579">
        <v>47</v>
      </c>
      <c r="C579" t="s">
        <v>13</v>
      </c>
      <c r="D579" t="s">
        <v>15</v>
      </c>
      <c r="E579">
        <v>14.88</v>
      </c>
      <c r="F579">
        <v>29.76</v>
      </c>
      <c r="G579">
        <v>15.02</v>
      </c>
      <c r="H579" t="s">
        <v>21</v>
      </c>
      <c r="I579" t="s">
        <v>23</v>
      </c>
      <c r="J579" t="s">
        <v>27</v>
      </c>
      <c r="K579">
        <v>35</v>
      </c>
      <c r="L579" t="s">
        <v>29</v>
      </c>
    </row>
    <row r="580" spans="1:12" x14ac:dyDescent="0.25">
      <c r="A580">
        <v>579</v>
      </c>
      <c r="B580">
        <v>64</v>
      </c>
      <c r="C580" t="s">
        <v>13</v>
      </c>
      <c r="D580" t="s">
        <v>17</v>
      </c>
      <c r="E580">
        <v>28.01</v>
      </c>
      <c r="F580">
        <v>7.72</v>
      </c>
      <c r="G580">
        <v>9.93</v>
      </c>
      <c r="H580" t="s">
        <v>18</v>
      </c>
      <c r="I580" t="s">
        <v>22</v>
      </c>
      <c r="J580" t="s">
        <v>25</v>
      </c>
      <c r="K580">
        <v>23</v>
      </c>
      <c r="L580" t="s">
        <v>29</v>
      </c>
    </row>
    <row r="581" spans="1:12" x14ac:dyDescent="0.25">
      <c r="A581">
        <v>580</v>
      </c>
      <c r="B581">
        <v>52</v>
      </c>
      <c r="C581" t="s">
        <v>12</v>
      </c>
      <c r="D581" t="s">
        <v>16</v>
      </c>
      <c r="E581">
        <v>3.52</v>
      </c>
      <c r="F581">
        <v>2.73</v>
      </c>
      <c r="G581">
        <v>5.4</v>
      </c>
      <c r="H581" t="s">
        <v>18</v>
      </c>
      <c r="I581" t="s">
        <v>22</v>
      </c>
      <c r="J581" t="s">
        <v>26</v>
      </c>
      <c r="K581">
        <v>5</v>
      </c>
      <c r="L581" t="s">
        <v>29</v>
      </c>
    </row>
    <row r="582" spans="1:12" x14ac:dyDescent="0.25">
      <c r="A582">
        <v>581</v>
      </c>
      <c r="B582">
        <v>72</v>
      </c>
      <c r="C582" t="s">
        <v>12</v>
      </c>
      <c r="D582" t="s">
        <v>17</v>
      </c>
      <c r="E582">
        <v>11.2</v>
      </c>
      <c r="F582">
        <v>10.48</v>
      </c>
      <c r="G582">
        <v>16.55</v>
      </c>
      <c r="H582" t="s">
        <v>18</v>
      </c>
      <c r="I582" t="s">
        <v>22</v>
      </c>
      <c r="J582" t="s">
        <v>28</v>
      </c>
      <c r="K582">
        <v>6</v>
      </c>
      <c r="L582" t="s">
        <v>29</v>
      </c>
    </row>
    <row r="583" spans="1:12" x14ac:dyDescent="0.25">
      <c r="A583">
        <v>582</v>
      </c>
      <c r="B583">
        <v>57</v>
      </c>
      <c r="C583" t="s">
        <v>13</v>
      </c>
      <c r="D583" t="s">
        <v>15</v>
      </c>
      <c r="E583">
        <v>22.07</v>
      </c>
      <c r="F583">
        <v>33.57</v>
      </c>
      <c r="G583">
        <v>3.28</v>
      </c>
      <c r="H583" t="s">
        <v>20</v>
      </c>
      <c r="I583" t="s">
        <v>23</v>
      </c>
      <c r="J583" t="s">
        <v>27</v>
      </c>
      <c r="K583">
        <v>34</v>
      </c>
      <c r="L583" t="s">
        <v>29</v>
      </c>
    </row>
    <row r="584" spans="1:12" x14ac:dyDescent="0.25">
      <c r="A584">
        <v>583</v>
      </c>
      <c r="B584">
        <v>69</v>
      </c>
      <c r="C584" t="s">
        <v>13</v>
      </c>
      <c r="D584" t="s">
        <v>15</v>
      </c>
      <c r="E584">
        <v>25.16</v>
      </c>
      <c r="F584">
        <v>10.64</v>
      </c>
      <c r="G584">
        <v>0.69</v>
      </c>
      <c r="H584" t="s">
        <v>18</v>
      </c>
      <c r="I584" t="s">
        <v>22</v>
      </c>
      <c r="J584" t="s">
        <v>26</v>
      </c>
      <c r="K584">
        <v>26</v>
      </c>
      <c r="L584" t="s">
        <v>30</v>
      </c>
    </row>
    <row r="585" spans="1:12" x14ac:dyDescent="0.25">
      <c r="A585">
        <v>584</v>
      </c>
      <c r="B585">
        <v>33</v>
      </c>
      <c r="C585" t="s">
        <v>12</v>
      </c>
      <c r="D585" t="s">
        <v>17</v>
      </c>
      <c r="E585">
        <v>22.63</v>
      </c>
      <c r="F585">
        <v>22.19</v>
      </c>
      <c r="G585">
        <v>7.73</v>
      </c>
      <c r="H585" t="s">
        <v>21</v>
      </c>
      <c r="I585" t="s">
        <v>24</v>
      </c>
      <c r="J585" t="s">
        <v>25</v>
      </c>
      <c r="K585">
        <v>20</v>
      </c>
      <c r="L585" t="s">
        <v>30</v>
      </c>
    </row>
    <row r="586" spans="1:12" x14ac:dyDescent="0.25">
      <c r="A586">
        <v>585</v>
      </c>
      <c r="B586">
        <v>30</v>
      </c>
      <c r="C586" t="s">
        <v>13</v>
      </c>
      <c r="D586" t="s">
        <v>14</v>
      </c>
      <c r="E586">
        <v>14.75</v>
      </c>
      <c r="F586">
        <v>2.83</v>
      </c>
      <c r="G586">
        <v>29.34</v>
      </c>
      <c r="H586" t="s">
        <v>18</v>
      </c>
      <c r="I586" t="s">
        <v>24</v>
      </c>
      <c r="J586" t="s">
        <v>28</v>
      </c>
      <c r="K586">
        <v>5</v>
      </c>
      <c r="L586" t="s">
        <v>29</v>
      </c>
    </row>
    <row r="587" spans="1:12" x14ac:dyDescent="0.25">
      <c r="A587">
        <v>586</v>
      </c>
      <c r="B587">
        <v>67</v>
      </c>
      <c r="C587" t="s">
        <v>12</v>
      </c>
      <c r="D587" t="s">
        <v>15</v>
      </c>
      <c r="E587">
        <v>29.78</v>
      </c>
      <c r="F587">
        <v>5.28</v>
      </c>
      <c r="G587">
        <v>10.1</v>
      </c>
      <c r="H587" t="s">
        <v>18</v>
      </c>
      <c r="I587" t="s">
        <v>24</v>
      </c>
      <c r="J587" t="s">
        <v>28</v>
      </c>
      <c r="K587">
        <v>28</v>
      </c>
      <c r="L587" t="s">
        <v>29</v>
      </c>
    </row>
    <row r="588" spans="1:12" x14ac:dyDescent="0.25">
      <c r="A588">
        <v>587</v>
      </c>
      <c r="B588">
        <v>77</v>
      </c>
      <c r="C588" t="s">
        <v>12</v>
      </c>
      <c r="D588" t="s">
        <v>16</v>
      </c>
      <c r="E588">
        <v>8.26</v>
      </c>
      <c r="F588">
        <v>19.23</v>
      </c>
      <c r="G588">
        <v>7</v>
      </c>
      <c r="H588" t="s">
        <v>19</v>
      </c>
      <c r="I588" t="s">
        <v>22</v>
      </c>
      <c r="J588" t="s">
        <v>26</v>
      </c>
      <c r="K588">
        <v>26</v>
      </c>
      <c r="L588" t="s">
        <v>29</v>
      </c>
    </row>
    <row r="589" spans="1:12" x14ac:dyDescent="0.25">
      <c r="A589">
        <v>588</v>
      </c>
      <c r="B589">
        <v>59</v>
      </c>
      <c r="C589" t="s">
        <v>12</v>
      </c>
      <c r="D589" t="s">
        <v>15</v>
      </c>
      <c r="E589">
        <v>7.98</v>
      </c>
      <c r="F589">
        <v>11.47</v>
      </c>
      <c r="G589">
        <v>12.25</v>
      </c>
      <c r="H589" t="s">
        <v>18</v>
      </c>
      <c r="I589" t="s">
        <v>23</v>
      </c>
      <c r="J589" t="s">
        <v>27</v>
      </c>
      <c r="K589">
        <v>3</v>
      </c>
      <c r="L589" t="s">
        <v>29</v>
      </c>
    </row>
    <row r="590" spans="1:12" x14ac:dyDescent="0.25">
      <c r="A590">
        <v>589</v>
      </c>
      <c r="B590">
        <v>47</v>
      </c>
      <c r="C590" t="s">
        <v>12</v>
      </c>
      <c r="D590" t="s">
        <v>15</v>
      </c>
      <c r="E590">
        <v>21.93</v>
      </c>
      <c r="F590">
        <v>9.2899999999999991</v>
      </c>
      <c r="G590">
        <v>12.24</v>
      </c>
      <c r="H590" t="s">
        <v>19</v>
      </c>
      <c r="I590" t="s">
        <v>22</v>
      </c>
      <c r="J590" t="s">
        <v>26</v>
      </c>
      <c r="K590">
        <v>14</v>
      </c>
      <c r="L590" t="s">
        <v>30</v>
      </c>
    </row>
    <row r="591" spans="1:12" x14ac:dyDescent="0.25">
      <c r="A591">
        <v>590</v>
      </c>
      <c r="B591">
        <v>36</v>
      </c>
      <c r="C591" t="s">
        <v>13</v>
      </c>
      <c r="D591" t="s">
        <v>14</v>
      </c>
      <c r="E591">
        <v>7.54</v>
      </c>
      <c r="F591">
        <v>21.98</v>
      </c>
      <c r="G591">
        <v>19.45</v>
      </c>
      <c r="H591" t="s">
        <v>18</v>
      </c>
      <c r="I591" t="s">
        <v>24</v>
      </c>
      <c r="J591" t="s">
        <v>26</v>
      </c>
      <c r="K591">
        <v>19</v>
      </c>
      <c r="L591" t="s">
        <v>29</v>
      </c>
    </row>
    <row r="592" spans="1:12" x14ac:dyDescent="0.25">
      <c r="A592">
        <v>591</v>
      </c>
      <c r="B592">
        <v>34</v>
      </c>
      <c r="C592" t="s">
        <v>12</v>
      </c>
      <c r="D592" t="s">
        <v>16</v>
      </c>
      <c r="E592">
        <v>46.48</v>
      </c>
      <c r="F592">
        <v>19.05</v>
      </c>
      <c r="G592">
        <v>4.6900000000000004</v>
      </c>
      <c r="H592" t="s">
        <v>19</v>
      </c>
      <c r="I592" t="s">
        <v>23</v>
      </c>
      <c r="J592" t="s">
        <v>26</v>
      </c>
      <c r="K592">
        <v>23</v>
      </c>
      <c r="L592" t="s">
        <v>30</v>
      </c>
    </row>
    <row r="593" spans="1:12" x14ac:dyDescent="0.25">
      <c r="A593">
        <v>592</v>
      </c>
      <c r="B593">
        <v>73</v>
      </c>
      <c r="C593" t="s">
        <v>12</v>
      </c>
      <c r="D593" t="s">
        <v>15</v>
      </c>
      <c r="E593">
        <v>11.44</v>
      </c>
      <c r="F593">
        <v>11.7</v>
      </c>
      <c r="G593">
        <v>12.54</v>
      </c>
      <c r="H593" t="s">
        <v>21</v>
      </c>
      <c r="I593" t="s">
        <v>23</v>
      </c>
      <c r="J593" t="s">
        <v>26</v>
      </c>
      <c r="K593">
        <v>23</v>
      </c>
      <c r="L593" t="s">
        <v>30</v>
      </c>
    </row>
    <row r="594" spans="1:12" x14ac:dyDescent="0.25">
      <c r="A594">
        <v>593</v>
      </c>
      <c r="B594">
        <v>36</v>
      </c>
      <c r="C594" t="s">
        <v>13</v>
      </c>
      <c r="D594" t="s">
        <v>17</v>
      </c>
      <c r="E594">
        <v>29.43</v>
      </c>
      <c r="F594">
        <v>0.6</v>
      </c>
      <c r="G594">
        <v>8.68</v>
      </c>
      <c r="H594" t="s">
        <v>18</v>
      </c>
      <c r="I594" t="s">
        <v>23</v>
      </c>
      <c r="J594" t="s">
        <v>25</v>
      </c>
      <c r="K594">
        <v>5</v>
      </c>
      <c r="L594" t="s">
        <v>30</v>
      </c>
    </row>
    <row r="595" spans="1:12" x14ac:dyDescent="0.25">
      <c r="A595">
        <v>594</v>
      </c>
      <c r="B595">
        <v>45</v>
      </c>
      <c r="C595" t="s">
        <v>12</v>
      </c>
      <c r="D595" t="s">
        <v>15</v>
      </c>
      <c r="E595">
        <v>6.51</v>
      </c>
      <c r="F595">
        <v>10.14</v>
      </c>
      <c r="G595">
        <v>9.4700000000000006</v>
      </c>
      <c r="H595" t="s">
        <v>21</v>
      </c>
      <c r="I595" t="s">
        <v>22</v>
      </c>
      <c r="J595" t="s">
        <v>26</v>
      </c>
      <c r="K595">
        <v>30</v>
      </c>
      <c r="L595" t="s">
        <v>29</v>
      </c>
    </row>
    <row r="596" spans="1:12" x14ac:dyDescent="0.25">
      <c r="A596">
        <v>595</v>
      </c>
      <c r="B596">
        <v>75</v>
      </c>
      <c r="C596" t="s">
        <v>13</v>
      </c>
      <c r="D596" t="s">
        <v>17</v>
      </c>
      <c r="E596">
        <v>40.67</v>
      </c>
      <c r="F596">
        <v>13.87</v>
      </c>
      <c r="G596">
        <v>8.4499999999999993</v>
      </c>
      <c r="H596" t="s">
        <v>18</v>
      </c>
      <c r="I596" t="s">
        <v>23</v>
      </c>
      <c r="J596" t="s">
        <v>26</v>
      </c>
      <c r="K596">
        <v>27</v>
      </c>
      <c r="L596" t="s">
        <v>30</v>
      </c>
    </row>
    <row r="597" spans="1:12" x14ac:dyDescent="0.25">
      <c r="A597">
        <v>596</v>
      </c>
      <c r="B597">
        <v>72</v>
      </c>
      <c r="C597" t="s">
        <v>13</v>
      </c>
      <c r="D597" t="s">
        <v>16</v>
      </c>
      <c r="E597">
        <v>17.5</v>
      </c>
      <c r="F597">
        <v>1.71</v>
      </c>
      <c r="G597">
        <v>8.35</v>
      </c>
      <c r="H597" t="s">
        <v>20</v>
      </c>
      <c r="I597" t="s">
        <v>23</v>
      </c>
      <c r="J597" t="s">
        <v>26</v>
      </c>
      <c r="K597">
        <v>8</v>
      </c>
      <c r="L597" t="s">
        <v>29</v>
      </c>
    </row>
    <row r="598" spans="1:12" x14ac:dyDescent="0.25">
      <c r="A598">
        <v>597</v>
      </c>
      <c r="B598">
        <v>43</v>
      </c>
      <c r="C598" t="s">
        <v>13</v>
      </c>
      <c r="D598" t="s">
        <v>15</v>
      </c>
      <c r="E598">
        <v>11.22</v>
      </c>
      <c r="F598">
        <v>13.53</v>
      </c>
      <c r="G598">
        <v>2.33</v>
      </c>
      <c r="H598" t="s">
        <v>20</v>
      </c>
      <c r="I598" t="s">
        <v>24</v>
      </c>
      <c r="J598" t="s">
        <v>26</v>
      </c>
      <c r="K598">
        <v>32</v>
      </c>
      <c r="L598" t="s">
        <v>30</v>
      </c>
    </row>
    <row r="599" spans="1:12" x14ac:dyDescent="0.25">
      <c r="A599">
        <v>598</v>
      </c>
      <c r="B599">
        <v>54</v>
      </c>
      <c r="C599" t="s">
        <v>12</v>
      </c>
      <c r="D599" t="s">
        <v>15</v>
      </c>
      <c r="E599">
        <v>14.04</v>
      </c>
      <c r="F599">
        <v>22.67</v>
      </c>
      <c r="G599">
        <v>6.46</v>
      </c>
      <c r="H599" t="s">
        <v>21</v>
      </c>
      <c r="I599" t="s">
        <v>22</v>
      </c>
      <c r="J599" t="s">
        <v>28</v>
      </c>
      <c r="K599">
        <v>34</v>
      </c>
      <c r="L599" t="s">
        <v>30</v>
      </c>
    </row>
    <row r="600" spans="1:12" x14ac:dyDescent="0.25">
      <c r="A600">
        <v>599</v>
      </c>
      <c r="B600">
        <v>43</v>
      </c>
      <c r="C600" t="s">
        <v>13</v>
      </c>
      <c r="D600" t="s">
        <v>17</v>
      </c>
      <c r="E600">
        <v>9.92</v>
      </c>
      <c r="F600">
        <v>10.130000000000001</v>
      </c>
      <c r="G600">
        <v>8.51</v>
      </c>
      <c r="H600" t="s">
        <v>21</v>
      </c>
      <c r="I600" t="s">
        <v>23</v>
      </c>
      <c r="J600" t="s">
        <v>27</v>
      </c>
      <c r="K600">
        <v>24</v>
      </c>
      <c r="L600" t="s">
        <v>29</v>
      </c>
    </row>
    <row r="601" spans="1:12" x14ac:dyDescent="0.25">
      <c r="A601">
        <v>600</v>
      </c>
      <c r="B601">
        <v>70</v>
      </c>
      <c r="C601" t="s">
        <v>13</v>
      </c>
      <c r="D601" t="s">
        <v>14</v>
      </c>
      <c r="E601">
        <v>14.85</v>
      </c>
      <c r="F601">
        <v>4.1399999999999997</v>
      </c>
      <c r="G601">
        <v>11.47</v>
      </c>
      <c r="H601" t="s">
        <v>20</v>
      </c>
      <c r="I601" t="s">
        <v>23</v>
      </c>
      <c r="J601" t="s">
        <v>26</v>
      </c>
      <c r="K601">
        <v>16</v>
      </c>
      <c r="L601" t="s">
        <v>29</v>
      </c>
    </row>
    <row r="602" spans="1:12" x14ac:dyDescent="0.25">
      <c r="A602">
        <v>601</v>
      </c>
      <c r="B602">
        <v>79</v>
      </c>
      <c r="C602" t="s">
        <v>12</v>
      </c>
      <c r="D602" t="s">
        <v>14</v>
      </c>
      <c r="E602">
        <v>6.84</v>
      </c>
      <c r="F602">
        <v>0.73</v>
      </c>
      <c r="G602">
        <v>9.52</v>
      </c>
      <c r="H602" t="s">
        <v>20</v>
      </c>
      <c r="I602" t="s">
        <v>23</v>
      </c>
      <c r="J602" t="s">
        <v>27</v>
      </c>
      <c r="K602">
        <v>28</v>
      </c>
      <c r="L602" t="s">
        <v>29</v>
      </c>
    </row>
    <row r="603" spans="1:12" x14ac:dyDescent="0.25">
      <c r="A603">
        <v>602</v>
      </c>
      <c r="B603">
        <v>40</v>
      </c>
      <c r="C603" t="s">
        <v>13</v>
      </c>
      <c r="D603" t="s">
        <v>15</v>
      </c>
      <c r="E603">
        <v>11.48</v>
      </c>
      <c r="F603">
        <v>13.72</v>
      </c>
      <c r="G603">
        <v>9.26</v>
      </c>
      <c r="H603" t="s">
        <v>19</v>
      </c>
      <c r="I603" t="s">
        <v>22</v>
      </c>
      <c r="J603" t="s">
        <v>26</v>
      </c>
      <c r="K603">
        <v>15</v>
      </c>
      <c r="L603" t="s">
        <v>29</v>
      </c>
    </row>
    <row r="604" spans="1:12" x14ac:dyDescent="0.25">
      <c r="A604">
        <v>603</v>
      </c>
      <c r="B604">
        <v>26</v>
      </c>
      <c r="C604" t="s">
        <v>13</v>
      </c>
      <c r="D604" t="s">
        <v>16</v>
      </c>
      <c r="E604">
        <v>29.09</v>
      </c>
      <c r="F604">
        <v>1.97</v>
      </c>
      <c r="G604">
        <v>13.28</v>
      </c>
      <c r="H604" t="s">
        <v>18</v>
      </c>
      <c r="I604" t="s">
        <v>23</v>
      </c>
      <c r="J604" t="s">
        <v>25</v>
      </c>
      <c r="K604">
        <v>32</v>
      </c>
      <c r="L604" t="s">
        <v>30</v>
      </c>
    </row>
    <row r="605" spans="1:12" x14ac:dyDescent="0.25">
      <c r="A605">
        <v>604</v>
      </c>
      <c r="B605">
        <v>29</v>
      </c>
      <c r="C605" t="s">
        <v>13</v>
      </c>
      <c r="D605" t="s">
        <v>17</v>
      </c>
      <c r="E605">
        <v>19.920000000000002</v>
      </c>
      <c r="F605">
        <v>15.71</v>
      </c>
      <c r="G605">
        <v>21.78</v>
      </c>
      <c r="H605" t="s">
        <v>20</v>
      </c>
      <c r="I605" t="s">
        <v>22</v>
      </c>
      <c r="J605" t="s">
        <v>28</v>
      </c>
      <c r="K605">
        <v>21</v>
      </c>
      <c r="L605" t="s">
        <v>29</v>
      </c>
    </row>
    <row r="606" spans="1:12" x14ac:dyDescent="0.25">
      <c r="A606">
        <v>605</v>
      </c>
      <c r="B606">
        <v>70</v>
      </c>
      <c r="C606" t="s">
        <v>13</v>
      </c>
      <c r="D606" t="s">
        <v>17</v>
      </c>
      <c r="E606">
        <v>8.1300000000000008</v>
      </c>
      <c r="F606">
        <v>32.5</v>
      </c>
      <c r="G606">
        <v>7.7</v>
      </c>
      <c r="H606" t="s">
        <v>21</v>
      </c>
      <c r="I606" t="s">
        <v>22</v>
      </c>
      <c r="J606" t="s">
        <v>26</v>
      </c>
      <c r="K606">
        <v>5</v>
      </c>
      <c r="L606" t="s">
        <v>29</v>
      </c>
    </row>
    <row r="607" spans="1:12" x14ac:dyDescent="0.25">
      <c r="A607">
        <v>606</v>
      </c>
      <c r="B607">
        <v>18</v>
      </c>
      <c r="C607" t="s">
        <v>13</v>
      </c>
      <c r="D607" t="s">
        <v>16</v>
      </c>
      <c r="E607">
        <v>15.21</v>
      </c>
      <c r="F607">
        <v>5.5</v>
      </c>
      <c r="G607">
        <v>4.6399999999999997</v>
      </c>
      <c r="H607" t="s">
        <v>21</v>
      </c>
      <c r="I607" t="s">
        <v>22</v>
      </c>
      <c r="J607" t="s">
        <v>25</v>
      </c>
      <c r="K607">
        <v>33</v>
      </c>
      <c r="L607" t="s">
        <v>29</v>
      </c>
    </row>
    <row r="608" spans="1:12" x14ac:dyDescent="0.25">
      <c r="A608">
        <v>607</v>
      </c>
      <c r="B608">
        <v>75</v>
      </c>
      <c r="C608" t="s">
        <v>12</v>
      </c>
      <c r="D608" t="s">
        <v>14</v>
      </c>
      <c r="E608">
        <v>35.520000000000003</v>
      </c>
      <c r="F608">
        <v>8.4600000000000009</v>
      </c>
      <c r="G608">
        <v>16.420000000000002</v>
      </c>
      <c r="H608" t="s">
        <v>20</v>
      </c>
      <c r="I608" t="s">
        <v>23</v>
      </c>
      <c r="J608" t="s">
        <v>26</v>
      </c>
      <c r="K608">
        <v>14</v>
      </c>
      <c r="L608" t="s">
        <v>29</v>
      </c>
    </row>
    <row r="609" spans="1:12" x14ac:dyDescent="0.25">
      <c r="A609">
        <v>608</v>
      </c>
      <c r="B609">
        <v>75</v>
      </c>
      <c r="C609" t="s">
        <v>13</v>
      </c>
      <c r="D609" t="s">
        <v>14</v>
      </c>
      <c r="E609">
        <v>12.46</v>
      </c>
      <c r="F609">
        <v>33.74</v>
      </c>
      <c r="G609">
        <v>12.45</v>
      </c>
      <c r="H609" t="s">
        <v>21</v>
      </c>
      <c r="I609" t="s">
        <v>22</v>
      </c>
      <c r="J609" t="s">
        <v>26</v>
      </c>
      <c r="K609">
        <v>17</v>
      </c>
      <c r="L609" t="s">
        <v>29</v>
      </c>
    </row>
    <row r="610" spans="1:12" x14ac:dyDescent="0.25">
      <c r="A610">
        <v>609</v>
      </c>
      <c r="B610">
        <v>18</v>
      </c>
      <c r="C610" t="s">
        <v>13</v>
      </c>
      <c r="D610" t="s">
        <v>17</v>
      </c>
      <c r="E610">
        <v>7.47</v>
      </c>
      <c r="F610">
        <v>11.09</v>
      </c>
      <c r="G610">
        <v>7.27</v>
      </c>
      <c r="H610" t="s">
        <v>18</v>
      </c>
      <c r="I610" t="s">
        <v>24</v>
      </c>
      <c r="J610" t="s">
        <v>25</v>
      </c>
      <c r="K610">
        <v>16</v>
      </c>
      <c r="L610" t="s">
        <v>30</v>
      </c>
    </row>
    <row r="611" spans="1:12" x14ac:dyDescent="0.25">
      <c r="A611">
        <v>610</v>
      </c>
      <c r="B611">
        <v>64</v>
      </c>
      <c r="C611" t="s">
        <v>12</v>
      </c>
      <c r="D611" t="s">
        <v>17</v>
      </c>
      <c r="E611">
        <v>24.59</v>
      </c>
      <c r="F611">
        <v>6.99</v>
      </c>
      <c r="G611">
        <v>0.98</v>
      </c>
      <c r="H611" t="s">
        <v>19</v>
      </c>
      <c r="I611" t="s">
        <v>23</v>
      </c>
      <c r="J611" t="s">
        <v>28</v>
      </c>
      <c r="K611">
        <v>18</v>
      </c>
      <c r="L611" t="s">
        <v>30</v>
      </c>
    </row>
    <row r="612" spans="1:12" x14ac:dyDescent="0.25">
      <c r="A612">
        <v>611</v>
      </c>
      <c r="B612">
        <v>51</v>
      </c>
      <c r="C612" t="s">
        <v>12</v>
      </c>
      <c r="D612" t="s">
        <v>16</v>
      </c>
      <c r="E612">
        <v>2.2799999999999998</v>
      </c>
      <c r="F612">
        <v>20.51</v>
      </c>
      <c r="G612">
        <v>16.73</v>
      </c>
      <c r="H612" t="s">
        <v>18</v>
      </c>
      <c r="I612" t="s">
        <v>23</v>
      </c>
      <c r="J612" t="s">
        <v>26</v>
      </c>
      <c r="K612">
        <v>26</v>
      </c>
      <c r="L612" t="s">
        <v>29</v>
      </c>
    </row>
    <row r="613" spans="1:12" x14ac:dyDescent="0.25">
      <c r="A613">
        <v>612</v>
      </c>
      <c r="B613">
        <v>49</v>
      </c>
      <c r="C613" t="s">
        <v>12</v>
      </c>
      <c r="D613" t="s">
        <v>15</v>
      </c>
      <c r="E613">
        <v>14.27</v>
      </c>
      <c r="F613">
        <v>7.31</v>
      </c>
      <c r="G613">
        <v>4.51</v>
      </c>
      <c r="H613" t="s">
        <v>19</v>
      </c>
      <c r="I613" t="s">
        <v>22</v>
      </c>
      <c r="J613" t="s">
        <v>27</v>
      </c>
      <c r="K613">
        <v>19</v>
      </c>
      <c r="L613" t="s">
        <v>30</v>
      </c>
    </row>
    <row r="614" spans="1:12" x14ac:dyDescent="0.25">
      <c r="A614">
        <v>613</v>
      </c>
      <c r="B614">
        <v>79</v>
      </c>
      <c r="C614" t="s">
        <v>13</v>
      </c>
      <c r="D614" t="s">
        <v>17</v>
      </c>
      <c r="E614">
        <v>37.42</v>
      </c>
      <c r="F614">
        <v>5.18</v>
      </c>
      <c r="G614">
        <v>7.74</v>
      </c>
      <c r="H614" t="s">
        <v>19</v>
      </c>
      <c r="I614" t="s">
        <v>22</v>
      </c>
      <c r="J614" t="s">
        <v>27</v>
      </c>
      <c r="K614">
        <v>20</v>
      </c>
      <c r="L614" t="s">
        <v>29</v>
      </c>
    </row>
    <row r="615" spans="1:12" x14ac:dyDescent="0.25">
      <c r="A615">
        <v>614</v>
      </c>
      <c r="B615">
        <v>71</v>
      </c>
      <c r="C615" t="s">
        <v>12</v>
      </c>
      <c r="D615" t="s">
        <v>17</v>
      </c>
      <c r="E615">
        <v>14.91</v>
      </c>
      <c r="F615">
        <v>15.54</v>
      </c>
      <c r="G615">
        <v>7.08</v>
      </c>
      <c r="H615" t="s">
        <v>20</v>
      </c>
      <c r="I615" t="s">
        <v>23</v>
      </c>
      <c r="J615" t="s">
        <v>26</v>
      </c>
      <c r="K615">
        <v>19</v>
      </c>
      <c r="L615" t="s">
        <v>29</v>
      </c>
    </row>
    <row r="616" spans="1:12" x14ac:dyDescent="0.25">
      <c r="A616">
        <v>615</v>
      </c>
      <c r="B616">
        <v>65</v>
      </c>
      <c r="C616" t="s">
        <v>13</v>
      </c>
      <c r="D616" t="s">
        <v>16</v>
      </c>
      <c r="E616">
        <v>30.88</v>
      </c>
      <c r="F616">
        <v>21.66</v>
      </c>
      <c r="G616">
        <v>17.28</v>
      </c>
      <c r="H616" t="s">
        <v>21</v>
      </c>
      <c r="I616" t="s">
        <v>22</v>
      </c>
      <c r="J616" t="s">
        <v>26</v>
      </c>
      <c r="K616">
        <v>18</v>
      </c>
      <c r="L616" t="s">
        <v>29</v>
      </c>
    </row>
    <row r="617" spans="1:12" x14ac:dyDescent="0.25">
      <c r="A617">
        <v>616</v>
      </c>
      <c r="B617">
        <v>42</v>
      </c>
      <c r="C617" t="s">
        <v>13</v>
      </c>
      <c r="D617" t="s">
        <v>15</v>
      </c>
      <c r="E617">
        <v>7.39</v>
      </c>
      <c r="F617">
        <v>5.15</v>
      </c>
      <c r="G617">
        <v>10.93</v>
      </c>
      <c r="H617" t="s">
        <v>19</v>
      </c>
      <c r="I617" t="s">
        <v>22</v>
      </c>
      <c r="J617" t="s">
        <v>25</v>
      </c>
      <c r="K617">
        <v>23</v>
      </c>
      <c r="L617" t="s">
        <v>29</v>
      </c>
    </row>
    <row r="618" spans="1:12" x14ac:dyDescent="0.25">
      <c r="A618">
        <v>617</v>
      </c>
      <c r="B618">
        <v>57</v>
      </c>
      <c r="C618" t="s">
        <v>12</v>
      </c>
      <c r="D618" t="s">
        <v>15</v>
      </c>
      <c r="E618">
        <v>14.51</v>
      </c>
      <c r="F618">
        <v>11.79</v>
      </c>
      <c r="G618">
        <v>3.47</v>
      </c>
      <c r="H618" t="s">
        <v>20</v>
      </c>
      <c r="I618" t="s">
        <v>24</v>
      </c>
      <c r="J618" t="s">
        <v>26</v>
      </c>
      <c r="K618">
        <v>26</v>
      </c>
      <c r="L618" t="s">
        <v>29</v>
      </c>
    </row>
    <row r="619" spans="1:12" x14ac:dyDescent="0.25">
      <c r="A619">
        <v>618</v>
      </c>
      <c r="B619">
        <v>62</v>
      </c>
      <c r="C619" t="s">
        <v>12</v>
      </c>
      <c r="D619" t="s">
        <v>14</v>
      </c>
      <c r="E619">
        <v>13.58</v>
      </c>
      <c r="F619">
        <v>8.76</v>
      </c>
      <c r="G619">
        <v>35.36</v>
      </c>
      <c r="H619" t="s">
        <v>21</v>
      </c>
      <c r="I619" t="s">
        <v>23</v>
      </c>
      <c r="J619" t="s">
        <v>26</v>
      </c>
      <c r="K619">
        <v>29</v>
      </c>
      <c r="L619" t="s">
        <v>29</v>
      </c>
    </row>
    <row r="620" spans="1:12" x14ac:dyDescent="0.25">
      <c r="A620">
        <v>619</v>
      </c>
      <c r="B620">
        <v>70</v>
      </c>
      <c r="C620" t="s">
        <v>13</v>
      </c>
      <c r="D620" t="s">
        <v>15</v>
      </c>
      <c r="E620">
        <v>23.76</v>
      </c>
      <c r="F620">
        <v>9.91</v>
      </c>
      <c r="G620">
        <v>12.93</v>
      </c>
      <c r="H620" t="s">
        <v>21</v>
      </c>
      <c r="I620" t="s">
        <v>22</v>
      </c>
      <c r="J620" t="s">
        <v>28</v>
      </c>
      <c r="K620">
        <v>19</v>
      </c>
      <c r="L620" t="s">
        <v>29</v>
      </c>
    </row>
    <row r="621" spans="1:12" x14ac:dyDescent="0.25">
      <c r="A621">
        <v>620</v>
      </c>
      <c r="B621">
        <v>18</v>
      </c>
      <c r="C621" t="s">
        <v>12</v>
      </c>
      <c r="D621" t="s">
        <v>17</v>
      </c>
      <c r="E621">
        <v>18.14</v>
      </c>
      <c r="F621">
        <v>4.18</v>
      </c>
      <c r="G621">
        <v>5.34</v>
      </c>
      <c r="H621" t="s">
        <v>19</v>
      </c>
      <c r="I621" t="s">
        <v>23</v>
      </c>
      <c r="J621" t="s">
        <v>25</v>
      </c>
      <c r="K621">
        <v>27</v>
      </c>
      <c r="L621" t="s">
        <v>29</v>
      </c>
    </row>
    <row r="622" spans="1:12" x14ac:dyDescent="0.25">
      <c r="A622">
        <v>621</v>
      </c>
      <c r="B622">
        <v>33</v>
      </c>
      <c r="C622" t="s">
        <v>13</v>
      </c>
      <c r="D622" t="s">
        <v>15</v>
      </c>
      <c r="E622">
        <v>40.46</v>
      </c>
      <c r="F622">
        <v>16.39</v>
      </c>
      <c r="G622">
        <v>20.73</v>
      </c>
      <c r="H622" t="s">
        <v>21</v>
      </c>
      <c r="I622" t="s">
        <v>22</v>
      </c>
      <c r="J622" t="s">
        <v>26</v>
      </c>
      <c r="K622">
        <v>23</v>
      </c>
      <c r="L622" t="s">
        <v>29</v>
      </c>
    </row>
    <row r="623" spans="1:12" x14ac:dyDescent="0.25">
      <c r="A623">
        <v>622</v>
      </c>
      <c r="B623">
        <v>78</v>
      </c>
      <c r="C623" t="s">
        <v>12</v>
      </c>
      <c r="D623" t="s">
        <v>15</v>
      </c>
      <c r="E623">
        <v>11.97</v>
      </c>
      <c r="F623">
        <v>27.98</v>
      </c>
      <c r="G623">
        <v>8.9600000000000009</v>
      </c>
      <c r="H623" t="s">
        <v>18</v>
      </c>
      <c r="I623" t="s">
        <v>22</v>
      </c>
      <c r="J623" t="s">
        <v>25</v>
      </c>
      <c r="K623">
        <v>6</v>
      </c>
      <c r="L623" t="s">
        <v>29</v>
      </c>
    </row>
    <row r="624" spans="1:12" x14ac:dyDescent="0.25">
      <c r="A624">
        <v>623</v>
      </c>
      <c r="B624">
        <v>56</v>
      </c>
      <c r="C624" t="s">
        <v>12</v>
      </c>
      <c r="D624" t="s">
        <v>15</v>
      </c>
      <c r="E624">
        <v>18</v>
      </c>
      <c r="F624">
        <v>5.04</v>
      </c>
      <c r="G624">
        <v>8.08</v>
      </c>
      <c r="H624" t="s">
        <v>21</v>
      </c>
      <c r="I624" t="s">
        <v>23</v>
      </c>
      <c r="J624" t="s">
        <v>26</v>
      </c>
      <c r="K624">
        <v>27</v>
      </c>
      <c r="L624" t="s">
        <v>29</v>
      </c>
    </row>
    <row r="625" spans="1:12" x14ac:dyDescent="0.25">
      <c r="A625">
        <v>624</v>
      </c>
      <c r="B625">
        <v>22</v>
      </c>
      <c r="C625" t="s">
        <v>12</v>
      </c>
      <c r="D625" t="s">
        <v>15</v>
      </c>
      <c r="E625">
        <v>13.94</v>
      </c>
      <c r="F625">
        <v>16.38</v>
      </c>
      <c r="G625">
        <v>8.44</v>
      </c>
      <c r="H625" t="s">
        <v>18</v>
      </c>
      <c r="I625" t="s">
        <v>24</v>
      </c>
      <c r="J625" t="s">
        <v>26</v>
      </c>
      <c r="K625">
        <v>32</v>
      </c>
      <c r="L625" t="s">
        <v>29</v>
      </c>
    </row>
    <row r="626" spans="1:12" x14ac:dyDescent="0.25">
      <c r="A626">
        <v>625</v>
      </c>
      <c r="B626">
        <v>39</v>
      </c>
      <c r="C626" t="s">
        <v>13</v>
      </c>
      <c r="D626" t="s">
        <v>14</v>
      </c>
      <c r="E626">
        <v>17.14</v>
      </c>
      <c r="F626">
        <v>20.190000000000001</v>
      </c>
      <c r="G626">
        <v>8.89</v>
      </c>
      <c r="H626" t="s">
        <v>21</v>
      </c>
      <c r="I626" t="s">
        <v>23</v>
      </c>
      <c r="J626" t="s">
        <v>27</v>
      </c>
      <c r="K626">
        <v>35</v>
      </c>
      <c r="L626" t="s">
        <v>30</v>
      </c>
    </row>
    <row r="627" spans="1:12" x14ac:dyDescent="0.25">
      <c r="A627">
        <v>626</v>
      </c>
      <c r="B627">
        <v>46</v>
      </c>
      <c r="C627" t="s">
        <v>12</v>
      </c>
      <c r="D627" t="s">
        <v>15</v>
      </c>
      <c r="E627">
        <v>16.12</v>
      </c>
      <c r="F627">
        <v>11.73</v>
      </c>
      <c r="G627">
        <v>8.69</v>
      </c>
      <c r="H627" t="s">
        <v>19</v>
      </c>
      <c r="I627" t="s">
        <v>22</v>
      </c>
      <c r="J627" t="s">
        <v>27</v>
      </c>
      <c r="K627">
        <v>28</v>
      </c>
      <c r="L627" t="s">
        <v>29</v>
      </c>
    </row>
    <row r="628" spans="1:12" x14ac:dyDescent="0.25">
      <c r="A628">
        <v>627</v>
      </c>
      <c r="B628">
        <v>72</v>
      </c>
      <c r="C628" t="s">
        <v>13</v>
      </c>
      <c r="D628" t="s">
        <v>14</v>
      </c>
      <c r="E628">
        <v>8.84</v>
      </c>
      <c r="F628">
        <v>15.89</v>
      </c>
      <c r="G628">
        <v>8.15</v>
      </c>
      <c r="H628" t="s">
        <v>19</v>
      </c>
      <c r="I628" t="s">
        <v>23</v>
      </c>
      <c r="J628" t="s">
        <v>26</v>
      </c>
      <c r="K628">
        <v>27</v>
      </c>
      <c r="L628" t="s">
        <v>29</v>
      </c>
    </row>
    <row r="629" spans="1:12" x14ac:dyDescent="0.25">
      <c r="A629">
        <v>628</v>
      </c>
      <c r="B629">
        <v>20</v>
      </c>
      <c r="C629" t="s">
        <v>13</v>
      </c>
      <c r="D629" t="s">
        <v>17</v>
      </c>
      <c r="E629">
        <v>28.1</v>
      </c>
      <c r="F629">
        <v>5.58</v>
      </c>
      <c r="G629">
        <v>6.04</v>
      </c>
      <c r="H629" t="s">
        <v>20</v>
      </c>
      <c r="I629" t="s">
        <v>22</v>
      </c>
      <c r="J629" t="s">
        <v>26</v>
      </c>
      <c r="K629">
        <v>18</v>
      </c>
      <c r="L629" t="s">
        <v>30</v>
      </c>
    </row>
    <row r="630" spans="1:12" x14ac:dyDescent="0.25">
      <c r="A630">
        <v>629</v>
      </c>
      <c r="B630">
        <v>29</v>
      </c>
      <c r="C630" t="s">
        <v>13</v>
      </c>
      <c r="D630" t="s">
        <v>17</v>
      </c>
      <c r="E630">
        <v>10.6</v>
      </c>
      <c r="F630">
        <v>26.93</v>
      </c>
      <c r="G630">
        <v>5.03</v>
      </c>
      <c r="H630" t="s">
        <v>18</v>
      </c>
      <c r="I630" t="s">
        <v>23</v>
      </c>
      <c r="J630" t="s">
        <v>25</v>
      </c>
      <c r="K630">
        <v>26</v>
      </c>
      <c r="L630" t="s">
        <v>30</v>
      </c>
    </row>
    <row r="631" spans="1:12" x14ac:dyDescent="0.25">
      <c r="A631">
        <v>630</v>
      </c>
      <c r="B631">
        <v>43</v>
      </c>
      <c r="C631" t="s">
        <v>13</v>
      </c>
      <c r="D631" t="s">
        <v>17</v>
      </c>
      <c r="E631">
        <v>10.06</v>
      </c>
      <c r="F631">
        <v>21.77</v>
      </c>
      <c r="G631">
        <v>10.02</v>
      </c>
      <c r="H631" t="s">
        <v>18</v>
      </c>
      <c r="I631" t="s">
        <v>24</v>
      </c>
      <c r="J631" t="s">
        <v>26</v>
      </c>
      <c r="K631">
        <v>7</v>
      </c>
      <c r="L631" t="s">
        <v>29</v>
      </c>
    </row>
    <row r="632" spans="1:12" x14ac:dyDescent="0.25">
      <c r="A632">
        <v>631</v>
      </c>
      <c r="B632">
        <v>33</v>
      </c>
      <c r="C632" t="s">
        <v>12</v>
      </c>
      <c r="D632" t="s">
        <v>17</v>
      </c>
      <c r="E632">
        <v>4.76</v>
      </c>
      <c r="F632">
        <v>23.48</v>
      </c>
      <c r="G632">
        <v>5.1100000000000003</v>
      </c>
      <c r="H632" t="s">
        <v>19</v>
      </c>
      <c r="I632" t="s">
        <v>24</v>
      </c>
      <c r="J632" t="s">
        <v>26</v>
      </c>
      <c r="K632">
        <v>15</v>
      </c>
      <c r="L632" t="s">
        <v>30</v>
      </c>
    </row>
    <row r="633" spans="1:12" x14ac:dyDescent="0.25">
      <c r="A633">
        <v>632</v>
      </c>
      <c r="B633">
        <v>68</v>
      </c>
      <c r="C633" t="s">
        <v>13</v>
      </c>
      <c r="D633" t="s">
        <v>16</v>
      </c>
      <c r="E633">
        <v>11.73</v>
      </c>
      <c r="F633">
        <v>3.53</v>
      </c>
      <c r="G633">
        <v>11.19</v>
      </c>
      <c r="H633" t="s">
        <v>19</v>
      </c>
      <c r="I633" t="s">
        <v>24</v>
      </c>
      <c r="J633" t="s">
        <v>26</v>
      </c>
      <c r="K633">
        <v>32</v>
      </c>
      <c r="L633" t="s">
        <v>30</v>
      </c>
    </row>
    <row r="634" spans="1:12" x14ac:dyDescent="0.25">
      <c r="A634">
        <v>633</v>
      </c>
      <c r="B634">
        <v>54</v>
      </c>
      <c r="C634" t="s">
        <v>13</v>
      </c>
      <c r="D634" t="s">
        <v>15</v>
      </c>
      <c r="E634">
        <v>10.5</v>
      </c>
      <c r="F634">
        <v>14.49</v>
      </c>
      <c r="G634">
        <v>20.09</v>
      </c>
      <c r="H634" t="s">
        <v>19</v>
      </c>
      <c r="I634" t="s">
        <v>23</v>
      </c>
      <c r="J634" t="s">
        <v>25</v>
      </c>
      <c r="K634">
        <v>9</v>
      </c>
      <c r="L634" t="s">
        <v>29</v>
      </c>
    </row>
    <row r="635" spans="1:12" x14ac:dyDescent="0.25">
      <c r="A635">
        <v>634</v>
      </c>
      <c r="B635">
        <v>39</v>
      </c>
      <c r="C635" t="s">
        <v>12</v>
      </c>
      <c r="D635" t="s">
        <v>17</v>
      </c>
      <c r="E635">
        <v>2.78</v>
      </c>
      <c r="F635">
        <v>5.95</v>
      </c>
      <c r="G635">
        <v>8.8699999999999992</v>
      </c>
      <c r="H635" t="s">
        <v>18</v>
      </c>
      <c r="I635" t="s">
        <v>22</v>
      </c>
      <c r="J635" t="s">
        <v>26</v>
      </c>
      <c r="K635">
        <v>19</v>
      </c>
      <c r="L635" t="s">
        <v>30</v>
      </c>
    </row>
    <row r="636" spans="1:12" x14ac:dyDescent="0.25">
      <c r="A636">
        <v>635</v>
      </c>
      <c r="B636">
        <v>74</v>
      </c>
      <c r="C636" t="s">
        <v>13</v>
      </c>
      <c r="D636" t="s">
        <v>14</v>
      </c>
      <c r="E636">
        <v>14.81</v>
      </c>
      <c r="F636">
        <v>28.48</v>
      </c>
      <c r="G636">
        <v>10.34</v>
      </c>
      <c r="H636" t="s">
        <v>20</v>
      </c>
      <c r="I636" t="s">
        <v>23</v>
      </c>
      <c r="J636" t="s">
        <v>26</v>
      </c>
      <c r="K636">
        <v>29</v>
      </c>
      <c r="L636" t="s">
        <v>30</v>
      </c>
    </row>
    <row r="637" spans="1:12" x14ac:dyDescent="0.25">
      <c r="A637">
        <v>636</v>
      </c>
      <c r="B637">
        <v>46</v>
      </c>
      <c r="C637" t="s">
        <v>12</v>
      </c>
      <c r="D637" t="s">
        <v>14</v>
      </c>
      <c r="E637">
        <v>39.369999999999997</v>
      </c>
      <c r="F637">
        <v>5.14</v>
      </c>
      <c r="G637">
        <v>17.309999999999999</v>
      </c>
      <c r="H637" t="s">
        <v>18</v>
      </c>
      <c r="I637" t="s">
        <v>24</v>
      </c>
      <c r="J637" t="s">
        <v>26</v>
      </c>
      <c r="K637">
        <v>7</v>
      </c>
      <c r="L637" t="s">
        <v>29</v>
      </c>
    </row>
    <row r="638" spans="1:12" x14ac:dyDescent="0.25">
      <c r="A638">
        <v>637</v>
      </c>
      <c r="B638">
        <v>31</v>
      </c>
      <c r="C638" t="s">
        <v>13</v>
      </c>
      <c r="D638" t="s">
        <v>14</v>
      </c>
      <c r="E638">
        <v>5.56</v>
      </c>
      <c r="F638">
        <v>12.08</v>
      </c>
      <c r="G638">
        <v>7.64</v>
      </c>
      <c r="H638" t="s">
        <v>19</v>
      </c>
      <c r="I638" t="s">
        <v>22</v>
      </c>
      <c r="J638" t="s">
        <v>26</v>
      </c>
      <c r="K638">
        <v>7</v>
      </c>
      <c r="L638" t="s">
        <v>29</v>
      </c>
    </row>
    <row r="639" spans="1:12" x14ac:dyDescent="0.25">
      <c r="A639">
        <v>638</v>
      </c>
      <c r="B639">
        <v>45</v>
      </c>
      <c r="C639" t="s">
        <v>12</v>
      </c>
      <c r="D639" t="s">
        <v>17</v>
      </c>
      <c r="E639">
        <v>16.93</v>
      </c>
      <c r="F639">
        <v>1.19</v>
      </c>
      <c r="G639">
        <v>5.77</v>
      </c>
      <c r="H639" t="s">
        <v>20</v>
      </c>
      <c r="I639" t="s">
        <v>22</v>
      </c>
      <c r="J639" t="s">
        <v>26</v>
      </c>
      <c r="K639">
        <v>26</v>
      </c>
      <c r="L639" t="s">
        <v>29</v>
      </c>
    </row>
    <row r="640" spans="1:12" x14ac:dyDescent="0.25">
      <c r="A640">
        <v>639</v>
      </c>
      <c r="B640">
        <v>22</v>
      </c>
      <c r="C640" t="s">
        <v>13</v>
      </c>
      <c r="D640" t="s">
        <v>16</v>
      </c>
      <c r="E640">
        <v>14.57</v>
      </c>
      <c r="F640">
        <v>12.04</v>
      </c>
      <c r="G640">
        <v>0.71</v>
      </c>
      <c r="H640" t="s">
        <v>21</v>
      </c>
      <c r="I640" t="s">
        <v>22</v>
      </c>
      <c r="J640" t="s">
        <v>26</v>
      </c>
      <c r="K640">
        <v>9</v>
      </c>
      <c r="L640" t="s">
        <v>29</v>
      </c>
    </row>
    <row r="641" spans="1:12" x14ac:dyDescent="0.25">
      <c r="A641">
        <v>640</v>
      </c>
      <c r="B641">
        <v>64</v>
      </c>
      <c r="C641" t="s">
        <v>12</v>
      </c>
      <c r="D641" t="s">
        <v>17</v>
      </c>
      <c r="E641">
        <v>25.81</v>
      </c>
      <c r="F641">
        <v>3.57</v>
      </c>
      <c r="G641">
        <v>9.7200000000000006</v>
      </c>
      <c r="H641" t="s">
        <v>21</v>
      </c>
      <c r="I641" t="s">
        <v>23</v>
      </c>
      <c r="J641" t="s">
        <v>26</v>
      </c>
      <c r="K641">
        <v>9</v>
      </c>
      <c r="L641" t="s">
        <v>29</v>
      </c>
    </row>
    <row r="642" spans="1:12" x14ac:dyDescent="0.25">
      <c r="A642">
        <v>641</v>
      </c>
      <c r="B642">
        <v>66</v>
      </c>
      <c r="C642" t="s">
        <v>13</v>
      </c>
      <c r="D642" t="s">
        <v>17</v>
      </c>
      <c r="E642">
        <v>27.01</v>
      </c>
      <c r="F642">
        <v>15.02</v>
      </c>
      <c r="G642">
        <v>5.83</v>
      </c>
      <c r="H642" t="s">
        <v>19</v>
      </c>
      <c r="I642" t="s">
        <v>22</v>
      </c>
      <c r="J642" t="s">
        <v>27</v>
      </c>
      <c r="K642">
        <v>16</v>
      </c>
      <c r="L642" t="s">
        <v>29</v>
      </c>
    </row>
    <row r="643" spans="1:12" x14ac:dyDescent="0.25">
      <c r="A643">
        <v>642</v>
      </c>
      <c r="B643">
        <v>47</v>
      </c>
      <c r="C643" t="s">
        <v>13</v>
      </c>
      <c r="D643" t="s">
        <v>15</v>
      </c>
      <c r="E643">
        <v>57.11</v>
      </c>
      <c r="F643">
        <v>8.9700000000000006</v>
      </c>
      <c r="G643">
        <v>7.25</v>
      </c>
      <c r="H643" t="s">
        <v>20</v>
      </c>
      <c r="I643" t="s">
        <v>23</v>
      </c>
      <c r="J643" t="s">
        <v>26</v>
      </c>
      <c r="K643">
        <v>17</v>
      </c>
      <c r="L643" t="s">
        <v>30</v>
      </c>
    </row>
    <row r="644" spans="1:12" x14ac:dyDescent="0.25">
      <c r="A644">
        <v>643</v>
      </c>
      <c r="B644">
        <v>63</v>
      </c>
      <c r="C644" t="s">
        <v>12</v>
      </c>
      <c r="D644" t="s">
        <v>17</v>
      </c>
      <c r="E644">
        <v>20.399999999999999</v>
      </c>
      <c r="F644">
        <v>7.49</v>
      </c>
      <c r="G644">
        <v>1.2</v>
      </c>
      <c r="H644" t="s">
        <v>19</v>
      </c>
      <c r="I644" t="s">
        <v>24</v>
      </c>
      <c r="J644" t="s">
        <v>26</v>
      </c>
      <c r="K644">
        <v>7</v>
      </c>
      <c r="L644" t="s">
        <v>30</v>
      </c>
    </row>
    <row r="645" spans="1:12" x14ac:dyDescent="0.25">
      <c r="A645">
        <v>644</v>
      </c>
      <c r="B645">
        <v>79</v>
      </c>
      <c r="C645" t="s">
        <v>12</v>
      </c>
      <c r="D645" t="s">
        <v>15</v>
      </c>
      <c r="E645">
        <v>9.5</v>
      </c>
      <c r="F645">
        <v>28.97</v>
      </c>
      <c r="G645">
        <v>7.24</v>
      </c>
      <c r="H645" t="s">
        <v>18</v>
      </c>
      <c r="I645" t="s">
        <v>24</v>
      </c>
      <c r="J645" t="s">
        <v>28</v>
      </c>
      <c r="K645">
        <v>6</v>
      </c>
      <c r="L645" t="s">
        <v>29</v>
      </c>
    </row>
    <row r="646" spans="1:12" x14ac:dyDescent="0.25">
      <c r="A646">
        <v>645</v>
      </c>
      <c r="B646">
        <v>69</v>
      </c>
      <c r="C646" t="s">
        <v>12</v>
      </c>
      <c r="D646" t="s">
        <v>15</v>
      </c>
      <c r="E646">
        <v>11.49</v>
      </c>
      <c r="F646">
        <v>40.61</v>
      </c>
      <c r="G646">
        <v>3.6</v>
      </c>
      <c r="H646" t="s">
        <v>18</v>
      </c>
      <c r="I646" t="s">
        <v>22</v>
      </c>
      <c r="J646" t="s">
        <v>25</v>
      </c>
      <c r="K646">
        <v>32</v>
      </c>
      <c r="L646" t="s">
        <v>29</v>
      </c>
    </row>
    <row r="647" spans="1:12" x14ac:dyDescent="0.25">
      <c r="A647">
        <v>646</v>
      </c>
      <c r="B647">
        <v>22</v>
      </c>
      <c r="C647" t="s">
        <v>12</v>
      </c>
      <c r="D647" t="s">
        <v>14</v>
      </c>
      <c r="E647">
        <v>12.35</v>
      </c>
      <c r="F647">
        <v>2.61</v>
      </c>
      <c r="G647">
        <v>3.03</v>
      </c>
      <c r="H647" t="s">
        <v>20</v>
      </c>
      <c r="I647" t="s">
        <v>24</v>
      </c>
      <c r="J647" t="s">
        <v>25</v>
      </c>
      <c r="K647">
        <v>22</v>
      </c>
      <c r="L647" t="s">
        <v>29</v>
      </c>
    </row>
    <row r="648" spans="1:12" x14ac:dyDescent="0.25">
      <c r="A648">
        <v>647</v>
      </c>
      <c r="B648">
        <v>29</v>
      </c>
      <c r="C648" t="s">
        <v>13</v>
      </c>
      <c r="D648" t="s">
        <v>15</v>
      </c>
      <c r="E648">
        <v>10.82</v>
      </c>
      <c r="F648">
        <v>7.69</v>
      </c>
      <c r="G648">
        <v>4.0199999999999996</v>
      </c>
      <c r="H648" t="s">
        <v>19</v>
      </c>
      <c r="I648" t="s">
        <v>23</v>
      </c>
      <c r="J648" t="s">
        <v>26</v>
      </c>
      <c r="K648">
        <v>28</v>
      </c>
      <c r="L648" t="s">
        <v>29</v>
      </c>
    </row>
    <row r="649" spans="1:12" x14ac:dyDescent="0.25">
      <c r="A649">
        <v>648</v>
      </c>
      <c r="B649">
        <v>33</v>
      </c>
      <c r="C649" t="s">
        <v>13</v>
      </c>
      <c r="D649" t="s">
        <v>15</v>
      </c>
      <c r="E649">
        <v>45.27</v>
      </c>
      <c r="F649">
        <v>18.25</v>
      </c>
      <c r="G649">
        <v>3.63</v>
      </c>
      <c r="H649" t="s">
        <v>19</v>
      </c>
      <c r="I649" t="s">
        <v>24</v>
      </c>
      <c r="J649" t="s">
        <v>26</v>
      </c>
      <c r="K649">
        <v>11</v>
      </c>
      <c r="L649" t="s">
        <v>29</v>
      </c>
    </row>
    <row r="650" spans="1:12" x14ac:dyDescent="0.25">
      <c r="A650">
        <v>649</v>
      </c>
      <c r="B650">
        <v>43</v>
      </c>
      <c r="C650" t="s">
        <v>12</v>
      </c>
      <c r="D650" t="s">
        <v>15</v>
      </c>
      <c r="E650">
        <v>26.21</v>
      </c>
      <c r="F650">
        <v>13.29</v>
      </c>
      <c r="G650">
        <v>15.49</v>
      </c>
      <c r="H650" t="s">
        <v>21</v>
      </c>
      <c r="I650" t="s">
        <v>23</v>
      </c>
      <c r="J650" t="s">
        <v>25</v>
      </c>
      <c r="K650">
        <v>32</v>
      </c>
      <c r="L650" t="s">
        <v>30</v>
      </c>
    </row>
    <row r="651" spans="1:12" x14ac:dyDescent="0.25">
      <c r="A651">
        <v>650</v>
      </c>
      <c r="B651">
        <v>43</v>
      </c>
      <c r="C651" t="s">
        <v>13</v>
      </c>
      <c r="D651" t="s">
        <v>14</v>
      </c>
      <c r="E651">
        <v>23.63</v>
      </c>
      <c r="F651">
        <v>17.55</v>
      </c>
      <c r="G651">
        <v>17.920000000000002</v>
      </c>
      <c r="H651" t="s">
        <v>20</v>
      </c>
      <c r="I651" t="s">
        <v>22</v>
      </c>
      <c r="J651" t="s">
        <v>25</v>
      </c>
      <c r="K651">
        <v>24</v>
      </c>
      <c r="L651" t="s">
        <v>29</v>
      </c>
    </row>
    <row r="652" spans="1:12" x14ac:dyDescent="0.25">
      <c r="A652">
        <v>651</v>
      </c>
      <c r="B652">
        <v>65</v>
      </c>
      <c r="C652" t="s">
        <v>12</v>
      </c>
      <c r="D652" t="s">
        <v>17</v>
      </c>
      <c r="E652">
        <v>7.64</v>
      </c>
      <c r="F652">
        <v>9.49</v>
      </c>
      <c r="G652">
        <v>9.83</v>
      </c>
      <c r="H652" t="s">
        <v>19</v>
      </c>
      <c r="I652" t="s">
        <v>22</v>
      </c>
      <c r="J652" t="s">
        <v>26</v>
      </c>
      <c r="K652">
        <v>32</v>
      </c>
      <c r="L652" t="s">
        <v>29</v>
      </c>
    </row>
    <row r="653" spans="1:12" x14ac:dyDescent="0.25">
      <c r="A653">
        <v>652</v>
      </c>
      <c r="B653">
        <v>38</v>
      </c>
      <c r="C653" t="s">
        <v>12</v>
      </c>
      <c r="D653" t="s">
        <v>17</v>
      </c>
      <c r="E653">
        <v>26.84</v>
      </c>
      <c r="F653">
        <v>22.39</v>
      </c>
      <c r="G653">
        <v>25.15</v>
      </c>
      <c r="H653" t="s">
        <v>18</v>
      </c>
      <c r="I653" t="s">
        <v>23</v>
      </c>
      <c r="J653" t="s">
        <v>26</v>
      </c>
      <c r="K653">
        <v>22</v>
      </c>
      <c r="L653" t="s">
        <v>29</v>
      </c>
    </row>
    <row r="654" spans="1:12" x14ac:dyDescent="0.25">
      <c r="A654">
        <v>653</v>
      </c>
      <c r="B654">
        <v>56</v>
      </c>
      <c r="C654" t="s">
        <v>13</v>
      </c>
      <c r="D654" t="s">
        <v>14</v>
      </c>
      <c r="E654">
        <v>33.89</v>
      </c>
      <c r="F654">
        <v>11.69</v>
      </c>
      <c r="G654">
        <v>6.96</v>
      </c>
      <c r="H654" t="s">
        <v>19</v>
      </c>
      <c r="I654" t="s">
        <v>23</v>
      </c>
      <c r="J654" t="s">
        <v>27</v>
      </c>
      <c r="K654">
        <v>30</v>
      </c>
      <c r="L654" t="s">
        <v>30</v>
      </c>
    </row>
    <row r="655" spans="1:12" x14ac:dyDescent="0.25">
      <c r="A655">
        <v>654</v>
      </c>
      <c r="B655">
        <v>53</v>
      </c>
      <c r="C655" t="s">
        <v>13</v>
      </c>
      <c r="D655" t="s">
        <v>14</v>
      </c>
      <c r="E655">
        <v>14.75</v>
      </c>
      <c r="F655">
        <v>13.86</v>
      </c>
      <c r="G655">
        <v>4.4800000000000004</v>
      </c>
      <c r="H655" t="s">
        <v>19</v>
      </c>
      <c r="I655" t="s">
        <v>23</v>
      </c>
      <c r="J655" t="s">
        <v>26</v>
      </c>
      <c r="K655">
        <v>9</v>
      </c>
      <c r="L655" t="s">
        <v>29</v>
      </c>
    </row>
    <row r="656" spans="1:12" x14ac:dyDescent="0.25">
      <c r="A656">
        <v>655</v>
      </c>
      <c r="B656">
        <v>50</v>
      </c>
      <c r="C656" t="s">
        <v>13</v>
      </c>
      <c r="D656" t="s">
        <v>15</v>
      </c>
      <c r="E656">
        <v>11.39</v>
      </c>
      <c r="F656">
        <v>3.58</v>
      </c>
      <c r="G656">
        <v>8.52</v>
      </c>
      <c r="H656" t="s">
        <v>18</v>
      </c>
      <c r="I656" t="s">
        <v>24</v>
      </c>
      <c r="J656" t="s">
        <v>26</v>
      </c>
      <c r="K656">
        <v>6</v>
      </c>
      <c r="L656" t="s">
        <v>29</v>
      </c>
    </row>
    <row r="657" spans="1:12" x14ac:dyDescent="0.25">
      <c r="A657">
        <v>656</v>
      </c>
      <c r="B657">
        <v>79</v>
      </c>
      <c r="C657" t="s">
        <v>13</v>
      </c>
      <c r="D657" t="s">
        <v>16</v>
      </c>
      <c r="E657">
        <v>41.07</v>
      </c>
      <c r="F657">
        <v>10.82</v>
      </c>
      <c r="G657">
        <v>4.09</v>
      </c>
      <c r="H657" t="s">
        <v>18</v>
      </c>
      <c r="I657" t="s">
        <v>23</v>
      </c>
      <c r="J657" t="s">
        <v>26</v>
      </c>
      <c r="K657">
        <v>30</v>
      </c>
      <c r="L657" t="s">
        <v>30</v>
      </c>
    </row>
    <row r="658" spans="1:12" x14ac:dyDescent="0.25">
      <c r="A658">
        <v>657</v>
      </c>
      <c r="B658">
        <v>47</v>
      </c>
      <c r="C658" t="s">
        <v>13</v>
      </c>
      <c r="D658" t="s">
        <v>16</v>
      </c>
      <c r="E658">
        <v>10.33</v>
      </c>
      <c r="F658">
        <v>18.38</v>
      </c>
      <c r="G658">
        <v>9.17</v>
      </c>
      <c r="H658" t="s">
        <v>19</v>
      </c>
      <c r="I658" t="s">
        <v>22</v>
      </c>
      <c r="J658" t="s">
        <v>27</v>
      </c>
      <c r="K658">
        <v>35</v>
      </c>
      <c r="L658" t="s">
        <v>29</v>
      </c>
    </row>
    <row r="659" spans="1:12" x14ac:dyDescent="0.25">
      <c r="A659">
        <v>658</v>
      </c>
      <c r="B659">
        <v>54</v>
      </c>
      <c r="C659" t="s">
        <v>13</v>
      </c>
      <c r="D659" t="s">
        <v>16</v>
      </c>
      <c r="E659">
        <v>9.5500000000000007</v>
      </c>
      <c r="F659">
        <v>12.75</v>
      </c>
      <c r="G659">
        <v>13.51</v>
      </c>
      <c r="H659" t="s">
        <v>18</v>
      </c>
      <c r="I659" t="s">
        <v>22</v>
      </c>
      <c r="J659" t="s">
        <v>27</v>
      </c>
      <c r="K659">
        <v>9</v>
      </c>
      <c r="L659" t="s">
        <v>29</v>
      </c>
    </row>
    <row r="660" spans="1:12" x14ac:dyDescent="0.25">
      <c r="A660">
        <v>659</v>
      </c>
      <c r="B660">
        <v>40</v>
      </c>
      <c r="C660" t="s">
        <v>13</v>
      </c>
      <c r="D660" t="s">
        <v>15</v>
      </c>
      <c r="E660">
        <v>8.3800000000000008</v>
      </c>
      <c r="F660">
        <v>11.18</v>
      </c>
      <c r="G660">
        <v>4.0199999999999996</v>
      </c>
      <c r="H660" t="s">
        <v>21</v>
      </c>
      <c r="I660" t="s">
        <v>23</v>
      </c>
      <c r="J660" t="s">
        <v>25</v>
      </c>
      <c r="K660">
        <v>11</v>
      </c>
      <c r="L660" t="s">
        <v>29</v>
      </c>
    </row>
    <row r="661" spans="1:12" x14ac:dyDescent="0.25">
      <c r="A661">
        <v>660</v>
      </c>
      <c r="B661">
        <v>75</v>
      </c>
      <c r="C661" t="s">
        <v>12</v>
      </c>
      <c r="D661" t="s">
        <v>14</v>
      </c>
      <c r="E661">
        <v>16.38</v>
      </c>
      <c r="F661">
        <v>14.5</v>
      </c>
      <c r="G661">
        <v>22.05</v>
      </c>
      <c r="H661" t="s">
        <v>21</v>
      </c>
      <c r="I661" t="s">
        <v>22</v>
      </c>
      <c r="J661" t="s">
        <v>26</v>
      </c>
      <c r="K661">
        <v>15</v>
      </c>
      <c r="L661" t="s">
        <v>30</v>
      </c>
    </row>
    <row r="662" spans="1:12" x14ac:dyDescent="0.25">
      <c r="A662">
        <v>661</v>
      </c>
      <c r="B662">
        <v>27</v>
      </c>
      <c r="C662" t="s">
        <v>12</v>
      </c>
      <c r="D662" t="s">
        <v>17</v>
      </c>
      <c r="E662">
        <v>20.36</v>
      </c>
      <c r="F662">
        <v>11.65</v>
      </c>
      <c r="G662">
        <v>30.47</v>
      </c>
      <c r="H662" t="s">
        <v>21</v>
      </c>
      <c r="I662" t="s">
        <v>22</v>
      </c>
      <c r="J662" t="s">
        <v>26</v>
      </c>
      <c r="K662">
        <v>31</v>
      </c>
      <c r="L662" t="s">
        <v>30</v>
      </c>
    </row>
    <row r="663" spans="1:12" x14ac:dyDescent="0.25">
      <c r="A663">
        <v>662</v>
      </c>
      <c r="B663">
        <v>71</v>
      </c>
      <c r="C663" t="s">
        <v>12</v>
      </c>
      <c r="D663" t="s">
        <v>15</v>
      </c>
      <c r="E663">
        <v>31.12</v>
      </c>
      <c r="F663">
        <v>9.73</v>
      </c>
      <c r="G663">
        <v>27.04</v>
      </c>
      <c r="H663" t="s">
        <v>18</v>
      </c>
      <c r="I663" t="s">
        <v>23</v>
      </c>
      <c r="J663" t="s">
        <v>26</v>
      </c>
      <c r="K663">
        <v>12</v>
      </c>
      <c r="L663" t="s">
        <v>29</v>
      </c>
    </row>
    <row r="664" spans="1:12" x14ac:dyDescent="0.25">
      <c r="A664">
        <v>663</v>
      </c>
      <c r="B664">
        <v>22</v>
      </c>
      <c r="C664" t="s">
        <v>12</v>
      </c>
      <c r="D664" t="s">
        <v>17</v>
      </c>
      <c r="E664">
        <v>24.31</v>
      </c>
      <c r="F664">
        <v>18.78</v>
      </c>
      <c r="G664">
        <v>1.65</v>
      </c>
      <c r="H664" t="s">
        <v>18</v>
      </c>
      <c r="I664" t="s">
        <v>22</v>
      </c>
      <c r="J664" t="s">
        <v>25</v>
      </c>
      <c r="K664">
        <v>32</v>
      </c>
      <c r="L664" t="s">
        <v>29</v>
      </c>
    </row>
    <row r="665" spans="1:12" x14ac:dyDescent="0.25">
      <c r="A665">
        <v>664</v>
      </c>
      <c r="B665">
        <v>53</v>
      </c>
      <c r="C665" t="s">
        <v>12</v>
      </c>
      <c r="D665" t="s">
        <v>15</v>
      </c>
      <c r="E665">
        <v>24.06</v>
      </c>
      <c r="F665">
        <v>9.2200000000000006</v>
      </c>
      <c r="G665">
        <v>6.07</v>
      </c>
      <c r="H665" t="s">
        <v>18</v>
      </c>
      <c r="I665" t="s">
        <v>23</v>
      </c>
      <c r="J665" t="s">
        <v>25</v>
      </c>
      <c r="K665">
        <v>28</v>
      </c>
      <c r="L665" t="s">
        <v>29</v>
      </c>
    </row>
    <row r="666" spans="1:12" x14ac:dyDescent="0.25">
      <c r="A666">
        <v>665</v>
      </c>
      <c r="B666">
        <v>51</v>
      </c>
      <c r="C666" t="s">
        <v>13</v>
      </c>
      <c r="D666" t="s">
        <v>15</v>
      </c>
      <c r="E666">
        <v>37.049999999999997</v>
      </c>
      <c r="F666">
        <v>3.36</v>
      </c>
      <c r="G666">
        <v>10.72</v>
      </c>
      <c r="H666" t="s">
        <v>20</v>
      </c>
      <c r="I666" t="s">
        <v>23</v>
      </c>
      <c r="J666" t="s">
        <v>28</v>
      </c>
      <c r="K666">
        <v>30</v>
      </c>
      <c r="L666" t="s">
        <v>29</v>
      </c>
    </row>
    <row r="667" spans="1:12" x14ac:dyDescent="0.25">
      <c r="A667">
        <v>666</v>
      </c>
      <c r="B667">
        <v>69</v>
      </c>
      <c r="C667" t="s">
        <v>12</v>
      </c>
      <c r="D667" t="s">
        <v>16</v>
      </c>
      <c r="E667">
        <v>8.07</v>
      </c>
      <c r="F667">
        <v>28.1</v>
      </c>
      <c r="G667">
        <v>2.69</v>
      </c>
      <c r="H667" t="s">
        <v>18</v>
      </c>
      <c r="I667" t="s">
        <v>22</v>
      </c>
      <c r="J667" t="s">
        <v>26</v>
      </c>
      <c r="K667">
        <v>31</v>
      </c>
      <c r="L667" t="s">
        <v>30</v>
      </c>
    </row>
    <row r="668" spans="1:12" x14ac:dyDescent="0.25">
      <c r="A668">
        <v>667</v>
      </c>
      <c r="B668">
        <v>48</v>
      </c>
      <c r="C668" t="s">
        <v>12</v>
      </c>
      <c r="D668" t="s">
        <v>15</v>
      </c>
      <c r="E668">
        <v>5.28</v>
      </c>
      <c r="F668">
        <v>6.1</v>
      </c>
      <c r="G668">
        <v>2.94</v>
      </c>
      <c r="H668" t="s">
        <v>21</v>
      </c>
      <c r="I668" t="s">
        <v>23</v>
      </c>
      <c r="J668" t="s">
        <v>25</v>
      </c>
      <c r="K668">
        <v>8</v>
      </c>
      <c r="L668" t="s">
        <v>29</v>
      </c>
    </row>
    <row r="669" spans="1:12" x14ac:dyDescent="0.25">
      <c r="A669">
        <v>668</v>
      </c>
      <c r="B669">
        <v>27</v>
      </c>
      <c r="C669" t="s">
        <v>12</v>
      </c>
      <c r="D669" t="s">
        <v>17</v>
      </c>
      <c r="E669">
        <v>25.06</v>
      </c>
      <c r="F669">
        <v>2.4700000000000002</v>
      </c>
      <c r="G669">
        <v>1.52</v>
      </c>
      <c r="H669" t="s">
        <v>21</v>
      </c>
      <c r="I669" t="s">
        <v>24</v>
      </c>
      <c r="J669" t="s">
        <v>26</v>
      </c>
      <c r="K669">
        <v>5</v>
      </c>
      <c r="L669" t="s">
        <v>29</v>
      </c>
    </row>
    <row r="670" spans="1:12" x14ac:dyDescent="0.25">
      <c r="A670">
        <v>669</v>
      </c>
      <c r="B670">
        <v>75</v>
      </c>
      <c r="C670" t="s">
        <v>12</v>
      </c>
      <c r="D670" t="s">
        <v>17</v>
      </c>
      <c r="E670">
        <v>15.86</v>
      </c>
      <c r="F670">
        <v>15.8</v>
      </c>
      <c r="G670">
        <v>9.1199999999999992</v>
      </c>
      <c r="H670" t="s">
        <v>21</v>
      </c>
      <c r="I670" t="s">
        <v>24</v>
      </c>
      <c r="J670" t="s">
        <v>26</v>
      </c>
      <c r="K670">
        <v>31</v>
      </c>
      <c r="L670" t="s">
        <v>29</v>
      </c>
    </row>
    <row r="671" spans="1:12" x14ac:dyDescent="0.25">
      <c r="A671">
        <v>670</v>
      </c>
      <c r="B671">
        <v>36</v>
      </c>
      <c r="C671" t="s">
        <v>12</v>
      </c>
      <c r="D671" t="s">
        <v>15</v>
      </c>
      <c r="E671">
        <v>31.19</v>
      </c>
      <c r="F671">
        <v>30.51</v>
      </c>
      <c r="G671">
        <v>11.22</v>
      </c>
      <c r="H671" t="s">
        <v>20</v>
      </c>
      <c r="I671" t="s">
        <v>22</v>
      </c>
      <c r="J671" t="s">
        <v>26</v>
      </c>
      <c r="K671">
        <v>4</v>
      </c>
      <c r="L671" t="s">
        <v>29</v>
      </c>
    </row>
    <row r="672" spans="1:12" x14ac:dyDescent="0.25">
      <c r="A672">
        <v>671</v>
      </c>
      <c r="B672">
        <v>75</v>
      </c>
      <c r="C672" t="s">
        <v>12</v>
      </c>
      <c r="D672" t="s">
        <v>14</v>
      </c>
      <c r="E672">
        <v>16.88</v>
      </c>
      <c r="F672">
        <v>16.07</v>
      </c>
      <c r="G672">
        <v>17.39</v>
      </c>
      <c r="H672" t="s">
        <v>19</v>
      </c>
      <c r="I672" t="s">
        <v>23</v>
      </c>
      <c r="J672" t="s">
        <v>26</v>
      </c>
      <c r="K672">
        <v>24</v>
      </c>
      <c r="L672" t="s">
        <v>29</v>
      </c>
    </row>
    <row r="673" spans="1:12" x14ac:dyDescent="0.25">
      <c r="A673">
        <v>672</v>
      </c>
      <c r="B673">
        <v>49</v>
      </c>
      <c r="C673" t="s">
        <v>12</v>
      </c>
      <c r="D673" t="s">
        <v>15</v>
      </c>
      <c r="E673">
        <v>11.11</v>
      </c>
      <c r="F673">
        <v>25.45</v>
      </c>
      <c r="G673">
        <v>12.44</v>
      </c>
      <c r="H673" t="s">
        <v>21</v>
      </c>
      <c r="I673" t="s">
        <v>23</v>
      </c>
      <c r="J673" t="s">
        <v>28</v>
      </c>
      <c r="K673">
        <v>29</v>
      </c>
      <c r="L673" t="s">
        <v>29</v>
      </c>
    </row>
    <row r="674" spans="1:12" x14ac:dyDescent="0.25">
      <c r="A674">
        <v>673</v>
      </c>
      <c r="B674">
        <v>18</v>
      </c>
      <c r="C674" t="s">
        <v>13</v>
      </c>
      <c r="D674" t="s">
        <v>15</v>
      </c>
      <c r="E674">
        <v>25.29</v>
      </c>
      <c r="F674">
        <v>4.6399999999999997</v>
      </c>
      <c r="G674">
        <v>13.84</v>
      </c>
      <c r="H674" t="s">
        <v>20</v>
      </c>
      <c r="I674" t="s">
        <v>23</v>
      </c>
      <c r="J674" t="s">
        <v>26</v>
      </c>
      <c r="K674">
        <v>24</v>
      </c>
      <c r="L674" t="s">
        <v>30</v>
      </c>
    </row>
    <row r="675" spans="1:12" x14ac:dyDescent="0.25">
      <c r="A675">
        <v>674</v>
      </c>
      <c r="B675">
        <v>73</v>
      </c>
      <c r="C675" t="s">
        <v>13</v>
      </c>
      <c r="D675" t="s">
        <v>15</v>
      </c>
      <c r="E675">
        <v>18.309999999999999</v>
      </c>
      <c r="F675">
        <v>3.41</v>
      </c>
      <c r="G675">
        <v>1.96</v>
      </c>
      <c r="H675" t="s">
        <v>19</v>
      </c>
      <c r="I675" t="s">
        <v>22</v>
      </c>
      <c r="J675" t="s">
        <v>28</v>
      </c>
      <c r="K675">
        <v>12</v>
      </c>
      <c r="L675" t="s">
        <v>30</v>
      </c>
    </row>
    <row r="676" spans="1:12" x14ac:dyDescent="0.25">
      <c r="A676">
        <v>675</v>
      </c>
      <c r="B676">
        <v>22</v>
      </c>
      <c r="C676" t="s">
        <v>12</v>
      </c>
      <c r="D676" t="s">
        <v>15</v>
      </c>
      <c r="E676">
        <v>16.89</v>
      </c>
      <c r="F676">
        <v>7.67</v>
      </c>
      <c r="G676">
        <v>10.44</v>
      </c>
      <c r="H676" t="s">
        <v>20</v>
      </c>
      <c r="I676" t="s">
        <v>24</v>
      </c>
      <c r="J676" t="s">
        <v>26</v>
      </c>
      <c r="K676">
        <v>21</v>
      </c>
      <c r="L676" t="s">
        <v>30</v>
      </c>
    </row>
    <row r="677" spans="1:12" x14ac:dyDescent="0.25">
      <c r="A677">
        <v>676</v>
      </c>
      <c r="B677">
        <v>62</v>
      </c>
      <c r="C677" t="s">
        <v>13</v>
      </c>
      <c r="D677" t="s">
        <v>15</v>
      </c>
      <c r="E677">
        <v>63.41</v>
      </c>
      <c r="F677">
        <v>21.27</v>
      </c>
      <c r="G677">
        <v>8.34</v>
      </c>
      <c r="H677" t="s">
        <v>20</v>
      </c>
      <c r="I677" t="s">
        <v>23</v>
      </c>
      <c r="J677" t="s">
        <v>26</v>
      </c>
      <c r="K677">
        <v>26</v>
      </c>
      <c r="L677" t="s">
        <v>29</v>
      </c>
    </row>
    <row r="678" spans="1:12" x14ac:dyDescent="0.25">
      <c r="A678">
        <v>677</v>
      </c>
      <c r="B678">
        <v>21</v>
      </c>
      <c r="C678" t="s">
        <v>13</v>
      </c>
      <c r="D678" t="s">
        <v>16</v>
      </c>
      <c r="E678">
        <v>35.35</v>
      </c>
      <c r="F678">
        <v>15.06</v>
      </c>
      <c r="G678">
        <v>5.28</v>
      </c>
      <c r="H678" t="s">
        <v>19</v>
      </c>
      <c r="I678" t="s">
        <v>23</v>
      </c>
      <c r="J678" t="s">
        <v>26</v>
      </c>
      <c r="K678">
        <v>29</v>
      </c>
      <c r="L678" t="s">
        <v>29</v>
      </c>
    </row>
    <row r="679" spans="1:12" x14ac:dyDescent="0.25">
      <c r="A679">
        <v>678</v>
      </c>
      <c r="B679">
        <v>33</v>
      </c>
      <c r="C679" t="s">
        <v>13</v>
      </c>
      <c r="D679" t="s">
        <v>14</v>
      </c>
      <c r="E679">
        <v>27.31</v>
      </c>
      <c r="F679">
        <v>15.87</v>
      </c>
      <c r="G679">
        <v>6.68</v>
      </c>
      <c r="H679" t="s">
        <v>18</v>
      </c>
      <c r="I679" t="s">
        <v>22</v>
      </c>
      <c r="J679" t="s">
        <v>26</v>
      </c>
      <c r="K679">
        <v>19</v>
      </c>
      <c r="L679" t="s">
        <v>29</v>
      </c>
    </row>
    <row r="680" spans="1:12" x14ac:dyDescent="0.25">
      <c r="A680">
        <v>679</v>
      </c>
      <c r="B680">
        <v>41</v>
      </c>
      <c r="C680" t="s">
        <v>13</v>
      </c>
      <c r="D680" t="s">
        <v>15</v>
      </c>
      <c r="E680">
        <v>18.68</v>
      </c>
      <c r="F680">
        <v>11.18</v>
      </c>
      <c r="G680">
        <v>11.27</v>
      </c>
      <c r="H680" t="s">
        <v>18</v>
      </c>
      <c r="I680" t="s">
        <v>23</v>
      </c>
      <c r="J680" t="s">
        <v>26</v>
      </c>
      <c r="K680">
        <v>12</v>
      </c>
      <c r="L680" t="s">
        <v>29</v>
      </c>
    </row>
    <row r="681" spans="1:12" x14ac:dyDescent="0.25">
      <c r="A681">
        <v>680</v>
      </c>
      <c r="B681">
        <v>33</v>
      </c>
      <c r="C681" t="s">
        <v>12</v>
      </c>
      <c r="D681" t="s">
        <v>16</v>
      </c>
      <c r="E681">
        <v>17.64</v>
      </c>
      <c r="F681">
        <v>7.79</v>
      </c>
      <c r="G681">
        <v>14.4</v>
      </c>
      <c r="H681" t="s">
        <v>21</v>
      </c>
      <c r="I681" t="s">
        <v>22</v>
      </c>
      <c r="J681" t="s">
        <v>26</v>
      </c>
      <c r="K681">
        <v>19</v>
      </c>
      <c r="L681" t="s">
        <v>29</v>
      </c>
    </row>
    <row r="682" spans="1:12" x14ac:dyDescent="0.25">
      <c r="A682">
        <v>681</v>
      </c>
      <c r="B682">
        <v>72</v>
      </c>
      <c r="C682" t="s">
        <v>13</v>
      </c>
      <c r="D682" t="s">
        <v>16</v>
      </c>
      <c r="E682">
        <v>14</v>
      </c>
      <c r="F682">
        <v>11.56</v>
      </c>
      <c r="G682">
        <v>28.06</v>
      </c>
      <c r="H682" t="s">
        <v>19</v>
      </c>
      <c r="I682" t="s">
        <v>22</v>
      </c>
      <c r="J682" t="s">
        <v>26</v>
      </c>
      <c r="K682">
        <v>12</v>
      </c>
      <c r="L682" t="s">
        <v>30</v>
      </c>
    </row>
    <row r="683" spans="1:12" x14ac:dyDescent="0.25">
      <c r="A683">
        <v>682</v>
      </c>
      <c r="B683">
        <v>19</v>
      </c>
      <c r="C683" t="s">
        <v>13</v>
      </c>
      <c r="D683" t="s">
        <v>14</v>
      </c>
      <c r="E683">
        <v>19.93</v>
      </c>
      <c r="F683">
        <v>8.9700000000000006</v>
      </c>
      <c r="G683">
        <v>11.72</v>
      </c>
      <c r="H683" t="s">
        <v>21</v>
      </c>
      <c r="I683" t="s">
        <v>22</v>
      </c>
      <c r="J683" t="s">
        <v>28</v>
      </c>
      <c r="K683">
        <v>12</v>
      </c>
      <c r="L683" t="s">
        <v>29</v>
      </c>
    </row>
    <row r="684" spans="1:12" x14ac:dyDescent="0.25">
      <c r="A684">
        <v>683</v>
      </c>
      <c r="B684">
        <v>66</v>
      </c>
      <c r="C684" t="s">
        <v>13</v>
      </c>
      <c r="D684" t="s">
        <v>17</v>
      </c>
      <c r="E684">
        <v>12.19</v>
      </c>
      <c r="F684">
        <v>7.35</v>
      </c>
      <c r="G684">
        <v>15.4</v>
      </c>
      <c r="H684" t="s">
        <v>20</v>
      </c>
      <c r="I684" t="s">
        <v>23</v>
      </c>
      <c r="J684" t="s">
        <v>25</v>
      </c>
      <c r="K684">
        <v>19</v>
      </c>
      <c r="L684" t="s">
        <v>29</v>
      </c>
    </row>
    <row r="685" spans="1:12" x14ac:dyDescent="0.25">
      <c r="A685">
        <v>684</v>
      </c>
      <c r="B685">
        <v>45</v>
      </c>
      <c r="C685" t="s">
        <v>12</v>
      </c>
      <c r="D685" t="s">
        <v>15</v>
      </c>
      <c r="E685">
        <v>6.76</v>
      </c>
      <c r="F685">
        <v>13.55</v>
      </c>
      <c r="G685">
        <v>15.05</v>
      </c>
      <c r="H685" t="s">
        <v>18</v>
      </c>
      <c r="I685" t="s">
        <v>24</v>
      </c>
      <c r="J685" t="s">
        <v>25</v>
      </c>
      <c r="K685">
        <v>28</v>
      </c>
      <c r="L685" t="s">
        <v>29</v>
      </c>
    </row>
    <row r="686" spans="1:12" x14ac:dyDescent="0.25">
      <c r="A686">
        <v>685</v>
      </c>
      <c r="B686">
        <v>49</v>
      </c>
      <c r="C686" t="s">
        <v>12</v>
      </c>
      <c r="D686" t="s">
        <v>15</v>
      </c>
      <c r="E686">
        <v>16.75</v>
      </c>
      <c r="F686">
        <v>8.3000000000000007</v>
      </c>
      <c r="G686">
        <v>18.059999999999999</v>
      </c>
      <c r="H686" t="s">
        <v>21</v>
      </c>
      <c r="I686" t="s">
        <v>23</v>
      </c>
      <c r="J686" t="s">
        <v>26</v>
      </c>
      <c r="K686">
        <v>28</v>
      </c>
      <c r="L686" t="s">
        <v>29</v>
      </c>
    </row>
    <row r="687" spans="1:12" x14ac:dyDescent="0.25">
      <c r="A687">
        <v>686</v>
      </c>
      <c r="B687">
        <v>44</v>
      </c>
      <c r="C687" t="s">
        <v>12</v>
      </c>
      <c r="D687" t="s">
        <v>16</v>
      </c>
      <c r="E687">
        <v>20.99</v>
      </c>
      <c r="F687">
        <v>12.44</v>
      </c>
      <c r="G687">
        <v>3.58</v>
      </c>
      <c r="H687" t="s">
        <v>21</v>
      </c>
      <c r="I687" t="s">
        <v>24</v>
      </c>
      <c r="J687" t="s">
        <v>26</v>
      </c>
      <c r="K687">
        <v>6</v>
      </c>
      <c r="L687" t="s">
        <v>29</v>
      </c>
    </row>
    <row r="688" spans="1:12" x14ac:dyDescent="0.25">
      <c r="A688">
        <v>687</v>
      </c>
      <c r="B688">
        <v>37</v>
      </c>
      <c r="C688" t="s">
        <v>12</v>
      </c>
      <c r="D688" t="s">
        <v>14</v>
      </c>
      <c r="E688">
        <v>31.24</v>
      </c>
      <c r="F688">
        <v>1.36</v>
      </c>
      <c r="G688">
        <v>9.3000000000000007</v>
      </c>
      <c r="H688" t="s">
        <v>18</v>
      </c>
      <c r="I688" t="s">
        <v>23</v>
      </c>
      <c r="J688" t="s">
        <v>26</v>
      </c>
      <c r="K688">
        <v>29</v>
      </c>
      <c r="L688" t="s">
        <v>29</v>
      </c>
    </row>
    <row r="689" spans="1:12" x14ac:dyDescent="0.25">
      <c r="A689">
        <v>688</v>
      </c>
      <c r="B689">
        <v>41</v>
      </c>
      <c r="C689" t="s">
        <v>12</v>
      </c>
      <c r="D689" t="s">
        <v>15</v>
      </c>
      <c r="E689">
        <v>9.59</v>
      </c>
      <c r="F689">
        <v>11.69</v>
      </c>
      <c r="G689">
        <v>4.22</v>
      </c>
      <c r="H689" t="s">
        <v>20</v>
      </c>
      <c r="I689" t="s">
        <v>24</v>
      </c>
      <c r="J689" t="s">
        <v>27</v>
      </c>
      <c r="K689">
        <v>23</v>
      </c>
      <c r="L689" t="s">
        <v>29</v>
      </c>
    </row>
    <row r="690" spans="1:12" x14ac:dyDescent="0.25">
      <c r="A690">
        <v>689</v>
      </c>
      <c r="B690">
        <v>29</v>
      </c>
      <c r="C690" t="s">
        <v>12</v>
      </c>
      <c r="D690" t="s">
        <v>17</v>
      </c>
      <c r="E690">
        <v>17.739999999999998</v>
      </c>
      <c r="F690">
        <v>8.26</v>
      </c>
      <c r="G690">
        <v>4.46</v>
      </c>
      <c r="H690" t="s">
        <v>21</v>
      </c>
      <c r="I690" t="s">
        <v>22</v>
      </c>
      <c r="J690" t="s">
        <v>26</v>
      </c>
      <c r="K690">
        <v>33</v>
      </c>
      <c r="L690" t="s">
        <v>29</v>
      </c>
    </row>
    <row r="691" spans="1:12" x14ac:dyDescent="0.25">
      <c r="A691">
        <v>690</v>
      </c>
      <c r="B691">
        <v>67</v>
      </c>
      <c r="C691" t="s">
        <v>12</v>
      </c>
      <c r="D691" t="s">
        <v>14</v>
      </c>
      <c r="E691">
        <v>24.19</v>
      </c>
      <c r="F691">
        <v>26.38</v>
      </c>
      <c r="G691">
        <v>11.96</v>
      </c>
      <c r="H691" t="s">
        <v>21</v>
      </c>
      <c r="I691" t="s">
        <v>23</v>
      </c>
      <c r="J691" t="s">
        <v>26</v>
      </c>
      <c r="K691">
        <v>9</v>
      </c>
      <c r="L691" t="s">
        <v>29</v>
      </c>
    </row>
    <row r="692" spans="1:12" x14ac:dyDescent="0.25">
      <c r="A692">
        <v>691</v>
      </c>
      <c r="B692">
        <v>52</v>
      </c>
      <c r="C692" t="s">
        <v>13</v>
      </c>
      <c r="D692" t="s">
        <v>14</v>
      </c>
      <c r="E692">
        <v>23.85</v>
      </c>
      <c r="F692">
        <v>2.35</v>
      </c>
      <c r="G692">
        <v>12.09</v>
      </c>
      <c r="H692" t="s">
        <v>19</v>
      </c>
      <c r="I692" t="s">
        <v>24</v>
      </c>
      <c r="J692" t="s">
        <v>25</v>
      </c>
      <c r="K692">
        <v>20</v>
      </c>
      <c r="L692" t="s">
        <v>29</v>
      </c>
    </row>
    <row r="693" spans="1:12" x14ac:dyDescent="0.25">
      <c r="A693">
        <v>692</v>
      </c>
      <c r="B693">
        <v>77</v>
      </c>
      <c r="C693" t="s">
        <v>13</v>
      </c>
      <c r="D693" t="s">
        <v>14</v>
      </c>
      <c r="E693">
        <v>43.92</v>
      </c>
      <c r="F693">
        <v>11.05</v>
      </c>
      <c r="G693">
        <v>11.64</v>
      </c>
      <c r="H693" t="s">
        <v>19</v>
      </c>
      <c r="I693" t="s">
        <v>22</v>
      </c>
      <c r="J693" t="s">
        <v>26</v>
      </c>
      <c r="K693">
        <v>26</v>
      </c>
      <c r="L693" t="s">
        <v>29</v>
      </c>
    </row>
    <row r="694" spans="1:12" x14ac:dyDescent="0.25">
      <c r="A694">
        <v>693</v>
      </c>
      <c r="B694">
        <v>50</v>
      </c>
      <c r="C694" t="s">
        <v>13</v>
      </c>
      <c r="D694" t="s">
        <v>16</v>
      </c>
      <c r="E694">
        <v>14.19</v>
      </c>
      <c r="F694">
        <v>18.54</v>
      </c>
      <c r="G694">
        <v>5.72</v>
      </c>
      <c r="H694" t="s">
        <v>18</v>
      </c>
      <c r="I694" t="s">
        <v>23</v>
      </c>
      <c r="J694" t="s">
        <v>27</v>
      </c>
      <c r="K694">
        <v>15</v>
      </c>
      <c r="L694" t="s">
        <v>29</v>
      </c>
    </row>
    <row r="695" spans="1:12" x14ac:dyDescent="0.25">
      <c r="A695">
        <v>694</v>
      </c>
      <c r="B695">
        <v>50</v>
      </c>
      <c r="C695" t="s">
        <v>12</v>
      </c>
      <c r="D695" t="s">
        <v>17</v>
      </c>
      <c r="E695">
        <v>8.99</v>
      </c>
      <c r="F695">
        <v>9.25</v>
      </c>
      <c r="G695">
        <v>9.49</v>
      </c>
      <c r="H695" t="s">
        <v>18</v>
      </c>
      <c r="I695" t="s">
        <v>23</v>
      </c>
      <c r="J695" t="s">
        <v>26</v>
      </c>
      <c r="K695">
        <v>15</v>
      </c>
      <c r="L695" t="s">
        <v>29</v>
      </c>
    </row>
    <row r="696" spans="1:12" x14ac:dyDescent="0.25">
      <c r="A696">
        <v>695</v>
      </c>
      <c r="B696">
        <v>78</v>
      </c>
      <c r="C696" t="s">
        <v>12</v>
      </c>
      <c r="D696" t="s">
        <v>17</v>
      </c>
      <c r="E696">
        <v>18.510000000000002</v>
      </c>
      <c r="F696">
        <v>8.0299999999999994</v>
      </c>
      <c r="G696">
        <v>7.23</v>
      </c>
      <c r="H696" t="s">
        <v>20</v>
      </c>
      <c r="I696" t="s">
        <v>22</v>
      </c>
      <c r="J696" t="s">
        <v>26</v>
      </c>
      <c r="K696">
        <v>27</v>
      </c>
      <c r="L696" t="s">
        <v>30</v>
      </c>
    </row>
    <row r="697" spans="1:12" x14ac:dyDescent="0.25">
      <c r="A697">
        <v>696</v>
      </c>
      <c r="B697">
        <v>68</v>
      </c>
      <c r="C697" t="s">
        <v>12</v>
      </c>
      <c r="D697" t="s">
        <v>16</v>
      </c>
      <c r="E697">
        <v>14.7</v>
      </c>
      <c r="F697">
        <v>18.489999999999998</v>
      </c>
      <c r="G697">
        <v>11.62</v>
      </c>
      <c r="H697" t="s">
        <v>20</v>
      </c>
      <c r="I697" t="s">
        <v>22</v>
      </c>
      <c r="J697" t="s">
        <v>25</v>
      </c>
      <c r="K697">
        <v>7</v>
      </c>
      <c r="L697" t="s">
        <v>29</v>
      </c>
    </row>
    <row r="698" spans="1:12" x14ac:dyDescent="0.25">
      <c r="A698">
        <v>697</v>
      </c>
      <c r="B698">
        <v>60</v>
      </c>
      <c r="C698" t="s">
        <v>12</v>
      </c>
      <c r="D698" t="s">
        <v>15</v>
      </c>
      <c r="E698">
        <v>12.97</v>
      </c>
      <c r="F698">
        <v>14.8</v>
      </c>
      <c r="G698">
        <v>17.71</v>
      </c>
      <c r="H698" t="s">
        <v>21</v>
      </c>
      <c r="I698" t="s">
        <v>22</v>
      </c>
      <c r="J698" t="s">
        <v>26</v>
      </c>
      <c r="K698">
        <v>31</v>
      </c>
      <c r="L698" t="s">
        <v>29</v>
      </c>
    </row>
    <row r="699" spans="1:12" x14ac:dyDescent="0.25">
      <c r="A699">
        <v>698</v>
      </c>
      <c r="B699">
        <v>54</v>
      </c>
      <c r="C699" t="s">
        <v>12</v>
      </c>
      <c r="D699" t="s">
        <v>17</v>
      </c>
      <c r="E699">
        <v>11.77</v>
      </c>
      <c r="F699">
        <v>15.6</v>
      </c>
      <c r="G699">
        <v>4.04</v>
      </c>
      <c r="H699" t="s">
        <v>19</v>
      </c>
      <c r="I699" t="s">
        <v>22</v>
      </c>
      <c r="J699" t="s">
        <v>26</v>
      </c>
      <c r="K699">
        <v>35</v>
      </c>
      <c r="L699" t="s">
        <v>29</v>
      </c>
    </row>
    <row r="700" spans="1:12" x14ac:dyDescent="0.25">
      <c r="A700">
        <v>699</v>
      </c>
      <c r="B700">
        <v>29</v>
      </c>
      <c r="C700" t="s">
        <v>13</v>
      </c>
      <c r="D700" t="s">
        <v>16</v>
      </c>
      <c r="E700">
        <v>21.04</v>
      </c>
      <c r="F700">
        <v>7.36</v>
      </c>
      <c r="G700">
        <v>8.7799999999999994</v>
      </c>
      <c r="H700" t="s">
        <v>20</v>
      </c>
      <c r="I700" t="s">
        <v>22</v>
      </c>
      <c r="J700" t="s">
        <v>26</v>
      </c>
      <c r="K700">
        <v>26</v>
      </c>
      <c r="L700" t="s">
        <v>29</v>
      </c>
    </row>
    <row r="701" spans="1:12" x14ac:dyDescent="0.25">
      <c r="A701">
        <v>700</v>
      </c>
      <c r="B701">
        <v>20</v>
      </c>
      <c r="C701" t="s">
        <v>13</v>
      </c>
      <c r="D701" t="s">
        <v>15</v>
      </c>
      <c r="E701">
        <v>10.62</v>
      </c>
      <c r="F701">
        <v>6.62</v>
      </c>
      <c r="G701">
        <v>15.39</v>
      </c>
      <c r="H701" t="s">
        <v>21</v>
      </c>
      <c r="I701" t="s">
        <v>22</v>
      </c>
      <c r="J701" t="s">
        <v>25</v>
      </c>
      <c r="K701">
        <v>12</v>
      </c>
      <c r="L701" t="s">
        <v>29</v>
      </c>
    </row>
    <row r="702" spans="1:12" x14ac:dyDescent="0.25">
      <c r="A702">
        <v>701</v>
      </c>
      <c r="B702">
        <v>18</v>
      </c>
      <c r="C702" t="s">
        <v>12</v>
      </c>
      <c r="D702" t="s">
        <v>16</v>
      </c>
      <c r="E702">
        <v>27.3</v>
      </c>
      <c r="F702">
        <v>12.46</v>
      </c>
      <c r="G702">
        <v>2.15</v>
      </c>
      <c r="H702" t="s">
        <v>21</v>
      </c>
      <c r="I702" t="s">
        <v>22</v>
      </c>
      <c r="J702" t="s">
        <v>28</v>
      </c>
      <c r="K702">
        <v>27</v>
      </c>
      <c r="L702" t="s">
        <v>29</v>
      </c>
    </row>
    <row r="703" spans="1:12" x14ac:dyDescent="0.25">
      <c r="A703">
        <v>702</v>
      </c>
      <c r="B703">
        <v>50</v>
      </c>
      <c r="C703" t="s">
        <v>12</v>
      </c>
      <c r="D703" t="s">
        <v>17</v>
      </c>
      <c r="E703">
        <v>26.51</v>
      </c>
      <c r="F703">
        <v>19.57</v>
      </c>
      <c r="G703">
        <v>16.329999999999998</v>
      </c>
      <c r="H703" t="s">
        <v>18</v>
      </c>
      <c r="I703" t="s">
        <v>23</v>
      </c>
      <c r="J703" t="s">
        <v>25</v>
      </c>
      <c r="K703">
        <v>12</v>
      </c>
      <c r="L703" t="s">
        <v>29</v>
      </c>
    </row>
    <row r="704" spans="1:12" x14ac:dyDescent="0.25">
      <c r="A704">
        <v>703</v>
      </c>
      <c r="B704">
        <v>57</v>
      </c>
      <c r="C704" t="s">
        <v>12</v>
      </c>
      <c r="D704" t="s">
        <v>14</v>
      </c>
      <c r="E704">
        <v>22.26</v>
      </c>
      <c r="F704">
        <v>2.95</v>
      </c>
      <c r="G704">
        <v>1.1399999999999999</v>
      </c>
      <c r="H704" t="s">
        <v>19</v>
      </c>
      <c r="I704" t="s">
        <v>24</v>
      </c>
      <c r="J704" t="s">
        <v>27</v>
      </c>
      <c r="K704">
        <v>18</v>
      </c>
      <c r="L704" t="s">
        <v>29</v>
      </c>
    </row>
    <row r="705" spans="1:12" x14ac:dyDescent="0.25">
      <c r="A705">
        <v>704</v>
      </c>
      <c r="B705">
        <v>27</v>
      </c>
      <c r="C705" t="s">
        <v>12</v>
      </c>
      <c r="D705" t="s">
        <v>15</v>
      </c>
      <c r="E705">
        <v>8.06</v>
      </c>
      <c r="F705">
        <v>9.51</v>
      </c>
      <c r="G705">
        <v>3.56</v>
      </c>
      <c r="H705" t="s">
        <v>21</v>
      </c>
      <c r="I705" t="s">
        <v>23</v>
      </c>
      <c r="J705" t="s">
        <v>26</v>
      </c>
      <c r="K705">
        <v>30</v>
      </c>
      <c r="L705" t="s">
        <v>29</v>
      </c>
    </row>
    <row r="706" spans="1:12" x14ac:dyDescent="0.25">
      <c r="A706">
        <v>705</v>
      </c>
      <c r="B706">
        <v>60</v>
      </c>
      <c r="C706" t="s">
        <v>13</v>
      </c>
      <c r="D706" t="s">
        <v>15</v>
      </c>
      <c r="E706">
        <v>20.440000000000001</v>
      </c>
      <c r="F706">
        <v>6.87</v>
      </c>
      <c r="G706">
        <v>8.48</v>
      </c>
      <c r="H706" t="s">
        <v>18</v>
      </c>
      <c r="I706" t="s">
        <v>23</v>
      </c>
      <c r="J706" t="s">
        <v>26</v>
      </c>
      <c r="K706">
        <v>14</v>
      </c>
      <c r="L706" t="s">
        <v>29</v>
      </c>
    </row>
    <row r="707" spans="1:12" x14ac:dyDescent="0.25">
      <c r="A707">
        <v>706</v>
      </c>
      <c r="B707">
        <v>61</v>
      </c>
      <c r="C707" t="s">
        <v>12</v>
      </c>
      <c r="D707" t="s">
        <v>16</v>
      </c>
      <c r="E707">
        <v>32.5</v>
      </c>
      <c r="F707">
        <v>10.41</v>
      </c>
      <c r="G707">
        <v>7.07</v>
      </c>
      <c r="H707" t="s">
        <v>21</v>
      </c>
      <c r="I707" t="s">
        <v>22</v>
      </c>
      <c r="J707" t="s">
        <v>26</v>
      </c>
      <c r="K707">
        <v>34</v>
      </c>
      <c r="L707" t="s">
        <v>29</v>
      </c>
    </row>
    <row r="708" spans="1:12" x14ac:dyDescent="0.25">
      <c r="A708">
        <v>707</v>
      </c>
      <c r="B708">
        <v>46</v>
      </c>
      <c r="C708" t="s">
        <v>12</v>
      </c>
      <c r="D708" t="s">
        <v>15</v>
      </c>
      <c r="E708">
        <v>28.51</v>
      </c>
      <c r="F708">
        <v>17.34</v>
      </c>
      <c r="G708">
        <v>6.45</v>
      </c>
      <c r="H708" t="s">
        <v>19</v>
      </c>
      <c r="I708" t="s">
        <v>23</v>
      </c>
      <c r="J708" t="s">
        <v>25</v>
      </c>
      <c r="K708">
        <v>31</v>
      </c>
      <c r="L708" t="s">
        <v>29</v>
      </c>
    </row>
    <row r="709" spans="1:12" x14ac:dyDescent="0.25">
      <c r="A709">
        <v>708</v>
      </c>
      <c r="B709">
        <v>30</v>
      </c>
      <c r="C709" t="s">
        <v>12</v>
      </c>
      <c r="D709" t="s">
        <v>16</v>
      </c>
      <c r="E709">
        <v>26.1</v>
      </c>
      <c r="F709">
        <v>5.05</v>
      </c>
      <c r="G709">
        <v>26.57</v>
      </c>
      <c r="H709" t="s">
        <v>21</v>
      </c>
      <c r="I709" t="s">
        <v>23</v>
      </c>
      <c r="J709" t="s">
        <v>26</v>
      </c>
      <c r="K709">
        <v>29</v>
      </c>
      <c r="L709" t="s">
        <v>29</v>
      </c>
    </row>
    <row r="710" spans="1:12" x14ac:dyDescent="0.25">
      <c r="A710">
        <v>709</v>
      </c>
      <c r="B710">
        <v>29</v>
      </c>
      <c r="C710" t="s">
        <v>12</v>
      </c>
      <c r="D710" t="s">
        <v>16</v>
      </c>
      <c r="E710">
        <v>17.559999999999999</v>
      </c>
      <c r="F710">
        <v>16</v>
      </c>
      <c r="G710">
        <v>3.18</v>
      </c>
      <c r="H710" t="s">
        <v>21</v>
      </c>
      <c r="I710" t="s">
        <v>23</v>
      </c>
      <c r="J710" t="s">
        <v>25</v>
      </c>
      <c r="K710">
        <v>28</v>
      </c>
      <c r="L710" t="s">
        <v>29</v>
      </c>
    </row>
    <row r="711" spans="1:12" x14ac:dyDescent="0.25">
      <c r="A711">
        <v>710</v>
      </c>
      <c r="B711">
        <v>48</v>
      </c>
      <c r="C711" t="s">
        <v>13</v>
      </c>
      <c r="D711" t="s">
        <v>15</v>
      </c>
      <c r="E711">
        <v>17.05</v>
      </c>
      <c r="F711">
        <v>7.57</v>
      </c>
      <c r="G711">
        <v>12.28</v>
      </c>
      <c r="H711" t="s">
        <v>20</v>
      </c>
      <c r="I711" t="s">
        <v>22</v>
      </c>
      <c r="J711" t="s">
        <v>25</v>
      </c>
      <c r="K711">
        <v>5</v>
      </c>
      <c r="L711" t="s">
        <v>30</v>
      </c>
    </row>
    <row r="712" spans="1:12" x14ac:dyDescent="0.25">
      <c r="A712">
        <v>711</v>
      </c>
      <c r="B712">
        <v>63</v>
      </c>
      <c r="C712" t="s">
        <v>12</v>
      </c>
      <c r="D712" t="s">
        <v>17</v>
      </c>
      <c r="E712">
        <v>35.700000000000003</v>
      </c>
      <c r="F712">
        <v>21.71</v>
      </c>
      <c r="G712">
        <v>27.22</v>
      </c>
      <c r="H712" t="s">
        <v>20</v>
      </c>
      <c r="I712" t="s">
        <v>24</v>
      </c>
      <c r="J712" t="s">
        <v>28</v>
      </c>
      <c r="K712">
        <v>28</v>
      </c>
      <c r="L712" t="s">
        <v>29</v>
      </c>
    </row>
    <row r="713" spans="1:12" x14ac:dyDescent="0.25">
      <c r="A713">
        <v>712</v>
      </c>
      <c r="B713">
        <v>19</v>
      </c>
      <c r="C713" t="s">
        <v>12</v>
      </c>
      <c r="D713" t="s">
        <v>17</v>
      </c>
      <c r="E713">
        <v>20.83</v>
      </c>
      <c r="F713">
        <v>5.32</v>
      </c>
      <c r="G713">
        <v>15.69</v>
      </c>
      <c r="H713" t="s">
        <v>18</v>
      </c>
      <c r="I713" t="s">
        <v>22</v>
      </c>
      <c r="J713" t="s">
        <v>26</v>
      </c>
      <c r="K713">
        <v>3</v>
      </c>
      <c r="L713" t="s">
        <v>30</v>
      </c>
    </row>
    <row r="714" spans="1:12" x14ac:dyDescent="0.25">
      <c r="A714">
        <v>713</v>
      </c>
      <c r="B714">
        <v>78</v>
      </c>
      <c r="C714" t="s">
        <v>13</v>
      </c>
      <c r="D714" t="s">
        <v>17</v>
      </c>
      <c r="E714">
        <v>21</v>
      </c>
      <c r="F714">
        <v>19.38</v>
      </c>
      <c r="G714">
        <v>11.34</v>
      </c>
      <c r="H714" t="s">
        <v>21</v>
      </c>
      <c r="I714" t="s">
        <v>22</v>
      </c>
      <c r="J714" t="s">
        <v>26</v>
      </c>
      <c r="K714">
        <v>29</v>
      </c>
      <c r="L714" t="s">
        <v>29</v>
      </c>
    </row>
    <row r="715" spans="1:12" x14ac:dyDescent="0.25">
      <c r="A715">
        <v>714</v>
      </c>
      <c r="B715">
        <v>68</v>
      </c>
      <c r="C715" t="s">
        <v>13</v>
      </c>
      <c r="D715" t="s">
        <v>14</v>
      </c>
      <c r="E715">
        <v>74.23</v>
      </c>
      <c r="F715">
        <v>3.27</v>
      </c>
      <c r="G715">
        <v>10.4</v>
      </c>
      <c r="H715" t="s">
        <v>18</v>
      </c>
      <c r="I715" t="s">
        <v>23</v>
      </c>
      <c r="J715" t="s">
        <v>26</v>
      </c>
      <c r="K715">
        <v>6</v>
      </c>
      <c r="L715" t="s">
        <v>29</v>
      </c>
    </row>
    <row r="716" spans="1:12" x14ac:dyDescent="0.25">
      <c r="A716">
        <v>715</v>
      </c>
      <c r="B716">
        <v>67</v>
      </c>
      <c r="C716" t="s">
        <v>13</v>
      </c>
      <c r="D716" t="s">
        <v>14</v>
      </c>
      <c r="E716">
        <v>13.98</v>
      </c>
      <c r="F716">
        <v>11.85</v>
      </c>
      <c r="G716">
        <v>6.4</v>
      </c>
      <c r="H716" t="s">
        <v>19</v>
      </c>
      <c r="I716" t="s">
        <v>23</v>
      </c>
      <c r="J716" t="s">
        <v>26</v>
      </c>
      <c r="K716">
        <v>21</v>
      </c>
      <c r="L716" t="s">
        <v>29</v>
      </c>
    </row>
    <row r="717" spans="1:12" x14ac:dyDescent="0.25">
      <c r="A717">
        <v>716</v>
      </c>
      <c r="B717">
        <v>52</v>
      </c>
      <c r="C717" t="s">
        <v>12</v>
      </c>
      <c r="D717" t="s">
        <v>16</v>
      </c>
      <c r="E717">
        <v>2.5299999999999998</v>
      </c>
      <c r="F717">
        <v>16.239999999999998</v>
      </c>
      <c r="G717">
        <v>6.04</v>
      </c>
      <c r="H717" t="s">
        <v>18</v>
      </c>
      <c r="I717" t="s">
        <v>23</v>
      </c>
      <c r="J717" t="s">
        <v>27</v>
      </c>
      <c r="K717">
        <v>24</v>
      </c>
      <c r="L717" t="s">
        <v>29</v>
      </c>
    </row>
    <row r="718" spans="1:12" x14ac:dyDescent="0.25">
      <c r="A718">
        <v>717</v>
      </c>
      <c r="B718">
        <v>40</v>
      </c>
      <c r="C718" t="s">
        <v>12</v>
      </c>
      <c r="D718" t="s">
        <v>16</v>
      </c>
      <c r="E718">
        <v>15.4</v>
      </c>
      <c r="F718">
        <v>5.45</v>
      </c>
      <c r="G718">
        <v>2.65</v>
      </c>
      <c r="H718" t="s">
        <v>21</v>
      </c>
      <c r="I718" t="s">
        <v>23</v>
      </c>
      <c r="J718" t="s">
        <v>26</v>
      </c>
      <c r="K718">
        <v>8</v>
      </c>
      <c r="L718" t="s">
        <v>29</v>
      </c>
    </row>
    <row r="719" spans="1:12" x14ac:dyDescent="0.25">
      <c r="A719">
        <v>718</v>
      </c>
      <c r="B719">
        <v>34</v>
      </c>
      <c r="C719" t="s">
        <v>13</v>
      </c>
      <c r="D719" t="s">
        <v>17</v>
      </c>
      <c r="E719">
        <v>16.02</v>
      </c>
      <c r="F719">
        <v>7.06</v>
      </c>
      <c r="G719">
        <v>17.03</v>
      </c>
      <c r="H719" t="s">
        <v>20</v>
      </c>
      <c r="I719" t="s">
        <v>23</v>
      </c>
      <c r="J719" t="s">
        <v>28</v>
      </c>
      <c r="K719">
        <v>11</v>
      </c>
      <c r="L719" t="s">
        <v>29</v>
      </c>
    </row>
    <row r="720" spans="1:12" x14ac:dyDescent="0.25">
      <c r="A720">
        <v>719</v>
      </c>
      <c r="B720">
        <v>43</v>
      </c>
      <c r="C720" t="s">
        <v>13</v>
      </c>
      <c r="D720" t="s">
        <v>14</v>
      </c>
      <c r="E720">
        <v>20.64</v>
      </c>
      <c r="F720">
        <v>10.5</v>
      </c>
      <c r="G720">
        <v>2.9</v>
      </c>
      <c r="H720" t="s">
        <v>20</v>
      </c>
      <c r="I720" t="s">
        <v>23</v>
      </c>
      <c r="J720" t="s">
        <v>28</v>
      </c>
      <c r="K720">
        <v>13</v>
      </c>
      <c r="L720" t="s">
        <v>29</v>
      </c>
    </row>
    <row r="721" spans="1:12" x14ac:dyDescent="0.25">
      <c r="A721">
        <v>720</v>
      </c>
      <c r="B721">
        <v>25</v>
      </c>
      <c r="C721" t="s">
        <v>13</v>
      </c>
      <c r="D721" t="s">
        <v>16</v>
      </c>
      <c r="E721">
        <v>23.71</v>
      </c>
      <c r="F721">
        <v>8.01</v>
      </c>
      <c r="G721">
        <v>8.35</v>
      </c>
      <c r="H721" t="s">
        <v>18</v>
      </c>
      <c r="I721" t="s">
        <v>23</v>
      </c>
      <c r="J721" t="s">
        <v>25</v>
      </c>
      <c r="K721">
        <v>24</v>
      </c>
      <c r="L721" t="s">
        <v>29</v>
      </c>
    </row>
    <row r="722" spans="1:12" x14ac:dyDescent="0.25">
      <c r="A722">
        <v>721</v>
      </c>
      <c r="B722">
        <v>46</v>
      </c>
      <c r="C722" t="s">
        <v>13</v>
      </c>
      <c r="D722" t="s">
        <v>16</v>
      </c>
      <c r="E722">
        <v>3.02</v>
      </c>
      <c r="F722">
        <v>6.52</v>
      </c>
      <c r="G722">
        <v>6.92</v>
      </c>
      <c r="H722" t="s">
        <v>20</v>
      </c>
      <c r="I722" t="s">
        <v>22</v>
      </c>
      <c r="J722" t="s">
        <v>26</v>
      </c>
      <c r="K722">
        <v>11</v>
      </c>
      <c r="L722" t="s">
        <v>30</v>
      </c>
    </row>
    <row r="723" spans="1:12" x14ac:dyDescent="0.25">
      <c r="A723">
        <v>722</v>
      </c>
      <c r="B723">
        <v>43</v>
      </c>
      <c r="C723" t="s">
        <v>13</v>
      </c>
      <c r="D723" t="s">
        <v>14</v>
      </c>
      <c r="E723">
        <v>24.02</v>
      </c>
      <c r="F723">
        <v>18.690000000000001</v>
      </c>
      <c r="G723">
        <v>10.050000000000001</v>
      </c>
      <c r="H723" t="s">
        <v>21</v>
      </c>
      <c r="I723" t="s">
        <v>24</v>
      </c>
      <c r="J723" t="s">
        <v>26</v>
      </c>
      <c r="K723">
        <v>31</v>
      </c>
      <c r="L723" t="s">
        <v>29</v>
      </c>
    </row>
    <row r="724" spans="1:12" x14ac:dyDescent="0.25">
      <c r="A724">
        <v>723</v>
      </c>
      <c r="B724">
        <v>27</v>
      </c>
      <c r="C724" t="s">
        <v>13</v>
      </c>
      <c r="D724" t="s">
        <v>15</v>
      </c>
      <c r="E724">
        <v>16.670000000000002</v>
      </c>
      <c r="F724">
        <v>23.23</v>
      </c>
      <c r="G724">
        <v>13.43</v>
      </c>
      <c r="H724" t="s">
        <v>21</v>
      </c>
      <c r="I724" t="s">
        <v>24</v>
      </c>
      <c r="J724" t="s">
        <v>26</v>
      </c>
      <c r="K724">
        <v>12</v>
      </c>
      <c r="L724" t="s">
        <v>30</v>
      </c>
    </row>
    <row r="725" spans="1:12" x14ac:dyDescent="0.25">
      <c r="A725">
        <v>724</v>
      </c>
      <c r="B725">
        <v>43</v>
      </c>
      <c r="C725" t="s">
        <v>12</v>
      </c>
      <c r="D725" t="s">
        <v>14</v>
      </c>
      <c r="E725">
        <v>14.42</v>
      </c>
      <c r="F725">
        <v>22.31</v>
      </c>
      <c r="G725">
        <v>6.25</v>
      </c>
      <c r="H725" t="s">
        <v>19</v>
      </c>
      <c r="I725" t="s">
        <v>22</v>
      </c>
      <c r="J725" t="s">
        <v>26</v>
      </c>
      <c r="K725">
        <v>33</v>
      </c>
      <c r="L725" t="s">
        <v>29</v>
      </c>
    </row>
    <row r="726" spans="1:12" x14ac:dyDescent="0.25">
      <c r="A726">
        <v>725</v>
      </c>
      <c r="B726">
        <v>79</v>
      </c>
      <c r="C726" t="s">
        <v>12</v>
      </c>
      <c r="D726" t="s">
        <v>15</v>
      </c>
      <c r="E726">
        <v>4.51</v>
      </c>
      <c r="F726">
        <v>14.36</v>
      </c>
      <c r="G726">
        <v>3.55</v>
      </c>
      <c r="H726" t="s">
        <v>20</v>
      </c>
      <c r="I726" t="s">
        <v>23</v>
      </c>
      <c r="J726" t="s">
        <v>26</v>
      </c>
      <c r="K726">
        <v>24</v>
      </c>
      <c r="L726" t="s">
        <v>29</v>
      </c>
    </row>
    <row r="727" spans="1:12" x14ac:dyDescent="0.25">
      <c r="A727">
        <v>726</v>
      </c>
      <c r="B727">
        <v>51</v>
      </c>
      <c r="C727" t="s">
        <v>12</v>
      </c>
      <c r="D727" t="s">
        <v>15</v>
      </c>
      <c r="E727">
        <v>40.159999999999997</v>
      </c>
      <c r="F727">
        <v>15.77</v>
      </c>
      <c r="G727">
        <v>5.1100000000000003</v>
      </c>
      <c r="H727" t="s">
        <v>20</v>
      </c>
      <c r="I727" t="s">
        <v>22</v>
      </c>
      <c r="J727" t="s">
        <v>26</v>
      </c>
      <c r="K727">
        <v>6</v>
      </c>
      <c r="L727" t="s">
        <v>30</v>
      </c>
    </row>
    <row r="728" spans="1:12" x14ac:dyDescent="0.25">
      <c r="A728">
        <v>727</v>
      </c>
      <c r="B728">
        <v>68</v>
      </c>
      <c r="C728" t="s">
        <v>13</v>
      </c>
      <c r="D728" t="s">
        <v>15</v>
      </c>
      <c r="E728">
        <v>12.85</v>
      </c>
      <c r="F728">
        <v>4.68</v>
      </c>
      <c r="G728">
        <v>4.16</v>
      </c>
      <c r="H728" t="s">
        <v>19</v>
      </c>
      <c r="I728" t="s">
        <v>23</v>
      </c>
      <c r="J728" t="s">
        <v>25</v>
      </c>
      <c r="K728">
        <v>4</v>
      </c>
      <c r="L728" t="s">
        <v>30</v>
      </c>
    </row>
    <row r="729" spans="1:12" x14ac:dyDescent="0.25">
      <c r="A729">
        <v>728</v>
      </c>
      <c r="B729">
        <v>58</v>
      </c>
      <c r="C729" t="s">
        <v>13</v>
      </c>
      <c r="D729" t="s">
        <v>14</v>
      </c>
      <c r="E729">
        <v>26.32</v>
      </c>
      <c r="F729">
        <v>9.77</v>
      </c>
      <c r="G729">
        <v>27.67</v>
      </c>
      <c r="H729" t="s">
        <v>18</v>
      </c>
      <c r="I729" t="s">
        <v>22</v>
      </c>
      <c r="J729" t="s">
        <v>26</v>
      </c>
      <c r="K729">
        <v>7</v>
      </c>
      <c r="L729" t="s">
        <v>30</v>
      </c>
    </row>
    <row r="730" spans="1:12" x14ac:dyDescent="0.25">
      <c r="A730">
        <v>729</v>
      </c>
      <c r="B730">
        <v>24</v>
      </c>
      <c r="C730" t="s">
        <v>13</v>
      </c>
      <c r="D730" t="s">
        <v>14</v>
      </c>
      <c r="E730">
        <v>9.49</v>
      </c>
      <c r="F730">
        <v>11.16</v>
      </c>
      <c r="G730">
        <v>20.16</v>
      </c>
      <c r="H730" t="s">
        <v>19</v>
      </c>
      <c r="I730" t="s">
        <v>22</v>
      </c>
      <c r="J730" t="s">
        <v>26</v>
      </c>
      <c r="K730">
        <v>17</v>
      </c>
      <c r="L730" t="s">
        <v>29</v>
      </c>
    </row>
    <row r="731" spans="1:12" x14ac:dyDescent="0.25">
      <c r="A731">
        <v>730</v>
      </c>
      <c r="B731">
        <v>21</v>
      </c>
      <c r="C731" t="s">
        <v>13</v>
      </c>
      <c r="D731" t="s">
        <v>16</v>
      </c>
      <c r="E731">
        <v>21.21</v>
      </c>
      <c r="F731">
        <v>12.79</v>
      </c>
      <c r="G731">
        <v>2.58</v>
      </c>
      <c r="H731" t="s">
        <v>20</v>
      </c>
      <c r="I731" t="s">
        <v>22</v>
      </c>
      <c r="J731" t="s">
        <v>26</v>
      </c>
      <c r="K731">
        <v>21</v>
      </c>
      <c r="L731" t="s">
        <v>29</v>
      </c>
    </row>
    <row r="732" spans="1:12" x14ac:dyDescent="0.25">
      <c r="A732">
        <v>731</v>
      </c>
      <c r="B732">
        <v>75</v>
      </c>
      <c r="C732" t="s">
        <v>13</v>
      </c>
      <c r="D732" t="s">
        <v>16</v>
      </c>
      <c r="E732">
        <v>14.58</v>
      </c>
      <c r="F732">
        <v>12.62</v>
      </c>
      <c r="G732">
        <v>6.99</v>
      </c>
      <c r="H732" t="s">
        <v>18</v>
      </c>
      <c r="I732" t="s">
        <v>24</v>
      </c>
      <c r="J732" t="s">
        <v>28</v>
      </c>
      <c r="K732">
        <v>17</v>
      </c>
      <c r="L732" t="s">
        <v>29</v>
      </c>
    </row>
    <row r="733" spans="1:12" x14ac:dyDescent="0.25">
      <c r="A733">
        <v>732</v>
      </c>
      <c r="B733">
        <v>70</v>
      </c>
      <c r="C733" t="s">
        <v>13</v>
      </c>
      <c r="D733" t="s">
        <v>17</v>
      </c>
      <c r="E733">
        <v>25.82</v>
      </c>
      <c r="F733">
        <v>10.52</v>
      </c>
      <c r="G733">
        <v>4.01</v>
      </c>
      <c r="H733" t="s">
        <v>21</v>
      </c>
      <c r="I733" t="s">
        <v>22</v>
      </c>
      <c r="J733" t="s">
        <v>25</v>
      </c>
      <c r="K733">
        <v>10</v>
      </c>
      <c r="L733" t="s">
        <v>29</v>
      </c>
    </row>
    <row r="734" spans="1:12" x14ac:dyDescent="0.25">
      <c r="A734">
        <v>733</v>
      </c>
      <c r="B734">
        <v>67</v>
      </c>
      <c r="C734" t="s">
        <v>12</v>
      </c>
      <c r="D734" t="s">
        <v>14</v>
      </c>
      <c r="E734">
        <v>14.25</v>
      </c>
      <c r="F734">
        <v>14.24</v>
      </c>
      <c r="G734">
        <v>5.2</v>
      </c>
      <c r="H734" t="s">
        <v>21</v>
      </c>
      <c r="I734" t="s">
        <v>22</v>
      </c>
      <c r="J734" t="s">
        <v>26</v>
      </c>
      <c r="K734">
        <v>22</v>
      </c>
      <c r="L734" t="s">
        <v>30</v>
      </c>
    </row>
    <row r="735" spans="1:12" x14ac:dyDescent="0.25">
      <c r="A735">
        <v>734</v>
      </c>
      <c r="B735">
        <v>62</v>
      </c>
      <c r="C735" t="s">
        <v>12</v>
      </c>
      <c r="D735" t="s">
        <v>17</v>
      </c>
      <c r="E735">
        <v>9.16</v>
      </c>
      <c r="F735">
        <v>12.22</v>
      </c>
      <c r="G735">
        <v>5.76</v>
      </c>
      <c r="H735" t="s">
        <v>19</v>
      </c>
      <c r="I735" t="s">
        <v>23</v>
      </c>
      <c r="J735" t="s">
        <v>25</v>
      </c>
      <c r="K735">
        <v>14</v>
      </c>
      <c r="L735" t="s">
        <v>29</v>
      </c>
    </row>
    <row r="736" spans="1:12" x14ac:dyDescent="0.25">
      <c r="A736">
        <v>735</v>
      </c>
      <c r="B736">
        <v>28</v>
      </c>
      <c r="C736" t="s">
        <v>13</v>
      </c>
      <c r="D736" t="s">
        <v>17</v>
      </c>
      <c r="E736">
        <v>17.170000000000002</v>
      </c>
      <c r="F736">
        <v>12.2</v>
      </c>
      <c r="G736">
        <v>4.3899999999999997</v>
      </c>
      <c r="H736" t="s">
        <v>21</v>
      </c>
      <c r="I736" t="s">
        <v>24</v>
      </c>
      <c r="J736" t="s">
        <v>25</v>
      </c>
      <c r="K736">
        <v>6</v>
      </c>
      <c r="L736" t="s">
        <v>30</v>
      </c>
    </row>
    <row r="737" spans="1:12" x14ac:dyDescent="0.25">
      <c r="A737">
        <v>736</v>
      </c>
      <c r="B737">
        <v>46</v>
      </c>
      <c r="C737" t="s">
        <v>12</v>
      </c>
      <c r="D737" t="s">
        <v>15</v>
      </c>
      <c r="E737">
        <v>16.61</v>
      </c>
      <c r="F737">
        <v>5.77</v>
      </c>
      <c r="G737">
        <v>16.04</v>
      </c>
      <c r="H737" t="s">
        <v>20</v>
      </c>
      <c r="I737" t="s">
        <v>23</v>
      </c>
      <c r="J737" t="s">
        <v>27</v>
      </c>
      <c r="K737">
        <v>17</v>
      </c>
      <c r="L737" t="s">
        <v>29</v>
      </c>
    </row>
    <row r="738" spans="1:12" x14ac:dyDescent="0.25">
      <c r="A738">
        <v>737</v>
      </c>
      <c r="B738">
        <v>73</v>
      </c>
      <c r="C738" t="s">
        <v>13</v>
      </c>
      <c r="D738" t="s">
        <v>16</v>
      </c>
      <c r="E738">
        <v>20.329999999999998</v>
      </c>
      <c r="F738">
        <v>3.74</v>
      </c>
      <c r="G738">
        <v>11.09</v>
      </c>
      <c r="H738" t="s">
        <v>19</v>
      </c>
      <c r="I738" t="s">
        <v>24</v>
      </c>
      <c r="J738" t="s">
        <v>26</v>
      </c>
      <c r="K738">
        <v>3</v>
      </c>
      <c r="L738" t="s">
        <v>29</v>
      </c>
    </row>
    <row r="739" spans="1:12" x14ac:dyDescent="0.25">
      <c r="A739">
        <v>738</v>
      </c>
      <c r="B739">
        <v>53</v>
      </c>
      <c r="C739" t="s">
        <v>12</v>
      </c>
      <c r="D739" t="s">
        <v>16</v>
      </c>
      <c r="E739">
        <v>30.64</v>
      </c>
      <c r="F739">
        <v>12.83</v>
      </c>
      <c r="G739">
        <v>10.5</v>
      </c>
      <c r="H739" t="s">
        <v>20</v>
      </c>
      <c r="I739" t="s">
        <v>23</v>
      </c>
      <c r="J739" t="s">
        <v>27</v>
      </c>
      <c r="K739">
        <v>33</v>
      </c>
      <c r="L739" t="s">
        <v>29</v>
      </c>
    </row>
    <row r="740" spans="1:12" x14ac:dyDescent="0.25">
      <c r="A740">
        <v>739</v>
      </c>
      <c r="B740">
        <v>42</v>
      </c>
      <c r="C740" t="s">
        <v>13</v>
      </c>
      <c r="D740" t="s">
        <v>17</v>
      </c>
      <c r="E740">
        <v>7.67</v>
      </c>
      <c r="F740">
        <v>7.32</v>
      </c>
      <c r="G740">
        <v>21.6</v>
      </c>
      <c r="H740" t="s">
        <v>20</v>
      </c>
      <c r="I740" t="s">
        <v>23</v>
      </c>
      <c r="J740" t="s">
        <v>26</v>
      </c>
      <c r="K740">
        <v>11</v>
      </c>
      <c r="L740" t="s">
        <v>30</v>
      </c>
    </row>
    <row r="741" spans="1:12" x14ac:dyDescent="0.25">
      <c r="A741">
        <v>740</v>
      </c>
      <c r="B741">
        <v>38</v>
      </c>
      <c r="C741" t="s">
        <v>13</v>
      </c>
      <c r="D741" t="s">
        <v>15</v>
      </c>
      <c r="E741">
        <v>29.71</v>
      </c>
      <c r="F741">
        <v>6</v>
      </c>
      <c r="G741">
        <v>15.31</v>
      </c>
      <c r="H741" t="s">
        <v>18</v>
      </c>
      <c r="I741" t="s">
        <v>24</v>
      </c>
      <c r="J741" t="s">
        <v>27</v>
      </c>
      <c r="K741">
        <v>25</v>
      </c>
      <c r="L741" t="s">
        <v>30</v>
      </c>
    </row>
    <row r="742" spans="1:12" x14ac:dyDescent="0.25">
      <c r="A742">
        <v>741</v>
      </c>
      <c r="B742">
        <v>78</v>
      </c>
      <c r="C742" t="s">
        <v>12</v>
      </c>
      <c r="D742" t="s">
        <v>14</v>
      </c>
      <c r="E742">
        <v>6.78</v>
      </c>
      <c r="F742">
        <v>16.53</v>
      </c>
      <c r="G742">
        <v>8.92</v>
      </c>
      <c r="H742" t="s">
        <v>18</v>
      </c>
      <c r="I742" t="s">
        <v>23</v>
      </c>
      <c r="J742" t="s">
        <v>26</v>
      </c>
      <c r="K742">
        <v>28</v>
      </c>
      <c r="L742" t="s">
        <v>29</v>
      </c>
    </row>
    <row r="743" spans="1:12" x14ac:dyDescent="0.25">
      <c r="A743">
        <v>742</v>
      </c>
      <c r="B743">
        <v>74</v>
      </c>
      <c r="C743" t="s">
        <v>12</v>
      </c>
      <c r="D743" t="s">
        <v>15</v>
      </c>
      <c r="E743">
        <v>25.22</v>
      </c>
      <c r="F743">
        <v>9.85</v>
      </c>
      <c r="G743">
        <v>10.65</v>
      </c>
      <c r="H743" t="s">
        <v>18</v>
      </c>
      <c r="I743" t="s">
        <v>24</v>
      </c>
      <c r="J743" t="s">
        <v>27</v>
      </c>
      <c r="K743">
        <v>20</v>
      </c>
      <c r="L743" t="s">
        <v>29</v>
      </c>
    </row>
    <row r="744" spans="1:12" x14ac:dyDescent="0.25">
      <c r="A744">
        <v>743</v>
      </c>
      <c r="B744">
        <v>53</v>
      </c>
      <c r="C744" t="s">
        <v>13</v>
      </c>
      <c r="D744" t="s">
        <v>16</v>
      </c>
      <c r="E744">
        <v>25.7</v>
      </c>
      <c r="F744">
        <v>25.53</v>
      </c>
      <c r="G744">
        <v>16.989999999999998</v>
      </c>
      <c r="H744" t="s">
        <v>21</v>
      </c>
      <c r="I744" t="s">
        <v>23</v>
      </c>
      <c r="J744" t="s">
        <v>28</v>
      </c>
      <c r="K744">
        <v>35</v>
      </c>
      <c r="L744" t="s">
        <v>29</v>
      </c>
    </row>
    <row r="745" spans="1:12" x14ac:dyDescent="0.25">
      <c r="A745">
        <v>744</v>
      </c>
      <c r="B745">
        <v>27</v>
      </c>
      <c r="C745" t="s">
        <v>13</v>
      </c>
      <c r="D745" t="s">
        <v>14</v>
      </c>
      <c r="E745">
        <v>12.38</v>
      </c>
      <c r="F745">
        <v>15.32</v>
      </c>
      <c r="G745">
        <v>16.27</v>
      </c>
      <c r="H745" t="s">
        <v>18</v>
      </c>
      <c r="I745" t="s">
        <v>24</v>
      </c>
      <c r="J745" t="s">
        <v>26</v>
      </c>
      <c r="K745">
        <v>16</v>
      </c>
      <c r="L745" t="s">
        <v>29</v>
      </c>
    </row>
    <row r="746" spans="1:12" x14ac:dyDescent="0.25">
      <c r="A746">
        <v>745</v>
      </c>
      <c r="B746">
        <v>54</v>
      </c>
      <c r="C746" t="s">
        <v>12</v>
      </c>
      <c r="D746" t="s">
        <v>17</v>
      </c>
      <c r="E746">
        <v>9.85</v>
      </c>
      <c r="F746">
        <v>5.46</v>
      </c>
      <c r="G746">
        <v>0.9</v>
      </c>
      <c r="H746" t="s">
        <v>20</v>
      </c>
      <c r="I746" t="s">
        <v>22</v>
      </c>
      <c r="J746" t="s">
        <v>28</v>
      </c>
      <c r="K746">
        <v>3</v>
      </c>
      <c r="L746" t="s">
        <v>29</v>
      </c>
    </row>
    <row r="747" spans="1:12" x14ac:dyDescent="0.25">
      <c r="A747">
        <v>746</v>
      </c>
      <c r="B747">
        <v>26</v>
      </c>
      <c r="C747" t="s">
        <v>12</v>
      </c>
      <c r="D747" t="s">
        <v>15</v>
      </c>
      <c r="E747">
        <v>9.4700000000000006</v>
      </c>
      <c r="F747">
        <v>16.670000000000002</v>
      </c>
      <c r="G747">
        <v>11.96</v>
      </c>
      <c r="H747" t="s">
        <v>19</v>
      </c>
      <c r="I747" t="s">
        <v>22</v>
      </c>
      <c r="J747" t="s">
        <v>26</v>
      </c>
      <c r="K747">
        <v>15</v>
      </c>
      <c r="L747" t="s">
        <v>29</v>
      </c>
    </row>
    <row r="748" spans="1:12" x14ac:dyDescent="0.25">
      <c r="A748">
        <v>747</v>
      </c>
      <c r="B748">
        <v>41</v>
      </c>
      <c r="C748" t="s">
        <v>13</v>
      </c>
      <c r="D748" t="s">
        <v>16</v>
      </c>
      <c r="E748">
        <v>18.239999999999998</v>
      </c>
      <c r="F748">
        <v>13.76</v>
      </c>
      <c r="G748">
        <v>9.4700000000000006</v>
      </c>
      <c r="H748" t="s">
        <v>19</v>
      </c>
      <c r="I748" t="s">
        <v>23</v>
      </c>
      <c r="J748" t="s">
        <v>26</v>
      </c>
      <c r="K748">
        <v>17</v>
      </c>
      <c r="L748" t="s">
        <v>29</v>
      </c>
    </row>
    <row r="749" spans="1:12" x14ac:dyDescent="0.25">
      <c r="A749">
        <v>748</v>
      </c>
      <c r="B749">
        <v>52</v>
      </c>
      <c r="C749" t="s">
        <v>12</v>
      </c>
      <c r="D749" t="s">
        <v>14</v>
      </c>
      <c r="E749">
        <v>26.72</v>
      </c>
      <c r="F749">
        <v>5.29</v>
      </c>
      <c r="G749">
        <v>13.91</v>
      </c>
      <c r="H749" t="s">
        <v>20</v>
      </c>
      <c r="I749" t="s">
        <v>23</v>
      </c>
      <c r="J749" t="s">
        <v>26</v>
      </c>
      <c r="K749">
        <v>7</v>
      </c>
      <c r="L749" t="s">
        <v>29</v>
      </c>
    </row>
    <row r="750" spans="1:12" x14ac:dyDescent="0.25">
      <c r="A750">
        <v>749</v>
      </c>
      <c r="B750">
        <v>66</v>
      </c>
      <c r="C750" t="s">
        <v>13</v>
      </c>
      <c r="D750" t="s">
        <v>17</v>
      </c>
      <c r="E750">
        <v>15.72</v>
      </c>
      <c r="F750">
        <v>6.61</v>
      </c>
      <c r="G750">
        <v>1.63</v>
      </c>
      <c r="H750" t="s">
        <v>21</v>
      </c>
      <c r="I750" t="s">
        <v>24</v>
      </c>
      <c r="J750" t="s">
        <v>28</v>
      </c>
      <c r="K750">
        <v>16</v>
      </c>
      <c r="L750" t="s">
        <v>30</v>
      </c>
    </row>
    <row r="751" spans="1:12" x14ac:dyDescent="0.25">
      <c r="A751">
        <v>750</v>
      </c>
      <c r="B751">
        <v>52</v>
      </c>
      <c r="C751" t="s">
        <v>13</v>
      </c>
      <c r="D751" t="s">
        <v>14</v>
      </c>
      <c r="E751">
        <v>2.2599999999999998</v>
      </c>
      <c r="F751">
        <v>16.13</v>
      </c>
      <c r="G751">
        <v>17.98</v>
      </c>
      <c r="H751" t="s">
        <v>19</v>
      </c>
      <c r="I751" t="s">
        <v>23</v>
      </c>
      <c r="J751" t="s">
        <v>26</v>
      </c>
      <c r="K751">
        <v>16</v>
      </c>
      <c r="L751" t="s">
        <v>29</v>
      </c>
    </row>
    <row r="752" spans="1:12" x14ac:dyDescent="0.25">
      <c r="A752">
        <v>751</v>
      </c>
      <c r="B752">
        <v>65</v>
      </c>
      <c r="C752" t="s">
        <v>13</v>
      </c>
      <c r="D752" t="s">
        <v>15</v>
      </c>
      <c r="E752">
        <v>11.82</v>
      </c>
      <c r="F752">
        <v>1.85</v>
      </c>
      <c r="G752">
        <v>14.46</v>
      </c>
      <c r="H752" t="s">
        <v>20</v>
      </c>
      <c r="I752" t="s">
        <v>23</v>
      </c>
      <c r="J752" t="s">
        <v>25</v>
      </c>
      <c r="K752">
        <v>7</v>
      </c>
      <c r="L752" t="s">
        <v>29</v>
      </c>
    </row>
    <row r="753" spans="1:12" x14ac:dyDescent="0.25">
      <c r="A753">
        <v>752</v>
      </c>
      <c r="B753">
        <v>53</v>
      </c>
      <c r="C753" t="s">
        <v>13</v>
      </c>
      <c r="D753" t="s">
        <v>17</v>
      </c>
      <c r="E753">
        <v>11.52</v>
      </c>
      <c r="F753">
        <v>1.1299999999999999</v>
      </c>
      <c r="G753">
        <v>6.69</v>
      </c>
      <c r="H753" t="s">
        <v>20</v>
      </c>
      <c r="I753" t="s">
        <v>22</v>
      </c>
      <c r="J753" t="s">
        <v>25</v>
      </c>
      <c r="K753">
        <v>13</v>
      </c>
      <c r="L753" t="s">
        <v>29</v>
      </c>
    </row>
    <row r="754" spans="1:12" x14ac:dyDescent="0.25">
      <c r="A754">
        <v>753</v>
      </c>
      <c r="B754">
        <v>35</v>
      </c>
      <c r="C754" t="s">
        <v>12</v>
      </c>
      <c r="D754" t="s">
        <v>16</v>
      </c>
      <c r="E754">
        <v>23.61</v>
      </c>
      <c r="F754">
        <v>11.7</v>
      </c>
      <c r="G754">
        <v>25.17</v>
      </c>
      <c r="H754" t="s">
        <v>20</v>
      </c>
      <c r="I754" t="s">
        <v>22</v>
      </c>
      <c r="J754" t="s">
        <v>28</v>
      </c>
      <c r="K754">
        <v>34</v>
      </c>
      <c r="L754" t="s">
        <v>30</v>
      </c>
    </row>
    <row r="755" spans="1:12" x14ac:dyDescent="0.25">
      <c r="A755">
        <v>754</v>
      </c>
      <c r="B755">
        <v>66</v>
      </c>
      <c r="C755" t="s">
        <v>12</v>
      </c>
      <c r="D755" t="s">
        <v>14</v>
      </c>
      <c r="E755">
        <v>24.37</v>
      </c>
      <c r="F755">
        <v>11.06</v>
      </c>
      <c r="G755">
        <v>3.51</v>
      </c>
      <c r="H755" t="s">
        <v>19</v>
      </c>
      <c r="I755" t="s">
        <v>23</v>
      </c>
      <c r="J755" t="s">
        <v>25</v>
      </c>
      <c r="K755">
        <v>7</v>
      </c>
      <c r="L755" t="s">
        <v>29</v>
      </c>
    </row>
    <row r="756" spans="1:12" x14ac:dyDescent="0.25">
      <c r="A756">
        <v>755</v>
      </c>
      <c r="B756">
        <v>56</v>
      </c>
      <c r="C756" t="s">
        <v>12</v>
      </c>
      <c r="D756" t="s">
        <v>15</v>
      </c>
      <c r="E756">
        <v>19.149999999999999</v>
      </c>
      <c r="F756">
        <v>12.47</v>
      </c>
      <c r="G756">
        <v>10.210000000000001</v>
      </c>
      <c r="H756" t="s">
        <v>19</v>
      </c>
      <c r="I756" t="s">
        <v>23</v>
      </c>
      <c r="J756" t="s">
        <v>26</v>
      </c>
      <c r="K756">
        <v>17</v>
      </c>
      <c r="L756" t="s">
        <v>29</v>
      </c>
    </row>
    <row r="757" spans="1:12" x14ac:dyDescent="0.25">
      <c r="A757">
        <v>756</v>
      </c>
      <c r="B757">
        <v>49</v>
      </c>
      <c r="C757" t="s">
        <v>12</v>
      </c>
      <c r="D757" t="s">
        <v>14</v>
      </c>
      <c r="E757">
        <v>29.74</v>
      </c>
      <c r="F757">
        <v>11.09</v>
      </c>
      <c r="G757">
        <v>5.69</v>
      </c>
      <c r="H757" t="s">
        <v>18</v>
      </c>
      <c r="I757" t="s">
        <v>23</v>
      </c>
      <c r="J757" t="s">
        <v>26</v>
      </c>
      <c r="K757">
        <v>9</v>
      </c>
      <c r="L757" t="s">
        <v>29</v>
      </c>
    </row>
    <row r="758" spans="1:12" x14ac:dyDescent="0.25">
      <c r="A758">
        <v>757</v>
      </c>
      <c r="B758">
        <v>41</v>
      </c>
      <c r="C758" t="s">
        <v>12</v>
      </c>
      <c r="D758" t="s">
        <v>17</v>
      </c>
      <c r="E758">
        <v>31.08</v>
      </c>
      <c r="F758">
        <v>14.11</v>
      </c>
      <c r="G758">
        <v>4.76</v>
      </c>
      <c r="H758" t="s">
        <v>18</v>
      </c>
      <c r="I758" t="s">
        <v>24</v>
      </c>
      <c r="J758" t="s">
        <v>26</v>
      </c>
      <c r="K758">
        <v>7</v>
      </c>
      <c r="L758" t="s">
        <v>29</v>
      </c>
    </row>
    <row r="759" spans="1:12" x14ac:dyDescent="0.25">
      <c r="A759">
        <v>758</v>
      </c>
      <c r="B759">
        <v>40</v>
      </c>
      <c r="C759" t="s">
        <v>12</v>
      </c>
      <c r="D759" t="s">
        <v>17</v>
      </c>
      <c r="E759">
        <v>12.31</v>
      </c>
      <c r="F759">
        <v>23.44</v>
      </c>
      <c r="G759">
        <v>8.2899999999999991</v>
      </c>
      <c r="H759" t="s">
        <v>20</v>
      </c>
      <c r="I759" t="s">
        <v>23</v>
      </c>
      <c r="J759" t="s">
        <v>25</v>
      </c>
      <c r="K759">
        <v>32</v>
      </c>
      <c r="L759" t="s">
        <v>29</v>
      </c>
    </row>
    <row r="760" spans="1:12" x14ac:dyDescent="0.25">
      <c r="A760">
        <v>759</v>
      </c>
      <c r="B760">
        <v>79</v>
      </c>
      <c r="C760" t="s">
        <v>12</v>
      </c>
      <c r="D760" t="s">
        <v>15</v>
      </c>
      <c r="E760">
        <v>9.31</v>
      </c>
      <c r="F760">
        <v>10.35</v>
      </c>
      <c r="G760">
        <v>1.79</v>
      </c>
      <c r="H760" t="s">
        <v>20</v>
      </c>
      <c r="I760" t="s">
        <v>24</v>
      </c>
      <c r="J760" t="s">
        <v>26</v>
      </c>
      <c r="K760">
        <v>17</v>
      </c>
      <c r="L760" t="s">
        <v>29</v>
      </c>
    </row>
    <row r="761" spans="1:12" x14ac:dyDescent="0.25">
      <c r="A761">
        <v>760</v>
      </c>
      <c r="B761">
        <v>49</v>
      </c>
      <c r="C761" t="s">
        <v>13</v>
      </c>
      <c r="D761" t="s">
        <v>14</v>
      </c>
      <c r="E761">
        <v>16.46</v>
      </c>
      <c r="F761">
        <v>2.71</v>
      </c>
      <c r="G761">
        <v>14.46</v>
      </c>
      <c r="H761" t="s">
        <v>20</v>
      </c>
      <c r="I761" t="s">
        <v>23</v>
      </c>
      <c r="J761" t="s">
        <v>26</v>
      </c>
      <c r="K761">
        <v>32</v>
      </c>
      <c r="L761" t="s">
        <v>29</v>
      </c>
    </row>
    <row r="762" spans="1:12" x14ac:dyDescent="0.25">
      <c r="A762">
        <v>761</v>
      </c>
      <c r="B762">
        <v>54</v>
      </c>
      <c r="C762" t="s">
        <v>12</v>
      </c>
      <c r="D762" t="s">
        <v>15</v>
      </c>
      <c r="E762">
        <v>19.12</v>
      </c>
      <c r="F762">
        <v>1.61</v>
      </c>
      <c r="G762">
        <v>37.67</v>
      </c>
      <c r="H762" t="s">
        <v>20</v>
      </c>
      <c r="I762" t="s">
        <v>23</v>
      </c>
      <c r="J762" t="s">
        <v>27</v>
      </c>
      <c r="K762">
        <v>16</v>
      </c>
      <c r="L762" t="s">
        <v>29</v>
      </c>
    </row>
    <row r="763" spans="1:12" x14ac:dyDescent="0.25">
      <c r="A763">
        <v>762</v>
      </c>
      <c r="B763">
        <v>29</v>
      </c>
      <c r="C763" t="s">
        <v>12</v>
      </c>
      <c r="D763" t="s">
        <v>15</v>
      </c>
      <c r="E763">
        <v>11.88</v>
      </c>
      <c r="F763">
        <v>7.85</v>
      </c>
      <c r="G763">
        <v>3.4</v>
      </c>
      <c r="H763" t="s">
        <v>19</v>
      </c>
      <c r="I763" t="s">
        <v>22</v>
      </c>
      <c r="J763" t="s">
        <v>26</v>
      </c>
      <c r="K763">
        <v>26</v>
      </c>
      <c r="L763" t="s">
        <v>30</v>
      </c>
    </row>
    <row r="764" spans="1:12" x14ac:dyDescent="0.25">
      <c r="A764">
        <v>763</v>
      </c>
      <c r="B764">
        <v>66</v>
      </c>
      <c r="C764" t="s">
        <v>13</v>
      </c>
      <c r="D764" t="s">
        <v>15</v>
      </c>
      <c r="E764">
        <v>84.67</v>
      </c>
      <c r="F764">
        <v>8.01</v>
      </c>
      <c r="G764">
        <v>21.39</v>
      </c>
      <c r="H764" t="s">
        <v>18</v>
      </c>
      <c r="I764" t="s">
        <v>23</v>
      </c>
      <c r="J764" t="s">
        <v>25</v>
      </c>
      <c r="K764">
        <v>26</v>
      </c>
      <c r="L764" t="s">
        <v>29</v>
      </c>
    </row>
    <row r="765" spans="1:12" x14ac:dyDescent="0.25">
      <c r="A765">
        <v>764</v>
      </c>
      <c r="B765">
        <v>72</v>
      </c>
      <c r="C765" t="s">
        <v>12</v>
      </c>
      <c r="D765" t="s">
        <v>14</v>
      </c>
      <c r="E765">
        <v>38.79</v>
      </c>
      <c r="F765">
        <v>3.2</v>
      </c>
      <c r="G765">
        <v>17.309999999999999</v>
      </c>
      <c r="H765" t="s">
        <v>21</v>
      </c>
      <c r="I765" t="s">
        <v>22</v>
      </c>
      <c r="J765" t="s">
        <v>26</v>
      </c>
      <c r="K765">
        <v>7</v>
      </c>
      <c r="L765" t="s">
        <v>29</v>
      </c>
    </row>
    <row r="766" spans="1:12" x14ac:dyDescent="0.25">
      <c r="A766">
        <v>765</v>
      </c>
      <c r="B766">
        <v>30</v>
      </c>
      <c r="C766" t="s">
        <v>12</v>
      </c>
      <c r="D766" t="s">
        <v>16</v>
      </c>
      <c r="E766">
        <v>11.11</v>
      </c>
      <c r="F766">
        <v>0.87</v>
      </c>
      <c r="G766">
        <v>2.2999999999999998</v>
      </c>
      <c r="H766" t="s">
        <v>20</v>
      </c>
      <c r="I766" t="s">
        <v>24</v>
      </c>
      <c r="J766" t="s">
        <v>26</v>
      </c>
      <c r="K766">
        <v>14</v>
      </c>
      <c r="L766" t="s">
        <v>30</v>
      </c>
    </row>
    <row r="767" spans="1:12" x14ac:dyDescent="0.25">
      <c r="A767">
        <v>766</v>
      </c>
      <c r="B767">
        <v>40</v>
      </c>
      <c r="C767" t="s">
        <v>13</v>
      </c>
      <c r="D767" t="s">
        <v>16</v>
      </c>
      <c r="E767">
        <v>7.92</v>
      </c>
      <c r="F767">
        <v>7.39</v>
      </c>
      <c r="G767">
        <v>3.2</v>
      </c>
      <c r="H767" t="s">
        <v>18</v>
      </c>
      <c r="I767" t="s">
        <v>23</v>
      </c>
      <c r="J767" t="s">
        <v>26</v>
      </c>
      <c r="K767">
        <v>22</v>
      </c>
      <c r="L767" t="s">
        <v>29</v>
      </c>
    </row>
    <row r="768" spans="1:12" x14ac:dyDescent="0.25">
      <c r="A768">
        <v>767</v>
      </c>
      <c r="B768">
        <v>42</v>
      </c>
      <c r="C768" t="s">
        <v>12</v>
      </c>
      <c r="D768" t="s">
        <v>15</v>
      </c>
      <c r="E768">
        <v>10.48</v>
      </c>
      <c r="F768">
        <v>30.41</v>
      </c>
      <c r="G768">
        <v>10.07</v>
      </c>
      <c r="H768" t="s">
        <v>20</v>
      </c>
      <c r="I768" t="s">
        <v>22</v>
      </c>
      <c r="J768" t="s">
        <v>26</v>
      </c>
      <c r="K768">
        <v>7</v>
      </c>
      <c r="L768" t="s">
        <v>29</v>
      </c>
    </row>
    <row r="769" spans="1:12" x14ac:dyDescent="0.25">
      <c r="A769">
        <v>768</v>
      </c>
      <c r="B769">
        <v>52</v>
      </c>
      <c r="C769" t="s">
        <v>12</v>
      </c>
      <c r="D769" t="s">
        <v>16</v>
      </c>
      <c r="E769">
        <v>31.41</v>
      </c>
      <c r="F769">
        <v>13.7</v>
      </c>
      <c r="G769">
        <v>13.89</v>
      </c>
      <c r="H769" t="s">
        <v>19</v>
      </c>
      <c r="I769" t="s">
        <v>23</v>
      </c>
      <c r="J769" t="s">
        <v>27</v>
      </c>
      <c r="K769">
        <v>23</v>
      </c>
      <c r="L769" t="s">
        <v>29</v>
      </c>
    </row>
    <row r="770" spans="1:12" x14ac:dyDescent="0.25">
      <c r="A770">
        <v>769</v>
      </c>
      <c r="B770">
        <v>58</v>
      </c>
      <c r="C770" t="s">
        <v>12</v>
      </c>
      <c r="D770" t="s">
        <v>17</v>
      </c>
      <c r="E770">
        <v>31.87</v>
      </c>
      <c r="F770">
        <v>12.86</v>
      </c>
      <c r="G770">
        <v>18.28</v>
      </c>
      <c r="H770" t="s">
        <v>21</v>
      </c>
      <c r="I770" t="s">
        <v>23</v>
      </c>
      <c r="J770" t="s">
        <v>26</v>
      </c>
      <c r="K770">
        <v>5</v>
      </c>
      <c r="L770" t="s">
        <v>29</v>
      </c>
    </row>
    <row r="771" spans="1:12" x14ac:dyDescent="0.25">
      <c r="A771">
        <v>770</v>
      </c>
      <c r="B771">
        <v>47</v>
      </c>
      <c r="C771" t="s">
        <v>13</v>
      </c>
      <c r="D771" t="s">
        <v>14</v>
      </c>
      <c r="E771">
        <v>39.07</v>
      </c>
      <c r="F771">
        <v>9.0399999999999991</v>
      </c>
      <c r="G771">
        <v>8.5</v>
      </c>
      <c r="H771" t="s">
        <v>18</v>
      </c>
      <c r="I771" t="s">
        <v>23</v>
      </c>
      <c r="J771" t="s">
        <v>26</v>
      </c>
      <c r="K771">
        <v>31</v>
      </c>
      <c r="L771" t="s">
        <v>29</v>
      </c>
    </row>
    <row r="772" spans="1:12" x14ac:dyDescent="0.25">
      <c r="A772">
        <v>771</v>
      </c>
      <c r="B772">
        <v>34</v>
      </c>
      <c r="C772" t="s">
        <v>12</v>
      </c>
      <c r="D772" t="s">
        <v>14</v>
      </c>
      <c r="E772">
        <v>9.11</v>
      </c>
      <c r="F772">
        <v>7.84</v>
      </c>
      <c r="G772">
        <v>9.2100000000000009</v>
      </c>
      <c r="H772" t="s">
        <v>18</v>
      </c>
      <c r="I772" t="s">
        <v>24</v>
      </c>
      <c r="J772" t="s">
        <v>25</v>
      </c>
      <c r="K772">
        <v>27</v>
      </c>
      <c r="L772" t="s">
        <v>29</v>
      </c>
    </row>
    <row r="773" spans="1:12" x14ac:dyDescent="0.25">
      <c r="A773">
        <v>772</v>
      </c>
      <c r="B773">
        <v>66</v>
      </c>
      <c r="C773" t="s">
        <v>12</v>
      </c>
      <c r="D773" t="s">
        <v>15</v>
      </c>
      <c r="E773">
        <v>23.56</v>
      </c>
      <c r="F773">
        <v>14.7</v>
      </c>
      <c r="G773">
        <v>2.59</v>
      </c>
      <c r="H773" t="s">
        <v>21</v>
      </c>
      <c r="I773" t="s">
        <v>23</v>
      </c>
      <c r="J773" t="s">
        <v>25</v>
      </c>
      <c r="K773">
        <v>29</v>
      </c>
      <c r="L773" t="s">
        <v>29</v>
      </c>
    </row>
    <row r="774" spans="1:12" x14ac:dyDescent="0.25">
      <c r="A774">
        <v>773</v>
      </c>
      <c r="B774">
        <v>79</v>
      </c>
      <c r="C774" t="s">
        <v>13</v>
      </c>
      <c r="D774" t="s">
        <v>16</v>
      </c>
      <c r="E774">
        <v>9.74</v>
      </c>
      <c r="F774">
        <v>3.58</v>
      </c>
      <c r="G774">
        <v>21.5</v>
      </c>
      <c r="H774" t="s">
        <v>19</v>
      </c>
      <c r="I774" t="s">
        <v>24</v>
      </c>
      <c r="J774" t="s">
        <v>25</v>
      </c>
      <c r="K774">
        <v>24</v>
      </c>
      <c r="L774" t="s">
        <v>29</v>
      </c>
    </row>
    <row r="775" spans="1:12" x14ac:dyDescent="0.25">
      <c r="A775">
        <v>774</v>
      </c>
      <c r="B775">
        <v>37</v>
      </c>
      <c r="C775" t="s">
        <v>12</v>
      </c>
      <c r="D775" t="s">
        <v>15</v>
      </c>
      <c r="E775">
        <v>44.03</v>
      </c>
      <c r="F775">
        <v>35.69</v>
      </c>
      <c r="G775">
        <v>17.55</v>
      </c>
      <c r="H775" t="s">
        <v>21</v>
      </c>
      <c r="I775" t="s">
        <v>22</v>
      </c>
      <c r="J775" t="s">
        <v>28</v>
      </c>
      <c r="K775">
        <v>3</v>
      </c>
      <c r="L775" t="s">
        <v>29</v>
      </c>
    </row>
    <row r="776" spans="1:12" x14ac:dyDescent="0.25">
      <c r="A776">
        <v>775</v>
      </c>
      <c r="B776">
        <v>65</v>
      </c>
      <c r="C776" t="s">
        <v>13</v>
      </c>
      <c r="D776" t="s">
        <v>17</v>
      </c>
      <c r="E776">
        <v>9.34</v>
      </c>
      <c r="F776">
        <v>3.84</v>
      </c>
      <c r="G776">
        <v>12.54</v>
      </c>
      <c r="H776" t="s">
        <v>18</v>
      </c>
      <c r="I776" t="s">
        <v>23</v>
      </c>
      <c r="J776" t="s">
        <v>25</v>
      </c>
      <c r="K776">
        <v>5</v>
      </c>
      <c r="L776" t="s">
        <v>30</v>
      </c>
    </row>
    <row r="777" spans="1:12" x14ac:dyDescent="0.25">
      <c r="A777">
        <v>776</v>
      </c>
      <c r="B777">
        <v>42</v>
      </c>
      <c r="C777" t="s">
        <v>13</v>
      </c>
      <c r="D777" t="s">
        <v>15</v>
      </c>
      <c r="E777">
        <v>6.57</v>
      </c>
      <c r="F777">
        <v>15.65</v>
      </c>
      <c r="G777">
        <v>8.74</v>
      </c>
      <c r="H777" t="s">
        <v>21</v>
      </c>
      <c r="I777" t="s">
        <v>22</v>
      </c>
      <c r="J777" t="s">
        <v>26</v>
      </c>
      <c r="K777">
        <v>26</v>
      </c>
      <c r="L777" t="s">
        <v>29</v>
      </c>
    </row>
    <row r="778" spans="1:12" x14ac:dyDescent="0.25">
      <c r="A778">
        <v>777</v>
      </c>
      <c r="B778">
        <v>39</v>
      </c>
      <c r="C778" t="s">
        <v>12</v>
      </c>
      <c r="D778" t="s">
        <v>15</v>
      </c>
      <c r="E778">
        <v>7.58</v>
      </c>
      <c r="F778">
        <v>4.18</v>
      </c>
      <c r="G778">
        <v>21.35</v>
      </c>
      <c r="H778" t="s">
        <v>19</v>
      </c>
      <c r="I778" t="s">
        <v>24</v>
      </c>
      <c r="J778" t="s">
        <v>27</v>
      </c>
      <c r="K778">
        <v>10</v>
      </c>
      <c r="L778" t="s">
        <v>29</v>
      </c>
    </row>
    <row r="779" spans="1:12" x14ac:dyDescent="0.25">
      <c r="A779">
        <v>778</v>
      </c>
      <c r="B779">
        <v>30</v>
      </c>
      <c r="C779" t="s">
        <v>13</v>
      </c>
      <c r="D779" t="s">
        <v>17</v>
      </c>
      <c r="E779">
        <v>17.22</v>
      </c>
      <c r="F779">
        <v>11.29</v>
      </c>
      <c r="G779">
        <v>3.34</v>
      </c>
      <c r="H779" t="s">
        <v>19</v>
      </c>
      <c r="I779" t="s">
        <v>22</v>
      </c>
      <c r="J779" t="s">
        <v>26</v>
      </c>
      <c r="K779">
        <v>20</v>
      </c>
      <c r="L779" t="s">
        <v>30</v>
      </c>
    </row>
    <row r="780" spans="1:12" x14ac:dyDescent="0.25">
      <c r="A780">
        <v>779</v>
      </c>
      <c r="B780">
        <v>76</v>
      </c>
      <c r="C780" t="s">
        <v>13</v>
      </c>
      <c r="D780" t="s">
        <v>16</v>
      </c>
      <c r="E780">
        <v>26.49</v>
      </c>
      <c r="F780">
        <v>16.829999999999998</v>
      </c>
      <c r="G780">
        <v>10.63</v>
      </c>
      <c r="H780" t="s">
        <v>20</v>
      </c>
      <c r="I780" t="s">
        <v>22</v>
      </c>
      <c r="J780" t="s">
        <v>26</v>
      </c>
      <c r="K780">
        <v>5</v>
      </c>
      <c r="L780" t="s">
        <v>30</v>
      </c>
    </row>
    <row r="781" spans="1:12" x14ac:dyDescent="0.25">
      <c r="A781">
        <v>780</v>
      </c>
      <c r="B781">
        <v>36</v>
      </c>
      <c r="C781" t="s">
        <v>12</v>
      </c>
      <c r="D781" t="s">
        <v>15</v>
      </c>
      <c r="E781">
        <v>25.46</v>
      </c>
      <c r="F781">
        <v>2.19</v>
      </c>
      <c r="G781">
        <v>28.17</v>
      </c>
      <c r="H781" t="s">
        <v>21</v>
      </c>
      <c r="I781" t="s">
        <v>24</v>
      </c>
      <c r="J781" t="s">
        <v>26</v>
      </c>
      <c r="K781">
        <v>20</v>
      </c>
      <c r="L781" t="s">
        <v>30</v>
      </c>
    </row>
    <row r="782" spans="1:12" x14ac:dyDescent="0.25">
      <c r="A782">
        <v>781</v>
      </c>
      <c r="B782">
        <v>66</v>
      </c>
      <c r="C782" t="s">
        <v>13</v>
      </c>
      <c r="D782" t="s">
        <v>16</v>
      </c>
      <c r="E782">
        <v>7.83</v>
      </c>
      <c r="F782">
        <v>4.62</v>
      </c>
      <c r="G782">
        <v>3.29</v>
      </c>
      <c r="H782" t="s">
        <v>21</v>
      </c>
      <c r="I782" t="s">
        <v>23</v>
      </c>
      <c r="J782" t="s">
        <v>26</v>
      </c>
      <c r="K782">
        <v>18</v>
      </c>
      <c r="L782" t="s">
        <v>29</v>
      </c>
    </row>
    <row r="783" spans="1:12" x14ac:dyDescent="0.25">
      <c r="A783">
        <v>782</v>
      </c>
      <c r="B783">
        <v>53</v>
      </c>
      <c r="C783" t="s">
        <v>13</v>
      </c>
      <c r="D783" t="s">
        <v>17</v>
      </c>
      <c r="E783">
        <v>13.3</v>
      </c>
      <c r="F783">
        <v>4.9000000000000004</v>
      </c>
      <c r="G783">
        <v>32.56</v>
      </c>
      <c r="H783" t="s">
        <v>18</v>
      </c>
      <c r="I783" t="s">
        <v>24</v>
      </c>
      <c r="J783" t="s">
        <v>26</v>
      </c>
      <c r="K783">
        <v>34</v>
      </c>
      <c r="L783" t="s">
        <v>29</v>
      </c>
    </row>
    <row r="784" spans="1:12" x14ac:dyDescent="0.25">
      <c r="A784">
        <v>783</v>
      </c>
      <c r="B784">
        <v>29</v>
      </c>
      <c r="C784" t="s">
        <v>12</v>
      </c>
      <c r="D784" t="s">
        <v>15</v>
      </c>
      <c r="E784">
        <v>12.12</v>
      </c>
      <c r="F784">
        <v>8.3699999999999992</v>
      </c>
      <c r="G784">
        <v>16.73</v>
      </c>
      <c r="H784" t="s">
        <v>19</v>
      </c>
      <c r="I784" t="s">
        <v>24</v>
      </c>
      <c r="J784" t="s">
        <v>26</v>
      </c>
      <c r="K784">
        <v>3</v>
      </c>
      <c r="L784" t="s">
        <v>30</v>
      </c>
    </row>
    <row r="785" spans="1:12" x14ac:dyDescent="0.25">
      <c r="A785">
        <v>784</v>
      </c>
      <c r="B785">
        <v>78</v>
      </c>
      <c r="C785" t="s">
        <v>12</v>
      </c>
      <c r="D785" t="s">
        <v>16</v>
      </c>
      <c r="E785">
        <v>6.99</v>
      </c>
      <c r="F785">
        <v>12.35</v>
      </c>
      <c r="G785">
        <v>14.24</v>
      </c>
      <c r="H785" t="s">
        <v>21</v>
      </c>
      <c r="I785" t="s">
        <v>22</v>
      </c>
      <c r="J785" t="s">
        <v>26</v>
      </c>
      <c r="K785">
        <v>28</v>
      </c>
      <c r="L785" t="s">
        <v>29</v>
      </c>
    </row>
    <row r="786" spans="1:12" x14ac:dyDescent="0.25">
      <c r="A786">
        <v>785</v>
      </c>
      <c r="B786">
        <v>58</v>
      </c>
      <c r="C786" t="s">
        <v>12</v>
      </c>
      <c r="D786" t="s">
        <v>15</v>
      </c>
      <c r="E786">
        <v>11.92</v>
      </c>
      <c r="F786">
        <v>30.82</v>
      </c>
      <c r="G786">
        <v>21</v>
      </c>
      <c r="H786" t="s">
        <v>18</v>
      </c>
      <c r="I786" t="s">
        <v>24</v>
      </c>
      <c r="J786" t="s">
        <v>27</v>
      </c>
      <c r="K786">
        <v>14</v>
      </c>
      <c r="L786" t="s">
        <v>29</v>
      </c>
    </row>
    <row r="787" spans="1:12" x14ac:dyDescent="0.25">
      <c r="A787">
        <v>786</v>
      </c>
      <c r="B787">
        <v>36</v>
      </c>
      <c r="C787" t="s">
        <v>13</v>
      </c>
      <c r="D787" t="s">
        <v>17</v>
      </c>
      <c r="E787">
        <v>38.090000000000003</v>
      </c>
      <c r="F787">
        <v>6.56</v>
      </c>
      <c r="G787">
        <v>18.48</v>
      </c>
      <c r="H787" t="s">
        <v>20</v>
      </c>
      <c r="I787" t="s">
        <v>22</v>
      </c>
      <c r="J787" t="s">
        <v>27</v>
      </c>
      <c r="K787">
        <v>23</v>
      </c>
      <c r="L787" t="s">
        <v>30</v>
      </c>
    </row>
    <row r="788" spans="1:12" x14ac:dyDescent="0.25">
      <c r="A788">
        <v>787</v>
      </c>
      <c r="B788">
        <v>29</v>
      </c>
      <c r="C788" t="s">
        <v>12</v>
      </c>
      <c r="D788" t="s">
        <v>16</v>
      </c>
      <c r="E788">
        <v>6.26</v>
      </c>
      <c r="F788">
        <v>29.53</v>
      </c>
      <c r="G788">
        <v>2.2799999999999998</v>
      </c>
      <c r="H788" t="s">
        <v>21</v>
      </c>
      <c r="I788" t="s">
        <v>22</v>
      </c>
      <c r="J788" t="s">
        <v>25</v>
      </c>
      <c r="K788">
        <v>15</v>
      </c>
      <c r="L788" t="s">
        <v>29</v>
      </c>
    </row>
    <row r="789" spans="1:12" x14ac:dyDescent="0.25">
      <c r="A789">
        <v>788</v>
      </c>
      <c r="B789">
        <v>26</v>
      </c>
      <c r="C789" t="s">
        <v>13</v>
      </c>
      <c r="D789" t="s">
        <v>15</v>
      </c>
      <c r="E789">
        <v>19.940000000000001</v>
      </c>
      <c r="F789">
        <v>13.36</v>
      </c>
      <c r="G789">
        <v>2.2000000000000002</v>
      </c>
      <c r="H789" t="s">
        <v>21</v>
      </c>
      <c r="I789" t="s">
        <v>22</v>
      </c>
      <c r="J789" t="s">
        <v>27</v>
      </c>
      <c r="K789">
        <v>14</v>
      </c>
      <c r="L789" t="s">
        <v>29</v>
      </c>
    </row>
    <row r="790" spans="1:12" x14ac:dyDescent="0.25">
      <c r="A790">
        <v>789</v>
      </c>
      <c r="B790">
        <v>24</v>
      </c>
      <c r="C790" t="s">
        <v>13</v>
      </c>
      <c r="D790" t="s">
        <v>15</v>
      </c>
      <c r="E790">
        <v>38.61</v>
      </c>
      <c r="F790">
        <v>3.72</v>
      </c>
      <c r="G790">
        <v>5.87</v>
      </c>
      <c r="H790" t="s">
        <v>18</v>
      </c>
      <c r="I790" t="s">
        <v>23</v>
      </c>
      <c r="J790" t="s">
        <v>26</v>
      </c>
      <c r="K790">
        <v>15</v>
      </c>
      <c r="L790" t="s">
        <v>29</v>
      </c>
    </row>
    <row r="791" spans="1:12" x14ac:dyDescent="0.25">
      <c r="A791">
        <v>790</v>
      </c>
      <c r="B791">
        <v>45</v>
      </c>
      <c r="C791" t="s">
        <v>13</v>
      </c>
      <c r="D791" t="s">
        <v>17</v>
      </c>
      <c r="E791">
        <v>37.450000000000003</v>
      </c>
      <c r="F791">
        <v>9.07</v>
      </c>
      <c r="G791">
        <v>11.36</v>
      </c>
      <c r="H791" t="s">
        <v>18</v>
      </c>
      <c r="I791" t="s">
        <v>22</v>
      </c>
      <c r="J791" t="s">
        <v>27</v>
      </c>
      <c r="K791">
        <v>20</v>
      </c>
      <c r="L791" t="s">
        <v>29</v>
      </c>
    </row>
    <row r="792" spans="1:12" x14ac:dyDescent="0.25">
      <c r="A792">
        <v>791</v>
      </c>
      <c r="B792">
        <v>31</v>
      </c>
      <c r="C792" t="s">
        <v>13</v>
      </c>
      <c r="D792" t="s">
        <v>14</v>
      </c>
      <c r="E792">
        <v>45.23</v>
      </c>
      <c r="F792">
        <v>2.76</v>
      </c>
      <c r="G792">
        <v>19.21</v>
      </c>
      <c r="H792" t="s">
        <v>19</v>
      </c>
      <c r="I792" t="s">
        <v>23</v>
      </c>
      <c r="J792" t="s">
        <v>26</v>
      </c>
      <c r="K792">
        <v>21</v>
      </c>
      <c r="L792" t="s">
        <v>29</v>
      </c>
    </row>
    <row r="793" spans="1:12" x14ac:dyDescent="0.25">
      <c r="A793">
        <v>792</v>
      </c>
      <c r="B793">
        <v>48</v>
      </c>
      <c r="C793" t="s">
        <v>13</v>
      </c>
      <c r="D793" t="s">
        <v>16</v>
      </c>
      <c r="E793">
        <v>21.18</v>
      </c>
      <c r="F793">
        <v>7.85</v>
      </c>
      <c r="G793">
        <v>7.47</v>
      </c>
      <c r="H793" t="s">
        <v>19</v>
      </c>
      <c r="I793" t="s">
        <v>23</v>
      </c>
      <c r="J793" t="s">
        <v>26</v>
      </c>
      <c r="K793">
        <v>21</v>
      </c>
      <c r="L793" t="s">
        <v>30</v>
      </c>
    </row>
    <row r="794" spans="1:12" x14ac:dyDescent="0.25">
      <c r="A794">
        <v>793</v>
      </c>
      <c r="B794">
        <v>69</v>
      </c>
      <c r="C794" t="s">
        <v>13</v>
      </c>
      <c r="D794" t="s">
        <v>16</v>
      </c>
      <c r="E794">
        <v>23.15</v>
      </c>
      <c r="F794">
        <v>7.42</v>
      </c>
      <c r="G794">
        <v>4.8</v>
      </c>
      <c r="H794" t="s">
        <v>19</v>
      </c>
      <c r="I794" t="s">
        <v>23</v>
      </c>
      <c r="J794" t="s">
        <v>26</v>
      </c>
      <c r="K794">
        <v>8</v>
      </c>
      <c r="L794" t="s">
        <v>29</v>
      </c>
    </row>
    <row r="795" spans="1:12" x14ac:dyDescent="0.25">
      <c r="A795">
        <v>794</v>
      </c>
      <c r="B795">
        <v>36</v>
      </c>
      <c r="C795" t="s">
        <v>13</v>
      </c>
      <c r="D795" t="s">
        <v>16</v>
      </c>
      <c r="E795">
        <v>12.08</v>
      </c>
      <c r="F795">
        <v>11.43</v>
      </c>
      <c r="G795">
        <v>16.059999999999999</v>
      </c>
      <c r="H795" t="s">
        <v>21</v>
      </c>
      <c r="I795" t="s">
        <v>23</v>
      </c>
      <c r="J795" t="s">
        <v>26</v>
      </c>
      <c r="K795">
        <v>9</v>
      </c>
      <c r="L795" t="s">
        <v>29</v>
      </c>
    </row>
    <row r="796" spans="1:12" x14ac:dyDescent="0.25">
      <c r="A796">
        <v>795</v>
      </c>
      <c r="B796">
        <v>75</v>
      </c>
      <c r="C796" t="s">
        <v>12</v>
      </c>
      <c r="D796" t="s">
        <v>15</v>
      </c>
      <c r="E796">
        <v>6.14</v>
      </c>
      <c r="F796">
        <v>15.68</v>
      </c>
      <c r="G796">
        <v>7.24</v>
      </c>
      <c r="H796" t="s">
        <v>18</v>
      </c>
      <c r="I796" t="s">
        <v>23</v>
      </c>
      <c r="J796" t="s">
        <v>26</v>
      </c>
      <c r="K796">
        <v>9</v>
      </c>
      <c r="L796" t="s">
        <v>29</v>
      </c>
    </row>
    <row r="797" spans="1:12" x14ac:dyDescent="0.25">
      <c r="A797">
        <v>796</v>
      </c>
      <c r="B797">
        <v>64</v>
      </c>
      <c r="C797" t="s">
        <v>12</v>
      </c>
      <c r="D797" t="s">
        <v>17</v>
      </c>
      <c r="E797">
        <v>15.7</v>
      </c>
      <c r="F797">
        <v>9.6300000000000008</v>
      </c>
      <c r="G797">
        <v>11.85</v>
      </c>
      <c r="H797" t="s">
        <v>19</v>
      </c>
      <c r="I797" t="s">
        <v>24</v>
      </c>
      <c r="J797" t="s">
        <v>26</v>
      </c>
      <c r="K797">
        <v>30</v>
      </c>
      <c r="L797" t="s">
        <v>29</v>
      </c>
    </row>
    <row r="798" spans="1:12" x14ac:dyDescent="0.25">
      <c r="A798">
        <v>797</v>
      </c>
      <c r="B798">
        <v>33</v>
      </c>
      <c r="C798" t="s">
        <v>13</v>
      </c>
      <c r="D798" t="s">
        <v>16</v>
      </c>
      <c r="E798">
        <v>33.72</v>
      </c>
      <c r="F798">
        <v>4.13</v>
      </c>
      <c r="G798">
        <v>9.11</v>
      </c>
      <c r="H798" t="s">
        <v>21</v>
      </c>
      <c r="I798" t="s">
        <v>23</v>
      </c>
      <c r="J798" t="s">
        <v>26</v>
      </c>
      <c r="K798">
        <v>30</v>
      </c>
      <c r="L798" t="s">
        <v>29</v>
      </c>
    </row>
    <row r="799" spans="1:12" x14ac:dyDescent="0.25">
      <c r="A799">
        <v>798</v>
      </c>
      <c r="B799">
        <v>70</v>
      </c>
      <c r="C799" t="s">
        <v>13</v>
      </c>
      <c r="D799" t="s">
        <v>15</v>
      </c>
      <c r="E799">
        <v>2.2200000000000002</v>
      </c>
      <c r="F799">
        <v>25.46</v>
      </c>
      <c r="G799">
        <v>5.03</v>
      </c>
      <c r="H799" t="s">
        <v>19</v>
      </c>
      <c r="I799" t="s">
        <v>22</v>
      </c>
      <c r="J799" t="s">
        <v>26</v>
      </c>
      <c r="K799">
        <v>21</v>
      </c>
      <c r="L799" t="s">
        <v>29</v>
      </c>
    </row>
    <row r="800" spans="1:12" x14ac:dyDescent="0.25">
      <c r="A800">
        <v>799</v>
      </c>
      <c r="B800">
        <v>22</v>
      </c>
      <c r="C800" t="s">
        <v>12</v>
      </c>
      <c r="D800" t="s">
        <v>15</v>
      </c>
      <c r="E800">
        <v>12.46</v>
      </c>
      <c r="F800">
        <v>32.130000000000003</v>
      </c>
      <c r="G800">
        <v>5.22</v>
      </c>
      <c r="H800" t="s">
        <v>20</v>
      </c>
      <c r="I800" t="s">
        <v>23</v>
      </c>
      <c r="J800" t="s">
        <v>26</v>
      </c>
      <c r="K800">
        <v>18</v>
      </c>
      <c r="L800" t="s">
        <v>29</v>
      </c>
    </row>
    <row r="801" spans="1:12" x14ac:dyDescent="0.25">
      <c r="A801">
        <v>800</v>
      </c>
      <c r="B801">
        <v>52</v>
      </c>
      <c r="C801" t="s">
        <v>13</v>
      </c>
      <c r="D801" t="s">
        <v>15</v>
      </c>
      <c r="E801">
        <v>24.55</v>
      </c>
      <c r="F801">
        <v>8.92</v>
      </c>
      <c r="G801">
        <v>3.3</v>
      </c>
      <c r="H801" t="s">
        <v>21</v>
      </c>
      <c r="I801" t="s">
        <v>23</v>
      </c>
      <c r="J801" t="s">
        <v>28</v>
      </c>
      <c r="K801">
        <v>19</v>
      </c>
      <c r="L801" t="s">
        <v>29</v>
      </c>
    </row>
    <row r="802" spans="1:12" x14ac:dyDescent="0.25">
      <c r="A802">
        <v>801</v>
      </c>
      <c r="B802">
        <v>29</v>
      </c>
      <c r="C802" t="s">
        <v>12</v>
      </c>
      <c r="D802" t="s">
        <v>17</v>
      </c>
      <c r="E802">
        <v>17.37</v>
      </c>
      <c r="F802">
        <v>12.94</v>
      </c>
      <c r="G802">
        <v>19.78</v>
      </c>
      <c r="H802" t="s">
        <v>19</v>
      </c>
      <c r="I802" t="s">
        <v>23</v>
      </c>
      <c r="J802" t="s">
        <v>26</v>
      </c>
      <c r="K802">
        <v>24</v>
      </c>
      <c r="L802" t="s">
        <v>29</v>
      </c>
    </row>
    <row r="803" spans="1:12" x14ac:dyDescent="0.25">
      <c r="A803">
        <v>802</v>
      </c>
      <c r="B803">
        <v>42</v>
      </c>
      <c r="C803" t="s">
        <v>12</v>
      </c>
      <c r="D803" t="s">
        <v>14</v>
      </c>
      <c r="E803">
        <v>36.229999999999997</v>
      </c>
      <c r="F803">
        <v>8.5399999999999991</v>
      </c>
      <c r="G803">
        <v>6.58</v>
      </c>
      <c r="H803" t="s">
        <v>19</v>
      </c>
      <c r="I803" t="s">
        <v>23</v>
      </c>
      <c r="J803" t="s">
        <v>26</v>
      </c>
      <c r="K803">
        <v>21</v>
      </c>
      <c r="L803" t="s">
        <v>29</v>
      </c>
    </row>
    <row r="804" spans="1:12" x14ac:dyDescent="0.25">
      <c r="A804">
        <v>803</v>
      </c>
      <c r="B804">
        <v>69</v>
      </c>
      <c r="C804" t="s">
        <v>12</v>
      </c>
      <c r="D804" t="s">
        <v>15</v>
      </c>
      <c r="E804">
        <v>31.67</v>
      </c>
      <c r="F804">
        <v>11.5</v>
      </c>
      <c r="G804">
        <v>4.87</v>
      </c>
      <c r="H804" t="s">
        <v>20</v>
      </c>
      <c r="I804" t="s">
        <v>22</v>
      </c>
      <c r="J804" t="s">
        <v>25</v>
      </c>
      <c r="K804">
        <v>31</v>
      </c>
      <c r="L804" t="s">
        <v>29</v>
      </c>
    </row>
    <row r="805" spans="1:12" x14ac:dyDescent="0.25">
      <c r="A805">
        <v>804</v>
      </c>
      <c r="B805">
        <v>76</v>
      </c>
      <c r="C805" t="s">
        <v>13</v>
      </c>
      <c r="D805" t="s">
        <v>17</v>
      </c>
      <c r="E805">
        <v>5.52</v>
      </c>
      <c r="F805">
        <v>11.96</v>
      </c>
      <c r="G805">
        <v>1.62</v>
      </c>
      <c r="H805" t="s">
        <v>20</v>
      </c>
      <c r="I805" t="s">
        <v>22</v>
      </c>
      <c r="J805" t="s">
        <v>27</v>
      </c>
      <c r="K805">
        <v>21</v>
      </c>
      <c r="L805" t="s">
        <v>29</v>
      </c>
    </row>
    <row r="806" spans="1:12" x14ac:dyDescent="0.25">
      <c r="A806">
        <v>805</v>
      </c>
      <c r="B806">
        <v>38</v>
      </c>
      <c r="C806" t="s">
        <v>13</v>
      </c>
      <c r="D806" t="s">
        <v>15</v>
      </c>
      <c r="E806">
        <v>18.329999999999998</v>
      </c>
      <c r="F806">
        <v>3.25</v>
      </c>
      <c r="G806">
        <v>1.3</v>
      </c>
      <c r="H806" t="s">
        <v>19</v>
      </c>
      <c r="I806" t="s">
        <v>23</v>
      </c>
      <c r="J806" t="s">
        <v>26</v>
      </c>
      <c r="K806">
        <v>27</v>
      </c>
      <c r="L806" t="s">
        <v>29</v>
      </c>
    </row>
    <row r="807" spans="1:12" x14ac:dyDescent="0.25">
      <c r="A807">
        <v>806</v>
      </c>
      <c r="B807">
        <v>53</v>
      </c>
      <c r="C807" t="s">
        <v>12</v>
      </c>
      <c r="D807" t="s">
        <v>14</v>
      </c>
      <c r="E807">
        <v>10.09</v>
      </c>
      <c r="F807">
        <v>7.97</v>
      </c>
      <c r="G807">
        <v>3.5</v>
      </c>
      <c r="H807" t="s">
        <v>19</v>
      </c>
      <c r="I807" t="s">
        <v>22</v>
      </c>
      <c r="J807" t="s">
        <v>27</v>
      </c>
      <c r="K807">
        <v>22</v>
      </c>
      <c r="L807" t="s">
        <v>29</v>
      </c>
    </row>
    <row r="808" spans="1:12" x14ac:dyDescent="0.25">
      <c r="A808">
        <v>807</v>
      </c>
      <c r="B808">
        <v>70</v>
      </c>
      <c r="C808" t="s">
        <v>12</v>
      </c>
      <c r="D808" t="s">
        <v>15</v>
      </c>
      <c r="E808">
        <v>10</v>
      </c>
      <c r="F808">
        <v>20.55</v>
      </c>
      <c r="G808">
        <v>11.73</v>
      </c>
      <c r="H808" t="s">
        <v>18</v>
      </c>
      <c r="I808" t="s">
        <v>24</v>
      </c>
      <c r="J808" t="s">
        <v>26</v>
      </c>
      <c r="K808">
        <v>21</v>
      </c>
      <c r="L808" t="s">
        <v>29</v>
      </c>
    </row>
    <row r="809" spans="1:12" x14ac:dyDescent="0.25">
      <c r="A809">
        <v>808</v>
      </c>
      <c r="B809">
        <v>40</v>
      </c>
      <c r="C809" t="s">
        <v>12</v>
      </c>
      <c r="D809" t="s">
        <v>17</v>
      </c>
      <c r="E809">
        <v>5.89</v>
      </c>
      <c r="F809">
        <v>19.350000000000001</v>
      </c>
      <c r="G809">
        <v>9.3800000000000008</v>
      </c>
      <c r="H809" t="s">
        <v>19</v>
      </c>
      <c r="I809" t="s">
        <v>23</v>
      </c>
      <c r="J809" t="s">
        <v>26</v>
      </c>
      <c r="K809">
        <v>15</v>
      </c>
      <c r="L809" t="s">
        <v>29</v>
      </c>
    </row>
    <row r="810" spans="1:12" x14ac:dyDescent="0.25">
      <c r="A810">
        <v>809</v>
      </c>
      <c r="B810">
        <v>33</v>
      </c>
      <c r="C810" t="s">
        <v>12</v>
      </c>
      <c r="D810" t="s">
        <v>16</v>
      </c>
      <c r="E810">
        <v>20.32</v>
      </c>
      <c r="F810">
        <v>7.85</v>
      </c>
      <c r="G810">
        <v>7.1</v>
      </c>
      <c r="H810" t="s">
        <v>19</v>
      </c>
      <c r="I810" t="s">
        <v>23</v>
      </c>
      <c r="J810" t="s">
        <v>26</v>
      </c>
      <c r="K810">
        <v>14</v>
      </c>
      <c r="L810" t="s">
        <v>30</v>
      </c>
    </row>
    <row r="811" spans="1:12" x14ac:dyDescent="0.25">
      <c r="A811">
        <v>810</v>
      </c>
      <c r="B811">
        <v>74</v>
      </c>
      <c r="C811" t="s">
        <v>12</v>
      </c>
      <c r="D811" t="s">
        <v>16</v>
      </c>
      <c r="E811">
        <v>36.67</v>
      </c>
      <c r="F811">
        <v>12.12</v>
      </c>
      <c r="G811">
        <v>3.52</v>
      </c>
      <c r="H811" t="s">
        <v>18</v>
      </c>
      <c r="I811" t="s">
        <v>22</v>
      </c>
      <c r="J811" t="s">
        <v>25</v>
      </c>
      <c r="K811">
        <v>17</v>
      </c>
      <c r="L811" t="s">
        <v>29</v>
      </c>
    </row>
    <row r="812" spans="1:12" x14ac:dyDescent="0.25">
      <c r="A812">
        <v>811</v>
      </c>
      <c r="B812">
        <v>56</v>
      </c>
      <c r="C812" t="s">
        <v>13</v>
      </c>
      <c r="D812" t="s">
        <v>17</v>
      </c>
      <c r="E812">
        <v>21.47</v>
      </c>
      <c r="F812">
        <v>8.33</v>
      </c>
      <c r="G812">
        <v>1.46</v>
      </c>
      <c r="H812" t="s">
        <v>18</v>
      </c>
      <c r="I812" t="s">
        <v>23</v>
      </c>
      <c r="J812" t="s">
        <v>26</v>
      </c>
      <c r="K812">
        <v>6</v>
      </c>
      <c r="L812" t="s">
        <v>29</v>
      </c>
    </row>
    <row r="813" spans="1:12" x14ac:dyDescent="0.25">
      <c r="A813">
        <v>812</v>
      </c>
      <c r="B813">
        <v>62</v>
      </c>
      <c r="C813" t="s">
        <v>12</v>
      </c>
      <c r="D813" t="s">
        <v>15</v>
      </c>
      <c r="E813">
        <v>5.58</v>
      </c>
      <c r="F813">
        <v>16.11</v>
      </c>
      <c r="G813">
        <v>4.93</v>
      </c>
      <c r="H813" t="s">
        <v>19</v>
      </c>
      <c r="I813" t="s">
        <v>24</v>
      </c>
      <c r="J813" t="s">
        <v>25</v>
      </c>
      <c r="K813">
        <v>17</v>
      </c>
      <c r="L813" t="s">
        <v>30</v>
      </c>
    </row>
    <row r="814" spans="1:12" x14ac:dyDescent="0.25">
      <c r="A814">
        <v>813</v>
      </c>
      <c r="B814">
        <v>70</v>
      </c>
      <c r="C814" t="s">
        <v>13</v>
      </c>
      <c r="D814" t="s">
        <v>17</v>
      </c>
      <c r="E814">
        <v>16.73</v>
      </c>
      <c r="F814">
        <v>2.17</v>
      </c>
      <c r="G814">
        <v>7.18</v>
      </c>
      <c r="H814" t="s">
        <v>18</v>
      </c>
      <c r="I814" t="s">
        <v>22</v>
      </c>
      <c r="J814" t="s">
        <v>26</v>
      </c>
      <c r="K814">
        <v>19</v>
      </c>
      <c r="L814" t="s">
        <v>29</v>
      </c>
    </row>
    <row r="815" spans="1:12" x14ac:dyDescent="0.25">
      <c r="A815">
        <v>814</v>
      </c>
      <c r="B815">
        <v>59</v>
      </c>
      <c r="C815" t="s">
        <v>12</v>
      </c>
      <c r="D815" t="s">
        <v>15</v>
      </c>
      <c r="E815">
        <v>23.96</v>
      </c>
      <c r="F815">
        <v>14.73</v>
      </c>
      <c r="G815">
        <v>14.69</v>
      </c>
      <c r="H815" t="s">
        <v>21</v>
      </c>
      <c r="I815" t="s">
        <v>22</v>
      </c>
      <c r="J815" t="s">
        <v>25</v>
      </c>
      <c r="K815">
        <v>29</v>
      </c>
      <c r="L815" t="s">
        <v>30</v>
      </c>
    </row>
    <row r="816" spans="1:12" x14ac:dyDescent="0.25">
      <c r="A816">
        <v>815</v>
      </c>
      <c r="B816">
        <v>75</v>
      </c>
      <c r="C816" t="s">
        <v>13</v>
      </c>
      <c r="D816" t="s">
        <v>15</v>
      </c>
      <c r="E816">
        <v>15.92</v>
      </c>
      <c r="F816">
        <v>26.59</v>
      </c>
      <c r="G816">
        <v>2.36</v>
      </c>
      <c r="H816" t="s">
        <v>20</v>
      </c>
      <c r="I816" t="s">
        <v>23</v>
      </c>
      <c r="J816" t="s">
        <v>26</v>
      </c>
      <c r="K816">
        <v>13</v>
      </c>
      <c r="L816" t="s">
        <v>30</v>
      </c>
    </row>
    <row r="817" spans="1:12" x14ac:dyDescent="0.25">
      <c r="A817">
        <v>816</v>
      </c>
      <c r="B817">
        <v>56</v>
      </c>
      <c r="C817" t="s">
        <v>13</v>
      </c>
      <c r="D817" t="s">
        <v>17</v>
      </c>
      <c r="E817">
        <v>21.23</v>
      </c>
      <c r="F817">
        <v>5.71</v>
      </c>
      <c r="G817">
        <v>6.74</v>
      </c>
      <c r="H817" t="s">
        <v>21</v>
      </c>
      <c r="I817" t="s">
        <v>22</v>
      </c>
      <c r="J817" t="s">
        <v>26</v>
      </c>
      <c r="K817">
        <v>25</v>
      </c>
      <c r="L817" t="s">
        <v>29</v>
      </c>
    </row>
    <row r="818" spans="1:12" x14ac:dyDescent="0.25">
      <c r="A818">
        <v>817</v>
      </c>
      <c r="B818">
        <v>31</v>
      </c>
      <c r="C818" t="s">
        <v>13</v>
      </c>
      <c r="D818" t="s">
        <v>15</v>
      </c>
      <c r="E818">
        <v>10.7</v>
      </c>
      <c r="F818">
        <v>24.23</v>
      </c>
      <c r="G818">
        <v>3.38</v>
      </c>
      <c r="H818" t="s">
        <v>20</v>
      </c>
      <c r="I818" t="s">
        <v>23</v>
      </c>
      <c r="J818" t="s">
        <v>25</v>
      </c>
      <c r="K818">
        <v>17</v>
      </c>
      <c r="L818" t="s">
        <v>29</v>
      </c>
    </row>
    <row r="819" spans="1:12" x14ac:dyDescent="0.25">
      <c r="A819">
        <v>818</v>
      </c>
      <c r="B819">
        <v>48</v>
      </c>
      <c r="C819" t="s">
        <v>13</v>
      </c>
      <c r="D819" t="s">
        <v>15</v>
      </c>
      <c r="E819">
        <v>14.7</v>
      </c>
      <c r="F819">
        <v>12.57</v>
      </c>
      <c r="G819">
        <v>5.73</v>
      </c>
      <c r="H819" t="s">
        <v>20</v>
      </c>
      <c r="I819" t="s">
        <v>24</v>
      </c>
      <c r="J819" t="s">
        <v>25</v>
      </c>
      <c r="K819">
        <v>33</v>
      </c>
      <c r="L819" t="s">
        <v>29</v>
      </c>
    </row>
    <row r="820" spans="1:12" x14ac:dyDescent="0.25">
      <c r="A820">
        <v>819</v>
      </c>
      <c r="B820">
        <v>75</v>
      </c>
      <c r="C820" t="s">
        <v>13</v>
      </c>
      <c r="D820" t="s">
        <v>16</v>
      </c>
      <c r="E820">
        <v>14.09</v>
      </c>
      <c r="F820">
        <v>9.61</v>
      </c>
      <c r="G820">
        <v>31.42</v>
      </c>
      <c r="H820" t="s">
        <v>19</v>
      </c>
      <c r="I820" t="s">
        <v>22</v>
      </c>
      <c r="J820" t="s">
        <v>26</v>
      </c>
      <c r="K820">
        <v>28</v>
      </c>
      <c r="L820" t="s">
        <v>30</v>
      </c>
    </row>
    <row r="821" spans="1:12" x14ac:dyDescent="0.25">
      <c r="A821">
        <v>820</v>
      </c>
      <c r="B821">
        <v>22</v>
      </c>
      <c r="C821" t="s">
        <v>13</v>
      </c>
      <c r="D821" t="s">
        <v>14</v>
      </c>
      <c r="E821">
        <v>40.69</v>
      </c>
      <c r="F821">
        <v>7.8</v>
      </c>
      <c r="G821">
        <v>4.13</v>
      </c>
      <c r="H821" t="s">
        <v>20</v>
      </c>
      <c r="I821" t="s">
        <v>23</v>
      </c>
      <c r="J821" t="s">
        <v>27</v>
      </c>
      <c r="K821">
        <v>9</v>
      </c>
      <c r="L821" t="s">
        <v>30</v>
      </c>
    </row>
    <row r="822" spans="1:12" x14ac:dyDescent="0.25">
      <c r="A822">
        <v>821</v>
      </c>
      <c r="B822">
        <v>52</v>
      </c>
      <c r="C822" t="s">
        <v>12</v>
      </c>
      <c r="D822" t="s">
        <v>16</v>
      </c>
      <c r="E822">
        <v>7.96</v>
      </c>
      <c r="F822">
        <v>24.8</v>
      </c>
      <c r="G822">
        <v>3.49</v>
      </c>
      <c r="H822" t="s">
        <v>21</v>
      </c>
      <c r="I822" t="s">
        <v>22</v>
      </c>
      <c r="J822" t="s">
        <v>25</v>
      </c>
      <c r="K822">
        <v>15</v>
      </c>
      <c r="L822" t="s">
        <v>29</v>
      </c>
    </row>
    <row r="823" spans="1:12" x14ac:dyDescent="0.25">
      <c r="A823">
        <v>822</v>
      </c>
      <c r="B823">
        <v>40</v>
      </c>
      <c r="C823" t="s">
        <v>13</v>
      </c>
      <c r="D823" t="s">
        <v>15</v>
      </c>
      <c r="E823">
        <v>2.5499999999999998</v>
      </c>
      <c r="F823">
        <v>8.35</v>
      </c>
      <c r="G823">
        <v>44.5</v>
      </c>
      <c r="H823" t="s">
        <v>19</v>
      </c>
      <c r="I823" t="s">
        <v>23</v>
      </c>
      <c r="J823" t="s">
        <v>26</v>
      </c>
      <c r="K823">
        <v>15</v>
      </c>
      <c r="L823" t="s">
        <v>29</v>
      </c>
    </row>
    <row r="824" spans="1:12" x14ac:dyDescent="0.25">
      <c r="A824">
        <v>823</v>
      </c>
      <c r="B824">
        <v>46</v>
      </c>
      <c r="C824" t="s">
        <v>12</v>
      </c>
      <c r="D824" t="s">
        <v>15</v>
      </c>
      <c r="E824">
        <v>39.159999999999997</v>
      </c>
      <c r="F824">
        <v>29.26</v>
      </c>
      <c r="G824">
        <v>13.48</v>
      </c>
      <c r="H824" t="s">
        <v>18</v>
      </c>
      <c r="I824" t="s">
        <v>23</v>
      </c>
      <c r="J824" t="s">
        <v>28</v>
      </c>
      <c r="K824">
        <v>22</v>
      </c>
      <c r="L824" t="s">
        <v>30</v>
      </c>
    </row>
    <row r="825" spans="1:12" x14ac:dyDescent="0.25">
      <c r="A825">
        <v>824</v>
      </c>
      <c r="B825">
        <v>60</v>
      </c>
      <c r="C825" t="s">
        <v>13</v>
      </c>
      <c r="D825" t="s">
        <v>14</v>
      </c>
      <c r="E825">
        <v>18.73</v>
      </c>
      <c r="F825">
        <v>27.07</v>
      </c>
      <c r="G825">
        <v>12.82</v>
      </c>
      <c r="H825" t="s">
        <v>21</v>
      </c>
      <c r="I825" t="s">
        <v>22</v>
      </c>
      <c r="J825" t="s">
        <v>25</v>
      </c>
      <c r="K825">
        <v>12</v>
      </c>
      <c r="L825" t="s">
        <v>29</v>
      </c>
    </row>
    <row r="826" spans="1:12" x14ac:dyDescent="0.25">
      <c r="A826">
        <v>825</v>
      </c>
      <c r="B826">
        <v>28</v>
      </c>
      <c r="C826" t="s">
        <v>13</v>
      </c>
      <c r="D826" t="s">
        <v>15</v>
      </c>
      <c r="E826">
        <v>6.71</v>
      </c>
      <c r="F826">
        <v>6.93</v>
      </c>
      <c r="G826">
        <v>4.3099999999999996</v>
      </c>
      <c r="H826" t="s">
        <v>19</v>
      </c>
      <c r="I826" t="s">
        <v>22</v>
      </c>
      <c r="J826" t="s">
        <v>26</v>
      </c>
      <c r="K826">
        <v>29</v>
      </c>
      <c r="L826" t="s">
        <v>29</v>
      </c>
    </row>
    <row r="827" spans="1:12" x14ac:dyDescent="0.25">
      <c r="A827">
        <v>826</v>
      </c>
      <c r="B827">
        <v>35</v>
      </c>
      <c r="C827" t="s">
        <v>12</v>
      </c>
      <c r="D827" t="s">
        <v>15</v>
      </c>
      <c r="E827">
        <v>30.02</v>
      </c>
      <c r="F827">
        <v>8.85</v>
      </c>
      <c r="G827">
        <v>31.03</v>
      </c>
      <c r="H827" t="s">
        <v>20</v>
      </c>
      <c r="I827" t="s">
        <v>22</v>
      </c>
      <c r="J827" t="s">
        <v>26</v>
      </c>
      <c r="K827">
        <v>18</v>
      </c>
      <c r="L827" t="s">
        <v>29</v>
      </c>
    </row>
    <row r="828" spans="1:12" x14ac:dyDescent="0.25">
      <c r="A828">
        <v>827</v>
      </c>
      <c r="B828">
        <v>64</v>
      </c>
      <c r="C828" t="s">
        <v>13</v>
      </c>
      <c r="D828" t="s">
        <v>17</v>
      </c>
      <c r="E828">
        <v>24.87</v>
      </c>
      <c r="F828">
        <v>1.5</v>
      </c>
      <c r="G828">
        <v>2.5099999999999998</v>
      </c>
      <c r="H828" t="s">
        <v>21</v>
      </c>
      <c r="I828" t="s">
        <v>23</v>
      </c>
      <c r="J828" t="s">
        <v>26</v>
      </c>
      <c r="K828">
        <v>23</v>
      </c>
      <c r="L828" t="s">
        <v>29</v>
      </c>
    </row>
    <row r="829" spans="1:12" x14ac:dyDescent="0.25">
      <c r="A829">
        <v>828</v>
      </c>
      <c r="B829">
        <v>29</v>
      </c>
      <c r="C829" t="s">
        <v>12</v>
      </c>
      <c r="D829" t="s">
        <v>16</v>
      </c>
      <c r="E829">
        <v>44.61</v>
      </c>
      <c r="F829">
        <v>9.85</v>
      </c>
      <c r="G829">
        <v>18.36</v>
      </c>
      <c r="H829" t="s">
        <v>20</v>
      </c>
      <c r="I829" t="s">
        <v>22</v>
      </c>
      <c r="J829" t="s">
        <v>26</v>
      </c>
      <c r="K829">
        <v>18</v>
      </c>
      <c r="L829" t="s">
        <v>30</v>
      </c>
    </row>
    <row r="830" spans="1:12" x14ac:dyDescent="0.25">
      <c r="A830">
        <v>829</v>
      </c>
      <c r="B830">
        <v>26</v>
      </c>
      <c r="C830" t="s">
        <v>12</v>
      </c>
      <c r="D830" t="s">
        <v>16</v>
      </c>
      <c r="E830">
        <v>19.7</v>
      </c>
      <c r="F830">
        <v>10.81</v>
      </c>
      <c r="G830">
        <v>20.03</v>
      </c>
      <c r="H830" t="s">
        <v>19</v>
      </c>
      <c r="I830" t="s">
        <v>23</v>
      </c>
      <c r="J830" t="s">
        <v>26</v>
      </c>
      <c r="K830">
        <v>19</v>
      </c>
      <c r="L830" t="s">
        <v>29</v>
      </c>
    </row>
    <row r="831" spans="1:12" x14ac:dyDescent="0.25">
      <c r="A831">
        <v>830</v>
      </c>
      <c r="B831">
        <v>27</v>
      </c>
      <c r="C831" t="s">
        <v>12</v>
      </c>
      <c r="D831" t="s">
        <v>15</v>
      </c>
      <c r="E831">
        <v>63.52</v>
      </c>
      <c r="F831">
        <v>22.04</v>
      </c>
      <c r="G831">
        <v>22.98</v>
      </c>
      <c r="H831" t="s">
        <v>19</v>
      </c>
      <c r="I831" t="s">
        <v>22</v>
      </c>
      <c r="J831" t="s">
        <v>26</v>
      </c>
      <c r="K831">
        <v>17</v>
      </c>
      <c r="L831" t="s">
        <v>29</v>
      </c>
    </row>
    <row r="832" spans="1:12" x14ac:dyDescent="0.25">
      <c r="A832">
        <v>831</v>
      </c>
      <c r="B832">
        <v>75</v>
      </c>
      <c r="C832" t="s">
        <v>12</v>
      </c>
      <c r="D832" t="s">
        <v>15</v>
      </c>
      <c r="E832">
        <v>16.02</v>
      </c>
      <c r="F832">
        <v>28.04</v>
      </c>
      <c r="G832">
        <v>24.74</v>
      </c>
      <c r="H832" t="s">
        <v>18</v>
      </c>
      <c r="I832" t="s">
        <v>22</v>
      </c>
      <c r="J832" t="s">
        <v>25</v>
      </c>
      <c r="K832">
        <v>15</v>
      </c>
      <c r="L832" t="s">
        <v>29</v>
      </c>
    </row>
    <row r="833" spans="1:12" x14ac:dyDescent="0.25">
      <c r="A833">
        <v>832</v>
      </c>
      <c r="B833">
        <v>61</v>
      </c>
      <c r="C833" t="s">
        <v>13</v>
      </c>
      <c r="D833" t="s">
        <v>14</v>
      </c>
      <c r="E833">
        <v>24.9</v>
      </c>
      <c r="F833">
        <v>17.18</v>
      </c>
      <c r="G833">
        <v>7.43</v>
      </c>
      <c r="H833" t="s">
        <v>18</v>
      </c>
      <c r="I833" t="s">
        <v>22</v>
      </c>
      <c r="J833" t="s">
        <v>26</v>
      </c>
      <c r="K833">
        <v>35</v>
      </c>
      <c r="L833" t="s">
        <v>29</v>
      </c>
    </row>
    <row r="834" spans="1:12" x14ac:dyDescent="0.25">
      <c r="A834">
        <v>833</v>
      </c>
      <c r="B834">
        <v>34</v>
      </c>
      <c r="C834" t="s">
        <v>13</v>
      </c>
      <c r="D834" t="s">
        <v>15</v>
      </c>
      <c r="E834">
        <v>27.13</v>
      </c>
      <c r="F834">
        <v>20.83</v>
      </c>
      <c r="G834">
        <v>11.16</v>
      </c>
      <c r="H834" t="s">
        <v>21</v>
      </c>
      <c r="I834" t="s">
        <v>24</v>
      </c>
      <c r="J834" t="s">
        <v>27</v>
      </c>
      <c r="K834">
        <v>7</v>
      </c>
      <c r="L834" t="s">
        <v>29</v>
      </c>
    </row>
    <row r="835" spans="1:12" x14ac:dyDescent="0.25">
      <c r="A835">
        <v>834</v>
      </c>
      <c r="B835">
        <v>78</v>
      </c>
      <c r="C835" t="s">
        <v>12</v>
      </c>
      <c r="D835" t="s">
        <v>16</v>
      </c>
      <c r="E835">
        <v>85.9</v>
      </c>
      <c r="F835">
        <v>8.84</v>
      </c>
      <c r="G835">
        <v>9.39</v>
      </c>
      <c r="H835" t="s">
        <v>18</v>
      </c>
      <c r="I835" t="s">
        <v>24</v>
      </c>
      <c r="J835" t="s">
        <v>26</v>
      </c>
      <c r="K835">
        <v>29</v>
      </c>
      <c r="L835" t="s">
        <v>29</v>
      </c>
    </row>
    <row r="836" spans="1:12" x14ac:dyDescent="0.25">
      <c r="A836">
        <v>835</v>
      </c>
      <c r="B836">
        <v>55</v>
      </c>
      <c r="C836" t="s">
        <v>13</v>
      </c>
      <c r="D836" t="s">
        <v>16</v>
      </c>
      <c r="E836">
        <v>12.81</v>
      </c>
      <c r="F836">
        <v>3.45</v>
      </c>
      <c r="G836">
        <v>3.77</v>
      </c>
      <c r="H836" t="s">
        <v>20</v>
      </c>
      <c r="I836" t="s">
        <v>24</v>
      </c>
      <c r="J836" t="s">
        <v>26</v>
      </c>
      <c r="K836">
        <v>3</v>
      </c>
      <c r="L836" t="s">
        <v>30</v>
      </c>
    </row>
    <row r="837" spans="1:12" x14ac:dyDescent="0.25">
      <c r="A837">
        <v>836</v>
      </c>
      <c r="B837">
        <v>24</v>
      </c>
      <c r="C837" t="s">
        <v>13</v>
      </c>
      <c r="D837" t="s">
        <v>16</v>
      </c>
      <c r="E837">
        <v>12.52</v>
      </c>
      <c r="F837">
        <v>12.55</v>
      </c>
      <c r="G837">
        <v>7.07</v>
      </c>
      <c r="H837" t="s">
        <v>20</v>
      </c>
      <c r="I837" t="s">
        <v>24</v>
      </c>
      <c r="J837" t="s">
        <v>25</v>
      </c>
      <c r="K837">
        <v>32</v>
      </c>
      <c r="L837" t="s">
        <v>29</v>
      </c>
    </row>
    <row r="838" spans="1:12" x14ac:dyDescent="0.25">
      <c r="A838">
        <v>837</v>
      </c>
      <c r="B838">
        <v>63</v>
      </c>
      <c r="C838" t="s">
        <v>12</v>
      </c>
      <c r="D838" t="s">
        <v>15</v>
      </c>
      <c r="E838">
        <v>27.47</v>
      </c>
      <c r="F838">
        <v>21.79</v>
      </c>
      <c r="G838">
        <v>20.059999999999999</v>
      </c>
      <c r="H838" t="s">
        <v>18</v>
      </c>
      <c r="I838" t="s">
        <v>22</v>
      </c>
      <c r="J838" t="s">
        <v>25</v>
      </c>
      <c r="K838">
        <v>25</v>
      </c>
      <c r="L838" t="s">
        <v>29</v>
      </c>
    </row>
    <row r="839" spans="1:12" x14ac:dyDescent="0.25">
      <c r="A839">
        <v>838</v>
      </c>
      <c r="B839">
        <v>30</v>
      </c>
      <c r="C839" t="s">
        <v>13</v>
      </c>
      <c r="D839" t="s">
        <v>15</v>
      </c>
      <c r="E839">
        <v>6.24</v>
      </c>
      <c r="F839">
        <v>0.43</v>
      </c>
      <c r="G839">
        <v>2.67</v>
      </c>
      <c r="H839" t="s">
        <v>18</v>
      </c>
      <c r="I839" t="s">
        <v>24</v>
      </c>
      <c r="J839" t="s">
        <v>26</v>
      </c>
      <c r="K839">
        <v>17</v>
      </c>
      <c r="L839" t="s">
        <v>30</v>
      </c>
    </row>
    <row r="840" spans="1:12" x14ac:dyDescent="0.25">
      <c r="A840">
        <v>839</v>
      </c>
      <c r="B840">
        <v>57</v>
      </c>
      <c r="C840" t="s">
        <v>12</v>
      </c>
      <c r="D840" t="s">
        <v>17</v>
      </c>
      <c r="E840">
        <v>10.050000000000001</v>
      </c>
      <c r="F840">
        <v>11.2</v>
      </c>
      <c r="G840">
        <v>15.75</v>
      </c>
      <c r="H840" t="s">
        <v>18</v>
      </c>
      <c r="I840" t="s">
        <v>24</v>
      </c>
      <c r="J840" t="s">
        <v>26</v>
      </c>
      <c r="K840">
        <v>21</v>
      </c>
      <c r="L840" t="s">
        <v>29</v>
      </c>
    </row>
    <row r="841" spans="1:12" x14ac:dyDescent="0.25">
      <c r="A841">
        <v>840</v>
      </c>
      <c r="B841">
        <v>59</v>
      </c>
      <c r="C841" t="s">
        <v>12</v>
      </c>
      <c r="D841" t="s">
        <v>14</v>
      </c>
      <c r="E841">
        <v>15.72</v>
      </c>
      <c r="F841">
        <v>1.76</v>
      </c>
      <c r="G841">
        <v>16.260000000000002</v>
      </c>
      <c r="H841" t="s">
        <v>21</v>
      </c>
      <c r="I841" t="s">
        <v>22</v>
      </c>
      <c r="J841" t="s">
        <v>26</v>
      </c>
      <c r="K841">
        <v>32</v>
      </c>
      <c r="L841" t="s">
        <v>29</v>
      </c>
    </row>
    <row r="842" spans="1:12" x14ac:dyDescent="0.25">
      <c r="A842">
        <v>841</v>
      </c>
      <c r="B842">
        <v>26</v>
      </c>
      <c r="C842" t="s">
        <v>13</v>
      </c>
      <c r="D842" t="s">
        <v>14</v>
      </c>
      <c r="E842">
        <v>43.79</v>
      </c>
      <c r="F842">
        <v>5.32</v>
      </c>
      <c r="G842">
        <v>9.6999999999999993</v>
      </c>
      <c r="H842" t="s">
        <v>21</v>
      </c>
      <c r="I842" t="s">
        <v>23</v>
      </c>
      <c r="J842" t="s">
        <v>25</v>
      </c>
      <c r="K842">
        <v>18</v>
      </c>
      <c r="L842" t="s">
        <v>29</v>
      </c>
    </row>
    <row r="843" spans="1:12" x14ac:dyDescent="0.25">
      <c r="A843">
        <v>842</v>
      </c>
      <c r="B843">
        <v>67</v>
      </c>
      <c r="C843" t="s">
        <v>13</v>
      </c>
      <c r="D843" t="s">
        <v>15</v>
      </c>
      <c r="E843">
        <v>27.49</v>
      </c>
      <c r="F843">
        <v>11.53</v>
      </c>
      <c r="G843">
        <v>16.87</v>
      </c>
      <c r="H843" t="s">
        <v>20</v>
      </c>
      <c r="I843" t="s">
        <v>23</v>
      </c>
      <c r="J843" t="s">
        <v>26</v>
      </c>
      <c r="K843">
        <v>20</v>
      </c>
      <c r="L843" t="s">
        <v>29</v>
      </c>
    </row>
    <row r="844" spans="1:12" x14ac:dyDescent="0.25">
      <c r="A844">
        <v>843</v>
      </c>
      <c r="B844">
        <v>44</v>
      </c>
      <c r="C844" t="s">
        <v>13</v>
      </c>
      <c r="D844" t="s">
        <v>15</v>
      </c>
      <c r="E844">
        <v>18.25</v>
      </c>
      <c r="F844">
        <v>28.34</v>
      </c>
      <c r="G844">
        <v>3.87</v>
      </c>
      <c r="H844" t="s">
        <v>21</v>
      </c>
      <c r="I844" t="s">
        <v>24</v>
      </c>
      <c r="J844" t="s">
        <v>25</v>
      </c>
      <c r="K844">
        <v>28</v>
      </c>
      <c r="L844" t="s">
        <v>30</v>
      </c>
    </row>
    <row r="845" spans="1:12" x14ac:dyDescent="0.25">
      <c r="A845">
        <v>844</v>
      </c>
      <c r="B845">
        <v>75</v>
      </c>
      <c r="C845" t="s">
        <v>12</v>
      </c>
      <c r="D845" t="s">
        <v>14</v>
      </c>
      <c r="E845">
        <v>11.98</v>
      </c>
      <c r="F845">
        <v>10.37</v>
      </c>
      <c r="G845">
        <v>3.32</v>
      </c>
      <c r="H845" t="s">
        <v>21</v>
      </c>
      <c r="I845" t="s">
        <v>22</v>
      </c>
      <c r="J845" t="s">
        <v>25</v>
      </c>
      <c r="K845">
        <v>19</v>
      </c>
      <c r="L845" t="s">
        <v>30</v>
      </c>
    </row>
    <row r="846" spans="1:12" x14ac:dyDescent="0.25">
      <c r="A846">
        <v>845</v>
      </c>
      <c r="B846">
        <v>19</v>
      </c>
      <c r="C846" t="s">
        <v>12</v>
      </c>
      <c r="D846" t="s">
        <v>16</v>
      </c>
      <c r="E846">
        <v>54.22</v>
      </c>
      <c r="F846">
        <v>16.399999999999999</v>
      </c>
      <c r="G846">
        <v>6.51</v>
      </c>
      <c r="H846" t="s">
        <v>19</v>
      </c>
      <c r="I846" t="s">
        <v>24</v>
      </c>
      <c r="J846" t="s">
        <v>26</v>
      </c>
      <c r="K846">
        <v>13</v>
      </c>
      <c r="L846" t="s">
        <v>29</v>
      </c>
    </row>
    <row r="847" spans="1:12" x14ac:dyDescent="0.25">
      <c r="A847">
        <v>846</v>
      </c>
      <c r="B847">
        <v>22</v>
      </c>
      <c r="C847" t="s">
        <v>13</v>
      </c>
      <c r="D847" t="s">
        <v>14</v>
      </c>
      <c r="E847">
        <v>16.66</v>
      </c>
      <c r="F847">
        <v>12.47</v>
      </c>
      <c r="G847">
        <v>11.44</v>
      </c>
      <c r="H847" t="s">
        <v>20</v>
      </c>
      <c r="I847" t="s">
        <v>23</v>
      </c>
      <c r="J847" t="s">
        <v>26</v>
      </c>
      <c r="K847">
        <v>31</v>
      </c>
      <c r="L847" t="s">
        <v>29</v>
      </c>
    </row>
    <row r="848" spans="1:12" x14ac:dyDescent="0.25">
      <c r="A848">
        <v>847</v>
      </c>
      <c r="B848">
        <v>46</v>
      </c>
      <c r="C848" t="s">
        <v>13</v>
      </c>
      <c r="D848" t="s">
        <v>15</v>
      </c>
      <c r="E848">
        <v>10.039999999999999</v>
      </c>
      <c r="F848">
        <v>5.61</v>
      </c>
      <c r="G848">
        <v>29.57</v>
      </c>
      <c r="H848" t="s">
        <v>20</v>
      </c>
      <c r="I848" t="s">
        <v>23</v>
      </c>
      <c r="J848" t="s">
        <v>26</v>
      </c>
      <c r="K848">
        <v>11</v>
      </c>
      <c r="L848" t="s">
        <v>29</v>
      </c>
    </row>
    <row r="849" spans="1:12" x14ac:dyDescent="0.25">
      <c r="A849">
        <v>848</v>
      </c>
      <c r="B849">
        <v>54</v>
      </c>
      <c r="C849" t="s">
        <v>13</v>
      </c>
      <c r="D849" t="s">
        <v>17</v>
      </c>
      <c r="E849">
        <v>60.35</v>
      </c>
      <c r="F849">
        <v>14.29</v>
      </c>
      <c r="G849">
        <v>9.66</v>
      </c>
      <c r="H849" t="s">
        <v>18</v>
      </c>
      <c r="I849" t="s">
        <v>22</v>
      </c>
      <c r="J849" t="s">
        <v>26</v>
      </c>
      <c r="K849">
        <v>19</v>
      </c>
      <c r="L849" t="s">
        <v>29</v>
      </c>
    </row>
    <row r="850" spans="1:12" x14ac:dyDescent="0.25">
      <c r="A850">
        <v>849</v>
      </c>
      <c r="B850">
        <v>55</v>
      </c>
      <c r="C850" t="s">
        <v>13</v>
      </c>
      <c r="D850" t="s">
        <v>16</v>
      </c>
      <c r="E850">
        <v>6.48</v>
      </c>
      <c r="F850">
        <v>3.36</v>
      </c>
      <c r="G850">
        <v>6.57</v>
      </c>
      <c r="H850" t="s">
        <v>19</v>
      </c>
      <c r="I850" t="s">
        <v>24</v>
      </c>
      <c r="J850" t="s">
        <v>26</v>
      </c>
      <c r="K850">
        <v>29</v>
      </c>
      <c r="L850" t="s">
        <v>30</v>
      </c>
    </row>
    <row r="851" spans="1:12" x14ac:dyDescent="0.25">
      <c r="A851">
        <v>850</v>
      </c>
      <c r="B851">
        <v>36</v>
      </c>
      <c r="C851" t="s">
        <v>12</v>
      </c>
      <c r="D851" t="s">
        <v>16</v>
      </c>
      <c r="E851">
        <v>37.36</v>
      </c>
      <c r="F851">
        <v>10.26</v>
      </c>
      <c r="G851">
        <v>19.57</v>
      </c>
      <c r="H851" t="s">
        <v>18</v>
      </c>
      <c r="I851" t="s">
        <v>23</v>
      </c>
      <c r="J851" t="s">
        <v>26</v>
      </c>
      <c r="K851">
        <v>24</v>
      </c>
      <c r="L851" t="s">
        <v>29</v>
      </c>
    </row>
    <row r="852" spans="1:12" x14ac:dyDescent="0.25">
      <c r="A852">
        <v>851</v>
      </c>
      <c r="B852">
        <v>25</v>
      </c>
      <c r="C852" t="s">
        <v>13</v>
      </c>
      <c r="D852" t="s">
        <v>17</v>
      </c>
      <c r="E852">
        <v>17.5</v>
      </c>
      <c r="F852">
        <v>24.48</v>
      </c>
      <c r="G852">
        <v>2.86</v>
      </c>
      <c r="H852" t="s">
        <v>21</v>
      </c>
      <c r="I852" t="s">
        <v>24</v>
      </c>
      <c r="J852" t="s">
        <v>25</v>
      </c>
      <c r="K852">
        <v>10</v>
      </c>
      <c r="L852" t="s">
        <v>30</v>
      </c>
    </row>
    <row r="853" spans="1:12" x14ac:dyDescent="0.25">
      <c r="A853">
        <v>852</v>
      </c>
      <c r="B853">
        <v>65</v>
      </c>
      <c r="C853" t="s">
        <v>12</v>
      </c>
      <c r="D853" t="s">
        <v>15</v>
      </c>
      <c r="E853">
        <v>27.44</v>
      </c>
      <c r="F853">
        <v>11.77</v>
      </c>
      <c r="G853">
        <v>2.36</v>
      </c>
      <c r="H853" t="s">
        <v>20</v>
      </c>
      <c r="I853" t="s">
        <v>22</v>
      </c>
      <c r="J853" t="s">
        <v>26</v>
      </c>
      <c r="K853">
        <v>5</v>
      </c>
      <c r="L853" t="s">
        <v>29</v>
      </c>
    </row>
    <row r="854" spans="1:12" x14ac:dyDescent="0.25">
      <c r="A854">
        <v>853</v>
      </c>
      <c r="B854">
        <v>62</v>
      </c>
      <c r="C854" t="s">
        <v>12</v>
      </c>
      <c r="D854" t="s">
        <v>17</v>
      </c>
      <c r="E854">
        <v>24.48</v>
      </c>
      <c r="F854">
        <v>12.47</v>
      </c>
      <c r="G854">
        <v>29.93</v>
      </c>
      <c r="H854" t="s">
        <v>21</v>
      </c>
      <c r="I854" t="s">
        <v>23</v>
      </c>
      <c r="J854" t="s">
        <v>27</v>
      </c>
      <c r="K854">
        <v>34</v>
      </c>
      <c r="L854" t="s">
        <v>30</v>
      </c>
    </row>
    <row r="855" spans="1:12" x14ac:dyDescent="0.25">
      <c r="A855">
        <v>854</v>
      </c>
      <c r="B855">
        <v>18</v>
      </c>
      <c r="C855" t="s">
        <v>13</v>
      </c>
      <c r="D855" t="s">
        <v>15</v>
      </c>
      <c r="E855">
        <v>27.2</v>
      </c>
      <c r="F855">
        <v>7.84</v>
      </c>
      <c r="G855">
        <v>4.82</v>
      </c>
      <c r="H855" t="s">
        <v>21</v>
      </c>
      <c r="I855" t="s">
        <v>23</v>
      </c>
      <c r="J855" t="s">
        <v>26</v>
      </c>
      <c r="K855">
        <v>10</v>
      </c>
      <c r="L855" t="s">
        <v>29</v>
      </c>
    </row>
    <row r="856" spans="1:12" x14ac:dyDescent="0.25">
      <c r="A856">
        <v>855</v>
      </c>
      <c r="B856">
        <v>39</v>
      </c>
      <c r="C856" t="s">
        <v>13</v>
      </c>
      <c r="D856" t="s">
        <v>17</v>
      </c>
      <c r="E856">
        <v>63.58</v>
      </c>
      <c r="F856">
        <v>2.35</v>
      </c>
      <c r="G856">
        <v>23.33</v>
      </c>
      <c r="H856" t="s">
        <v>19</v>
      </c>
      <c r="I856" t="s">
        <v>23</v>
      </c>
      <c r="J856" t="s">
        <v>26</v>
      </c>
      <c r="K856">
        <v>29</v>
      </c>
      <c r="L856" t="s">
        <v>29</v>
      </c>
    </row>
    <row r="857" spans="1:12" x14ac:dyDescent="0.25">
      <c r="A857">
        <v>856</v>
      </c>
      <c r="B857">
        <v>69</v>
      </c>
      <c r="C857" t="s">
        <v>13</v>
      </c>
      <c r="D857" t="s">
        <v>14</v>
      </c>
      <c r="E857">
        <v>57.9</v>
      </c>
      <c r="F857">
        <v>8.58</v>
      </c>
      <c r="G857">
        <v>21.5</v>
      </c>
      <c r="H857" t="s">
        <v>19</v>
      </c>
      <c r="I857" t="s">
        <v>23</v>
      </c>
      <c r="J857" t="s">
        <v>25</v>
      </c>
      <c r="K857">
        <v>34</v>
      </c>
      <c r="L857" t="s">
        <v>30</v>
      </c>
    </row>
    <row r="858" spans="1:12" x14ac:dyDescent="0.25">
      <c r="A858">
        <v>857</v>
      </c>
      <c r="B858">
        <v>34</v>
      </c>
      <c r="C858" t="s">
        <v>12</v>
      </c>
      <c r="D858" t="s">
        <v>17</v>
      </c>
      <c r="E858">
        <v>10.44</v>
      </c>
      <c r="F858">
        <v>18.68</v>
      </c>
      <c r="G858">
        <v>17.38</v>
      </c>
      <c r="H858" t="s">
        <v>20</v>
      </c>
      <c r="I858" t="s">
        <v>22</v>
      </c>
      <c r="J858" t="s">
        <v>27</v>
      </c>
      <c r="K858">
        <v>27</v>
      </c>
      <c r="L858" t="s">
        <v>29</v>
      </c>
    </row>
    <row r="859" spans="1:12" x14ac:dyDescent="0.25">
      <c r="A859">
        <v>858</v>
      </c>
      <c r="B859">
        <v>24</v>
      </c>
      <c r="C859" t="s">
        <v>13</v>
      </c>
      <c r="D859" t="s">
        <v>14</v>
      </c>
      <c r="E859">
        <v>23.9</v>
      </c>
      <c r="F859">
        <v>13.64</v>
      </c>
      <c r="G859">
        <v>19.510000000000002</v>
      </c>
      <c r="H859" t="s">
        <v>20</v>
      </c>
      <c r="I859" t="s">
        <v>23</v>
      </c>
      <c r="J859" t="s">
        <v>26</v>
      </c>
      <c r="K859">
        <v>33</v>
      </c>
      <c r="L859" t="s">
        <v>29</v>
      </c>
    </row>
    <row r="860" spans="1:12" x14ac:dyDescent="0.25">
      <c r="A860">
        <v>859</v>
      </c>
      <c r="B860">
        <v>42</v>
      </c>
      <c r="C860" t="s">
        <v>13</v>
      </c>
      <c r="D860" t="s">
        <v>15</v>
      </c>
      <c r="E860">
        <v>4.07</v>
      </c>
      <c r="F860">
        <v>3.56</v>
      </c>
      <c r="G860">
        <v>19.05</v>
      </c>
      <c r="H860" t="s">
        <v>19</v>
      </c>
      <c r="I860" t="s">
        <v>23</v>
      </c>
      <c r="J860" t="s">
        <v>25</v>
      </c>
      <c r="K860">
        <v>15</v>
      </c>
      <c r="L860" t="s">
        <v>29</v>
      </c>
    </row>
    <row r="861" spans="1:12" x14ac:dyDescent="0.25">
      <c r="A861">
        <v>860</v>
      </c>
      <c r="B861">
        <v>62</v>
      </c>
      <c r="C861" t="s">
        <v>12</v>
      </c>
      <c r="D861" t="s">
        <v>16</v>
      </c>
      <c r="E861">
        <v>29.03</v>
      </c>
      <c r="F861">
        <v>1.66</v>
      </c>
      <c r="G861">
        <v>1.02</v>
      </c>
      <c r="H861" t="s">
        <v>19</v>
      </c>
      <c r="I861" t="s">
        <v>24</v>
      </c>
      <c r="J861" t="s">
        <v>27</v>
      </c>
      <c r="K861">
        <v>17</v>
      </c>
      <c r="L861" t="s">
        <v>29</v>
      </c>
    </row>
    <row r="862" spans="1:12" x14ac:dyDescent="0.25">
      <c r="A862">
        <v>861</v>
      </c>
      <c r="B862">
        <v>21</v>
      </c>
      <c r="C862" t="s">
        <v>13</v>
      </c>
      <c r="D862" t="s">
        <v>14</v>
      </c>
      <c r="E862">
        <v>33.25</v>
      </c>
      <c r="F862">
        <v>5.55</v>
      </c>
      <c r="G862">
        <v>11.71</v>
      </c>
      <c r="H862" t="s">
        <v>19</v>
      </c>
      <c r="I862" t="s">
        <v>22</v>
      </c>
      <c r="J862" t="s">
        <v>25</v>
      </c>
      <c r="K862">
        <v>15</v>
      </c>
      <c r="L862" t="s">
        <v>29</v>
      </c>
    </row>
    <row r="863" spans="1:12" x14ac:dyDescent="0.25">
      <c r="A863">
        <v>862</v>
      </c>
      <c r="B863">
        <v>53</v>
      </c>
      <c r="C863" t="s">
        <v>12</v>
      </c>
      <c r="D863" t="s">
        <v>15</v>
      </c>
      <c r="E863">
        <v>2.58</v>
      </c>
      <c r="F863">
        <v>8.64</v>
      </c>
      <c r="G863">
        <v>9.99</v>
      </c>
      <c r="H863" t="s">
        <v>19</v>
      </c>
      <c r="I863" t="s">
        <v>22</v>
      </c>
      <c r="J863" t="s">
        <v>26</v>
      </c>
      <c r="K863">
        <v>35</v>
      </c>
      <c r="L863" t="s">
        <v>29</v>
      </c>
    </row>
    <row r="864" spans="1:12" x14ac:dyDescent="0.25">
      <c r="A864">
        <v>863</v>
      </c>
      <c r="B864">
        <v>23</v>
      </c>
      <c r="C864" t="s">
        <v>13</v>
      </c>
      <c r="D864" t="s">
        <v>15</v>
      </c>
      <c r="E864">
        <v>17.079999999999998</v>
      </c>
      <c r="F864">
        <v>9.14</v>
      </c>
      <c r="G864">
        <v>5.89</v>
      </c>
      <c r="H864" t="s">
        <v>20</v>
      </c>
      <c r="I864" t="s">
        <v>23</v>
      </c>
      <c r="J864" t="s">
        <v>27</v>
      </c>
      <c r="K864">
        <v>33</v>
      </c>
      <c r="L864" t="s">
        <v>29</v>
      </c>
    </row>
    <row r="865" spans="1:12" x14ac:dyDescent="0.25">
      <c r="A865">
        <v>864</v>
      </c>
      <c r="B865">
        <v>77</v>
      </c>
      <c r="C865" t="s">
        <v>12</v>
      </c>
      <c r="D865" t="s">
        <v>17</v>
      </c>
      <c r="E865">
        <v>27.41</v>
      </c>
      <c r="F865">
        <v>9.23</v>
      </c>
      <c r="G865">
        <v>7.21</v>
      </c>
      <c r="H865" t="s">
        <v>20</v>
      </c>
      <c r="I865" t="s">
        <v>24</v>
      </c>
      <c r="J865" t="s">
        <v>25</v>
      </c>
      <c r="K865">
        <v>27</v>
      </c>
      <c r="L865" t="s">
        <v>29</v>
      </c>
    </row>
    <row r="866" spans="1:12" x14ac:dyDescent="0.25">
      <c r="A866">
        <v>865</v>
      </c>
      <c r="B866">
        <v>48</v>
      </c>
      <c r="C866" t="s">
        <v>13</v>
      </c>
      <c r="D866" t="s">
        <v>15</v>
      </c>
      <c r="E866">
        <v>21.81</v>
      </c>
      <c r="F866">
        <v>10.29</v>
      </c>
      <c r="G866">
        <v>8.4600000000000009</v>
      </c>
      <c r="H866" t="s">
        <v>21</v>
      </c>
      <c r="I866" t="s">
        <v>24</v>
      </c>
      <c r="J866" t="s">
        <v>25</v>
      </c>
      <c r="K866">
        <v>25</v>
      </c>
      <c r="L866" t="s">
        <v>29</v>
      </c>
    </row>
    <row r="867" spans="1:12" x14ac:dyDescent="0.25">
      <c r="A867">
        <v>866</v>
      </c>
      <c r="B867">
        <v>36</v>
      </c>
      <c r="C867" t="s">
        <v>13</v>
      </c>
      <c r="D867" t="s">
        <v>16</v>
      </c>
      <c r="E867">
        <v>6.59</v>
      </c>
      <c r="F867">
        <v>13.97</v>
      </c>
      <c r="G867">
        <v>7.36</v>
      </c>
      <c r="H867" t="s">
        <v>21</v>
      </c>
      <c r="I867" t="s">
        <v>22</v>
      </c>
      <c r="J867" t="s">
        <v>25</v>
      </c>
      <c r="K867">
        <v>5</v>
      </c>
      <c r="L867" t="s">
        <v>29</v>
      </c>
    </row>
    <row r="868" spans="1:12" x14ac:dyDescent="0.25">
      <c r="A868">
        <v>867</v>
      </c>
      <c r="B868">
        <v>78</v>
      </c>
      <c r="C868" t="s">
        <v>12</v>
      </c>
      <c r="D868" t="s">
        <v>14</v>
      </c>
      <c r="E868">
        <v>7.2</v>
      </c>
      <c r="F868">
        <v>7.42</v>
      </c>
      <c r="G868">
        <v>21.09</v>
      </c>
      <c r="H868" t="s">
        <v>21</v>
      </c>
      <c r="I868" t="s">
        <v>24</v>
      </c>
      <c r="J868" t="s">
        <v>28</v>
      </c>
      <c r="K868">
        <v>18</v>
      </c>
      <c r="L868" t="s">
        <v>30</v>
      </c>
    </row>
    <row r="869" spans="1:12" x14ac:dyDescent="0.25">
      <c r="A869">
        <v>868</v>
      </c>
      <c r="B869">
        <v>61</v>
      </c>
      <c r="C869" t="s">
        <v>12</v>
      </c>
      <c r="D869" t="s">
        <v>17</v>
      </c>
      <c r="E869">
        <v>15.75</v>
      </c>
      <c r="F869">
        <v>4.54</v>
      </c>
      <c r="G869">
        <v>7.4</v>
      </c>
      <c r="H869" t="s">
        <v>20</v>
      </c>
      <c r="I869" t="s">
        <v>24</v>
      </c>
      <c r="J869" t="s">
        <v>26</v>
      </c>
      <c r="K869">
        <v>4</v>
      </c>
      <c r="L869" t="s">
        <v>30</v>
      </c>
    </row>
    <row r="870" spans="1:12" x14ac:dyDescent="0.25">
      <c r="A870">
        <v>869</v>
      </c>
      <c r="B870">
        <v>71</v>
      </c>
      <c r="C870" t="s">
        <v>13</v>
      </c>
      <c r="D870" t="s">
        <v>15</v>
      </c>
      <c r="E870">
        <v>12.81</v>
      </c>
      <c r="F870">
        <v>15.13</v>
      </c>
      <c r="G870">
        <v>43.42</v>
      </c>
      <c r="H870" t="s">
        <v>18</v>
      </c>
      <c r="I870" t="s">
        <v>22</v>
      </c>
      <c r="J870" t="s">
        <v>26</v>
      </c>
      <c r="K870">
        <v>25</v>
      </c>
      <c r="L870" t="s">
        <v>29</v>
      </c>
    </row>
    <row r="871" spans="1:12" x14ac:dyDescent="0.25">
      <c r="A871">
        <v>870</v>
      </c>
      <c r="B871">
        <v>56</v>
      </c>
      <c r="C871" t="s">
        <v>12</v>
      </c>
      <c r="D871" t="s">
        <v>17</v>
      </c>
      <c r="E871">
        <v>13.68</v>
      </c>
      <c r="F871">
        <v>18.989999999999998</v>
      </c>
      <c r="G871">
        <v>5.35</v>
      </c>
      <c r="H871" t="s">
        <v>21</v>
      </c>
      <c r="I871" t="s">
        <v>22</v>
      </c>
      <c r="J871" t="s">
        <v>26</v>
      </c>
      <c r="K871">
        <v>32</v>
      </c>
      <c r="L871" t="s">
        <v>29</v>
      </c>
    </row>
    <row r="872" spans="1:12" x14ac:dyDescent="0.25">
      <c r="A872">
        <v>871</v>
      </c>
      <c r="B872">
        <v>44</v>
      </c>
      <c r="C872" t="s">
        <v>12</v>
      </c>
      <c r="D872" t="s">
        <v>16</v>
      </c>
      <c r="E872">
        <v>5.85</v>
      </c>
      <c r="F872">
        <v>6.49</v>
      </c>
      <c r="G872">
        <v>6.6</v>
      </c>
      <c r="H872" t="s">
        <v>18</v>
      </c>
      <c r="I872" t="s">
        <v>23</v>
      </c>
      <c r="J872" t="s">
        <v>26</v>
      </c>
      <c r="K872">
        <v>12</v>
      </c>
      <c r="L872" t="s">
        <v>29</v>
      </c>
    </row>
    <row r="873" spans="1:12" x14ac:dyDescent="0.25">
      <c r="A873">
        <v>872</v>
      </c>
      <c r="B873">
        <v>27</v>
      </c>
      <c r="C873" t="s">
        <v>12</v>
      </c>
      <c r="D873" t="s">
        <v>15</v>
      </c>
      <c r="E873">
        <v>17.71</v>
      </c>
      <c r="F873">
        <v>35.85</v>
      </c>
      <c r="G873">
        <v>7.95</v>
      </c>
      <c r="H873" t="s">
        <v>18</v>
      </c>
      <c r="I873" t="s">
        <v>23</v>
      </c>
      <c r="J873" t="s">
        <v>26</v>
      </c>
      <c r="K873">
        <v>3</v>
      </c>
      <c r="L873" t="s">
        <v>29</v>
      </c>
    </row>
    <row r="874" spans="1:12" x14ac:dyDescent="0.25">
      <c r="A874">
        <v>873</v>
      </c>
      <c r="B874">
        <v>43</v>
      </c>
      <c r="C874" t="s">
        <v>12</v>
      </c>
      <c r="D874" t="s">
        <v>17</v>
      </c>
      <c r="E874">
        <v>43.99</v>
      </c>
      <c r="F874">
        <v>27.34</v>
      </c>
      <c r="G874">
        <v>4.76</v>
      </c>
      <c r="H874" t="s">
        <v>18</v>
      </c>
      <c r="I874" t="s">
        <v>23</v>
      </c>
      <c r="J874" t="s">
        <v>25</v>
      </c>
      <c r="K874">
        <v>24</v>
      </c>
      <c r="L874" t="s">
        <v>29</v>
      </c>
    </row>
    <row r="875" spans="1:12" x14ac:dyDescent="0.25">
      <c r="A875">
        <v>874</v>
      </c>
      <c r="B875">
        <v>36</v>
      </c>
      <c r="C875" t="s">
        <v>13</v>
      </c>
      <c r="D875" t="s">
        <v>16</v>
      </c>
      <c r="E875">
        <v>6.83</v>
      </c>
      <c r="F875">
        <v>3.81</v>
      </c>
      <c r="G875">
        <v>7.92</v>
      </c>
      <c r="H875" t="s">
        <v>19</v>
      </c>
      <c r="I875" t="s">
        <v>23</v>
      </c>
      <c r="J875" t="s">
        <v>26</v>
      </c>
      <c r="K875">
        <v>35</v>
      </c>
      <c r="L875" t="s">
        <v>30</v>
      </c>
    </row>
    <row r="876" spans="1:12" x14ac:dyDescent="0.25">
      <c r="A876">
        <v>875</v>
      </c>
      <c r="B876">
        <v>56</v>
      </c>
      <c r="C876" t="s">
        <v>13</v>
      </c>
      <c r="D876" t="s">
        <v>16</v>
      </c>
      <c r="E876">
        <v>14.87</v>
      </c>
      <c r="F876">
        <v>1.81</v>
      </c>
      <c r="G876">
        <v>5.75</v>
      </c>
      <c r="H876" t="s">
        <v>20</v>
      </c>
      <c r="I876" t="s">
        <v>23</v>
      </c>
      <c r="J876" t="s">
        <v>25</v>
      </c>
      <c r="K876">
        <v>27</v>
      </c>
      <c r="L876" t="s">
        <v>29</v>
      </c>
    </row>
    <row r="877" spans="1:12" x14ac:dyDescent="0.25">
      <c r="A877">
        <v>876</v>
      </c>
      <c r="B877">
        <v>79</v>
      </c>
      <c r="C877" t="s">
        <v>12</v>
      </c>
      <c r="D877" t="s">
        <v>15</v>
      </c>
      <c r="E877">
        <v>25.55</v>
      </c>
      <c r="F877">
        <v>8.94</v>
      </c>
      <c r="G877">
        <v>15.82</v>
      </c>
      <c r="H877" t="s">
        <v>20</v>
      </c>
      <c r="I877" t="s">
        <v>24</v>
      </c>
      <c r="J877" t="s">
        <v>27</v>
      </c>
      <c r="K877">
        <v>24</v>
      </c>
      <c r="L877" t="s">
        <v>30</v>
      </c>
    </row>
    <row r="878" spans="1:12" x14ac:dyDescent="0.25">
      <c r="A878">
        <v>877</v>
      </c>
      <c r="B878">
        <v>20</v>
      </c>
      <c r="C878" t="s">
        <v>12</v>
      </c>
      <c r="D878" t="s">
        <v>16</v>
      </c>
      <c r="E878">
        <v>4.71</v>
      </c>
      <c r="F878">
        <v>12.53</v>
      </c>
      <c r="G878">
        <v>6.43</v>
      </c>
      <c r="H878" t="s">
        <v>21</v>
      </c>
      <c r="I878" t="s">
        <v>23</v>
      </c>
      <c r="J878" t="s">
        <v>26</v>
      </c>
      <c r="K878">
        <v>18</v>
      </c>
      <c r="L878" t="s">
        <v>29</v>
      </c>
    </row>
    <row r="879" spans="1:12" x14ac:dyDescent="0.25">
      <c r="A879">
        <v>878</v>
      </c>
      <c r="B879">
        <v>62</v>
      </c>
      <c r="C879" t="s">
        <v>12</v>
      </c>
      <c r="D879" t="s">
        <v>15</v>
      </c>
      <c r="E879">
        <v>17.82</v>
      </c>
      <c r="F879">
        <v>35.51</v>
      </c>
      <c r="G879">
        <v>4.25</v>
      </c>
      <c r="H879" t="s">
        <v>21</v>
      </c>
      <c r="I879" t="s">
        <v>24</v>
      </c>
      <c r="J879" t="s">
        <v>27</v>
      </c>
      <c r="K879">
        <v>32</v>
      </c>
      <c r="L879" t="s">
        <v>29</v>
      </c>
    </row>
    <row r="880" spans="1:12" x14ac:dyDescent="0.25">
      <c r="A880">
        <v>879</v>
      </c>
      <c r="B880">
        <v>30</v>
      </c>
      <c r="C880" t="s">
        <v>12</v>
      </c>
      <c r="D880" t="s">
        <v>15</v>
      </c>
      <c r="E880">
        <v>32.64</v>
      </c>
      <c r="F880">
        <v>34.729999999999997</v>
      </c>
      <c r="G880">
        <v>7.01</v>
      </c>
      <c r="H880" t="s">
        <v>20</v>
      </c>
      <c r="I880" t="s">
        <v>22</v>
      </c>
      <c r="J880" t="s">
        <v>26</v>
      </c>
      <c r="K880">
        <v>20</v>
      </c>
      <c r="L880" t="s">
        <v>29</v>
      </c>
    </row>
    <row r="881" spans="1:12" x14ac:dyDescent="0.25">
      <c r="A881">
        <v>880</v>
      </c>
      <c r="B881">
        <v>67</v>
      </c>
      <c r="C881" t="s">
        <v>13</v>
      </c>
      <c r="D881" t="s">
        <v>14</v>
      </c>
      <c r="E881">
        <v>8.07</v>
      </c>
      <c r="F881">
        <v>16.43</v>
      </c>
      <c r="G881">
        <v>8.94</v>
      </c>
      <c r="H881" t="s">
        <v>19</v>
      </c>
      <c r="I881" t="s">
        <v>23</v>
      </c>
      <c r="J881" t="s">
        <v>27</v>
      </c>
      <c r="K881">
        <v>26</v>
      </c>
      <c r="L881" t="s">
        <v>29</v>
      </c>
    </row>
    <row r="882" spans="1:12" x14ac:dyDescent="0.25">
      <c r="A882">
        <v>881</v>
      </c>
      <c r="B882">
        <v>45</v>
      </c>
      <c r="C882" t="s">
        <v>13</v>
      </c>
      <c r="D882" t="s">
        <v>16</v>
      </c>
      <c r="E882">
        <v>18.98</v>
      </c>
      <c r="F882">
        <v>7.54</v>
      </c>
      <c r="G882">
        <v>7.6</v>
      </c>
      <c r="H882" t="s">
        <v>20</v>
      </c>
      <c r="I882" t="s">
        <v>22</v>
      </c>
      <c r="J882" t="s">
        <v>27</v>
      </c>
      <c r="K882">
        <v>7</v>
      </c>
      <c r="L882" t="s">
        <v>29</v>
      </c>
    </row>
    <row r="883" spans="1:12" x14ac:dyDescent="0.25">
      <c r="A883">
        <v>882</v>
      </c>
      <c r="B883">
        <v>79</v>
      </c>
      <c r="C883" t="s">
        <v>12</v>
      </c>
      <c r="D883" t="s">
        <v>15</v>
      </c>
      <c r="E883">
        <v>31.21</v>
      </c>
      <c r="F883">
        <v>22.69</v>
      </c>
      <c r="G883">
        <v>44.52</v>
      </c>
      <c r="H883" t="s">
        <v>18</v>
      </c>
      <c r="I883" t="s">
        <v>23</v>
      </c>
      <c r="J883" t="s">
        <v>26</v>
      </c>
      <c r="K883">
        <v>25</v>
      </c>
      <c r="L883" t="s">
        <v>29</v>
      </c>
    </row>
    <row r="884" spans="1:12" x14ac:dyDescent="0.25">
      <c r="A884">
        <v>883</v>
      </c>
      <c r="B884">
        <v>75</v>
      </c>
      <c r="C884" t="s">
        <v>12</v>
      </c>
      <c r="D884" t="s">
        <v>15</v>
      </c>
      <c r="E884">
        <v>61.65</v>
      </c>
      <c r="F884">
        <v>11.25</v>
      </c>
      <c r="G884">
        <v>13.11</v>
      </c>
      <c r="H884" t="s">
        <v>20</v>
      </c>
      <c r="I884" t="s">
        <v>24</v>
      </c>
      <c r="J884" t="s">
        <v>26</v>
      </c>
      <c r="K884">
        <v>29</v>
      </c>
      <c r="L884" t="s">
        <v>29</v>
      </c>
    </row>
    <row r="885" spans="1:12" x14ac:dyDescent="0.25">
      <c r="A885">
        <v>884</v>
      </c>
      <c r="B885">
        <v>37</v>
      </c>
      <c r="C885" t="s">
        <v>12</v>
      </c>
      <c r="D885" t="s">
        <v>15</v>
      </c>
      <c r="E885">
        <v>18.350000000000001</v>
      </c>
      <c r="F885">
        <v>3.06</v>
      </c>
      <c r="G885">
        <v>3.17</v>
      </c>
      <c r="H885" t="s">
        <v>19</v>
      </c>
      <c r="I885" t="s">
        <v>24</v>
      </c>
      <c r="J885" t="s">
        <v>26</v>
      </c>
      <c r="K885">
        <v>14</v>
      </c>
      <c r="L885" t="s">
        <v>29</v>
      </c>
    </row>
    <row r="886" spans="1:12" x14ac:dyDescent="0.25">
      <c r="A886">
        <v>885</v>
      </c>
      <c r="B886">
        <v>45</v>
      </c>
      <c r="C886" t="s">
        <v>13</v>
      </c>
      <c r="D886" t="s">
        <v>15</v>
      </c>
      <c r="E886">
        <v>10.220000000000001</v>
      </c>
      <c r="F886">
        <v>3.18</v>
      </c>
      <c r="G886">
        <v>14.57</v>
      </c>
      <c r="H886" t="s">
        <v>20</v>
      </c>
      <c r="I886" t="s">
        <v>23</v>
      </c>
      <c r="J886" t="s">
        <v>27</v>
      </c>
      <c r="K886">
        <v>12</v>
      </c>
      <c r="L886" t="s">
        <v>30</v>
      </c>
    </row>
    <row r="887" spans="1:12" x14ac:dyDescent="0.25">
      <c r="A887">
        <v>886</v>
      </c>
      <c r="B887">
        <v>25</v>
      </c>
      <c r="C887" t="s">
        <v>12</v>
      </c>
      <c r="D887" t="s">
        <v>15</v>
      </c>
      <c r="E887">
        <v>3.52</v>
      </c>
      <c r="F887">
        <v>7.58</v>
      </c>
      <c r="G887">
        <v>11.45</v>
      </c>
      <c r="H887" t="s">
        <v>20</v>
      </c>
      <c r="I887" t="s">
        <v>24</v>
      </c>
      <c r="J887" t="s">
        <v>27</v>
      </c>
      <c r="K887">
        <v>35</v>
      </c>
      <c r="L887" t="s">
        <v>29</v>
      </c>
    </row>
    <row r="888" spans="1:12" x14ac:dyDescent="0.25">
      <c r="A888">
        <v>887</v>
      </c>
      <c r="B888">
        <v>78</v>
      </c>
      <c r="C888" t="s">
        <v>13</v>
      </c>
      <c r="D888" t="s">
        <v>15</v>
      </c>
      <c r="E888">
        <v>10.28</v>
      </c>
      <c r="F888">
        <v>20.190000000000001</v>
      </c>
      <c r="G888">
        <v>13.44</v>
      </c>
      <c r="H888" t="s">
        <v>20</v>
      </c>
      <c r="I888" t="s">
        <v>22</v>
      </c>
      <c r="J888" t="s">
        <v>26</v>
      </c>
      <c r="K888">
        <v>18</v>
      </c>
      <c r="L888" t="s">
        <v>29</v>
      </c>
    </row>
    <row r="889" spans="1:12" x14ac:dyDescent="0.25">
      <c r="A889">
        <v>888</v>
      </c>
      <c r="B889">
        <v>58</v>
      </c>
      <c r="C889" t="s">
        <v>12</v>
      </c>
      <c r="D889" t="s">
        <v>17</v>
      </c>
      <c r="E889">
        <v>5.57</v>
      </c>
      <c r="F889">
        <v>4.12</v>
      </c>
      <c r="G889">
        <v>14.5</v>
      </c>
      <c r="H889" t="s">
        <v>18</v>
      </c>
      <c r="I889" t="s">
        <v>23</v>
      </c>
      <c r="J889" t="s">
        <v>25</v>
      </c>
      <c r="K889">
        <v>31</v>
      </c>
      <c r="L889" t="s">
        <v>30</v>
      </c>
    </row>
    <row r="890" spans="1:12" x14ac:dyDescent="0.25">
      <c r="A890">
        <v>889</v>
      </c>
      <c r="B890">
        <v>56</v>
      </c>
      <c r="C890" t="s">
        <v>13</v>
      </c>
      <c r="D890" t="s">
        <v>16</v>
      </c>
      <c r="E890">
        <v>46.14</v>
      </c>
      <c r="F890">
        <v>7.57</v>
      </c>
      <c r="G890">
        <v>22.66</v>
      </c>
      <c r="H890" t="s">
        <v>21</v>
      </c>
      <c r="I890" t="s">
        <v>22</v>
      </c>
      <c r="J890" t="s">
        <v>26</v>
      </c>
      <c r="K890">
        <v>20</v>
      </c>
      <c r="L890" t="s">
        <v>30</v>
      </c>
    </row>
    <row r="891" spans="1:12" x14ac:dyDescent="0.25">
      <c r="A891">
        <v>890</v>
      </c>
      <c r="B891">
        <v>18</v>
      </c>
      <c r="C891" t="s">
        <v>12</v>
      </c>
      <c r="D891" t="s">
        <v>16</v>
      </c>
      <c r="E891">
        <v>30.05</v>
      </c>
      <c r="F891">
        <v>27.19</v>
      </c>
      <c r="G891">
        <v>8.3699999999999992</v>
      </c>
      <c r="H891" t="s">
        <v>19</v>
      </c>
      <c r="I891" t="s">
        <v>22</v>
      </c>
      <c r="J891" t="s">
        <v>26</v>
      </c>
      <c r="K891">
        <v>29</v>
      </c>
      <c r="L891" t="s">
        <v>30</v>
      </c>
    </row>
    <row r="892" spans="1:12" x14ac:dyDescent="0.25">
      <c r="A892">
        <v>891</v>
      </c>
      <c r="B892">
        <v>20</v>
      </c>
      <c r="C892" t="s">
        <v>13</v>
      </c>
      <c r="D892" t="s">
        <v>16</v>
      </c>
      <c r="E892">
        <v>7.2</v>
      </c>
      <c r="F892">
        <v>13.62</v>
      </c>
      <c r="G892">
        <v>9</v>
      </c>
      <c r="H892" t="s">
        <v>18</v>
      </c>
      <c r="I892" t="s">
        <v>23</v>
      </c>
      <c r="J892" t="s">
        <v>28</v>
      </c>
      <c r="K892">
        <v>9</v>
      </c>
      <c r="L892" t="s">
        <v>29</v>
      </c>
    </row>
    <row r="893" spans="1:12" x14ac:dyDescent="0.25">
      <c r="A893">
        <v>892</v>
      </c>
      <c r="B893">
        <v>30</v>
      </c>
      <c r="C893" t="s">
        <v>12</v>
      </c>
      <c r="D893" t="s">
        <v>15</v>
      </c>
      <c r="E893">
        <v>9.7799999999999994</v>
      </c>
      <c r="F893">
        <v>14.79</v>
      </c>
      <c r="G893">
        <v>5.25</v>
      </c>
      <c r="H893" t="s">
        <v>20</v>
      </c>
      <c r="I893" t="s">
        <v>22</v>
      </c>
      <c r="J893" t="s">
        <v>26</v>
      </c>
      <c r="K893">
        <v>29</v>
      </c>
      <c r="L893" t="s">
        <v>29</v>
      </c>
    </row>
    <row r="894" spans="1:12" x14ac:dyDescent="0.25">
      <c r="A894">
        <v>893</v>
      </c>
      <c r="B894">
        <v>45</v>
      </c>
      <c r="C894" t="s">
        <v>12</v>
      </c>
      <c r="D894" t="s">
        <v>14</v>
      </c>
      <c r="E894">
        <v>18.149999999999999</v>
      </c>
      <c r="F894">
        <v>20.69</v>
      </c>
      <c r="G894">
        <v>10.9</v>
      </c>
      <c r="H894" t="s">
        <v>20</v>
      </c>
      <c r="I894" t="s">
        <v>23</v>
      </c>
      <c r="J894" t="s">
        <v>27</v>
      </c>
      <c r="K894">
        <v>12</v>
      </c>
      <c r="L894" t="s">
        <v>30</v>
      </c>
    </row>
    <row r="895" spans="1:12" x14ac:dyDescent="0.25">
      <c r="A895">
        <v>894</v>
      </c>
      <c r="B895">
        <v>79</v>
      </c>
      <c r="C895" t="s">
        <v>12</v>
      </c>
      <c r="D895" t="s">
        <v>14</v>
      </c>
      <c r="E895">
        <v>32.49</v>
      </c>
      <c r="F895">
        <v>7.7</v>
      </c>
      <c r="G895">
        <v>4.82</v>
      </c>
      <c r="H895" t="s">
        <v>21</v>
      </c>
      <c r="I895" t="s">
        <v>22</v>
      </c>
      <c r="J895" t="s">
        <v>27</v>
      </c>
      <c r="K895">
        <v>12</v>
      </c>
      <c r="L895" t="s">
        <v>30</v>
      </c>
    </row>
    <row r="896" spans="1:12" x14ac:dyDescent="0.25">
      <c r="A896">
        <v>895</v>
      </c>
      <c r="B896">
        <v>74</v>
      </c>
      <c r="C896" t="s">
        <v>13</v>
      </c>
      <c r="D896" t="s">
        <v>14</v>
      </c>
      <c r="E896">
        <v>23.94</v>
      </c>
      <c r="F896">
        <v>28.42</v>
      </c>
      <c r="G896">
        <v>3.95</v>
      </c>
      <c r="H896" t="s">
        <v>21</v>
      </c>
      <c r="I896" t="s">
        <v>23</v>
      </c>
      <c r="J896" t="s">
        <v>28</v>
      </c>
      <c r="K896">
        <v>13</v>
      </c>
      <c r="L896" t="s">
        <v>29</v>
      </c>
    </row>
    <row r="897" spans="1:12" x14ac:dyDescent="0.25">
      <c r="A897">
        <v>896</v>
      </c>
      <c r="B897">
        <v>77</v>
      </c>
      <c r="C897" t="s">
        <v>12</v>
      </c>
      <c r="D897" t="s">
        <v>14</v>
      </c>
      <c r="E897">
        <v>22.49</v>
      </c>
      <c r="F897">
        <v>16.78</v>
      </c>
      <c r="G897">
        <v>28.14</v>
      </c>
      <c r="H897" t="s">
        <v>21</v>
      </c>
      <c r="I897" t="s">
        <v>24</v>
      </c>
      <c r="J897" t="s">
        <v>26</v>
      </c>
      <c r="K897">
        <v>32</v>
      </c>
      <c r="L897" t="s">
        <v>29</v>
      </c>
    </row>
    <row r="898" spans="1:12" x14ac:dyDescent="0.25">
      <c r="A898">
        <v>897</v>
      </c>
      <c r="B898">
        <v>66</v>
      </c>
      <c r="C898" t="s">
        <v>13</v>
      </c>
      <c r="D898" t="s">
        <v>14</v>
      </c>
      <c r="E898">
        <v>19.82</v>
      </c>
      <c r="F898">
        <v>9.3699999999999992</v>
      </c>
      <c r="G898">
        <v>8.85</v>
      </c>
      <c r="H898" t="s">
        <v>18</v>
      </c>
      <c r="I898" t="s">
        <v>22</v>
      </c>
      <c r="J898" t="s">
        <v>26</v>
      </c>
      <c r="K898">
        <v>5</v>
      </c>
      <c r="L898" t="s">
        <v>29</v>
      </c>
    </row>
    <row r="899" spans="1:12" x14ac:dyDescent="0.25">
      <c r="A899">
        <v>898</v>
      </c>
      <c r="B899">
        <v>42</v>
      </c>
      <c r="C899" t="s">
        <v>13</v>
      </c>
      <c r="D899" t="s">
        <v>17</v>
      </c>
      <c r="E899">
        <v>7.51</v>
      </c>
      <c r="F899">
        <v>24.91</v>
      </c>
      <c r="G899">
        <v>13.25</v>
      </c>
      <c r="H899" t="s">
        <v>19</v>
      </c>
      <c r="I899" t="s">
        <v>23</v>
      </c>
      <c r="J899" t="s">
        <v>26</v>
      </c>
      <c r="K899">
        <v>31</v>
      </c>
      <c r="L899" t="s">
        <v>29</v>
      </c>
    </row>
    <row r="900" spans="1:12" x14ac:dyDescent="0.25">
      <c r="A900">
        <v>899</v>
      </c>
      <c r="B900">
        <v>73</v>
      </c>
      <c r="C900" t="s">
        <v>12</v>
      </c>
      <c r="D900" t="s">
        <v>15</v>
      </c>
      <c r="E900">
        <v>18.309999999999999</v>
      </c>
      <c r="F900">
        <v>16.260000000000002</v>
      </c>
      <c r="G900">
        <v>5.89</v>
      </c>
      <c r="H900" t="s">
        <v>21</v>
      </c>
      <c r="I900" t="s">
        <v>23</v>
      </c>
      <c r="J900" t="s">
        <v>25</v>
      </c>
      <c r="K900">
        <v>16</v>
      </c>
      <c r="L900" t="s">
        <v>30</v>
      </c>
    </row>
    <row r="901" spans="1:12" x14ac:dyDescent="0.25">
      <c r="A901">
        <v>900</v>
      </c>
      <c r="B901">
        <v>50</v>
      </c>
      <c r="C901" t="s">
        <v>12</v>
      </c>
      <c r="D901" t="s">
        <v>16</v>
      </c>
      <c r="E901">
        <v>16.87</v>
      </c>
      <c r="F901">
        <v>10.11</v>
      </c>
      <c r="G901">
        <v>31.91</v>
      </c>
      <c r="H901" t="s">
        <v>20</v>
      </c>
      <c r="I901" t="s">
        <v>23</v>
      </c>
      <c r="J901" t="s">
        <v>25</v>
      </c>
      <c r="K901">
        <v>15</v>
      </c>
      <c r="L901" t="s">
        <v>29</v>
      </c>
    </row>
    <row r="902" spans="1:12" x14ac:dyDescent="0.25">
      <c r="A902">
        <v>901</v>
      </c>
      <c r="B902">
        <v>55</v>
      </c>
      <c r="C902" t="s">
        <v>12</v>
      </c>
      <c r="D902" t="s">
        <v>16</v>
      </c>
      <c r="E902">
        <v>5.5</v>
      </c>
      <c r="F902">
        <v>15.11</v>
      </c>
      <c r="G902">
        <v>7.85</v>
      </c>
      <c r="H902" t="s">
        <v>19</v>
      </c>
      <c r="I902" t="s">
        <v>22</v>
      </c>
      <c r="J902" t="s">
        <v>26</v>
      </c>
      <c r="K902">
        <v>21</v>
      </c>
      <c r="L902" t="s">
        <v>29</v>
      </c>
    </row>
    <row r="903" spans="1:12" x14ac:dyDescent="0.25">
      <c r="A903">
        <v>902</v>
      </c>
      <c r="B903">
        <v>70</v>
      </c>
      <c r="C903" t="s">
        <v>13</v>
      </c>
      <c r="D903" t="s">
        <v>16</v>
      </c>
      <c r="E903">
        <v>45.45</v>
      </c>
      <c r="F903">
        <v>4.93</v>
      </c>
      <c r="G903">
        <v>24.81</v>
      </c>
      <c r="H903" t="s">
        <v>20</v>
      </c>
      <c r="I903" t="s">
        <v>23</v>
      </c>
      <c r="J903" t="s">
        <v>25</v>
      </c>
      <c r="K903">
        <v>27</v>
      </c>
      <c r="L903" t="s">
        <v>29</v>
      </c>
    </row>
    <row r="904" spans="1:12" x14ac:dyDescent="0.25">
      <c r="A904">
        <v>903</v>
      </c>
      <c r="B904">
        <v>23</v>
      </c>
      <c r="C904" t="s">
        <v>12</v>
      </c>
      <c r="D904" t="s">
        <v>17</v>
      </c>
      <c r="E904">
        <v>11.28</v>
      </c>
      <c r="F904">
        <v>22.75</v>
      </c>
      <c r="G904">
        <v>13.24</v>
      </c>
      <c r="H904" t="s">
        <v>20</v>
      </c>
      <c r="I904" t="s">
        <v>24</v>
      </c>
      <c r="J904" t="s">
        <v>26</v>
      </c>
      <c r="K904">
        <v>12</v>
      </c>
      <c r="L904" t="s">
        <v>30</v>
      </c>
    </row>
    <row r="905" spans="1:12" x14ac:dyDescent="0.25">
      <c r="A905">
        <v>904</v>
      </c>
      <c r="B905">
        <v>75</v>
      </c>
      <c r="C905" t="s">
        <v>13</v>
      </c>
      <c r="D905" t="s">
        <v>15</v>
      </c>
      <c r="E905">
        <v>5.63</v>
      </c>
      <c r="F905">
        <v>35.11</v>
      </c>
      <c r="G905">
        <v>9.86</v>
      </c>
      <c r="H905" t="s">
        <v>19</v>
      </c>
      <c r="I905" t="s">
        <v>24</v>
      </c>
      <c r="J905" t="s">
        <v>26</v>
      </c>
      <c r="K905">
        <v>17</v>
      </c>
      <c r="L905" t="s">
        <v>29</v>
      </c>
    </row>
    <row r="906" spans="1:12" x14ac:dyDescent="0.25">
      <c r="A906">
        <v>905</v>
      </c>
      <c r="B906">
        <v>61</v>
      </c>
      <c r="C906" t="s">
        <v>13</v>
      </c>
      <c r="D906" t="s">
        <v>17</v>
      </c>
      <c r="E906">
        <v>12.69</v>
      </c>
      <c r="F906">
        <v>2.23</v>
      </c>
      <c r="G906">
        <v>11.83</v>
      </c>
      <c r="H906" t="s">
        <v>18</v>
      </c>
      <c r="I906" t="s">
        <v>22</v>
      </c>
      <c r="J906" t="s">
        <v>26</v>
      </c>
      <c r="K906">
        <v>30</v>
      </c>
      <c r="L906" t="s">
        <v>29</v>
      </c>
    </row>
    <row r="907" spans="1:12" x14ac:dyDescent="0.25">
      <c r="A907">
        <v>906</v>
      </c>
      <c r="B907">
        <v>62</v>
      </c>
      <c r="C907" t="s">
        <v>12</v>
      </c>
      <c r="D907" t="s">
        <v>14</v>
      </c>
      <c r="E907">
        <v>14.47</v>
      </c>
      <c r="F907">
        <v>6.42</v>
      </c>
      <c r="G907">
        <v>8.7899999999999991</v>
      </c>
      <c r="H907" t="s">
        <v>19</v>
      </c>
      <c r="I907" t="s">
        <v>23</v>
      </c>
      <c r="J907" t="s">
        <v>26</v>
      </c>
      <c r="K907">
        <v>9</v>
      </c>
      <c r="L907" t="s">
        <v>29</v>
      </c>
    </row>
    <row r="908" spans="1:12" x14ac:dyDescent="0.25">
      <c r="A908">
        <v>907</v>
      </c>
      <c r="B908">
        <v>49</v>
      </c>
      <c r="C908" t="s">
        <v>12</v>
      </c>
      <c r="D908" t="s">
        <v>17</v>
      </c>
      <c r="E908">
        <v>16.53</v>
      </c>
      <c r="F908">
        <v>5.97</v>
      </c>
      <c r="G908">
        <v>8.36</v>
      </c>
      <c r="H908" t="s">
        <v>21</v>
      </c>
      <c r="I908" t="s">
        <v>23</v>
      </c>
      <c r="J908" t="s">
        <v>26</v>
      </c>
      <c r="K908">
        <v>16</v>
      </c>
      <c r="L908" t="s">
        <v>29</v>
      </c>
    </row>
    <row r="909" spans="1:12" x14ac:dyDescent="0.25">
      <c r="A909">
        <v>908</v>
      </c>
      <c r="B909">
        <v>62</v>
      </c>
      <c r="C909" t="s">
        <v>12</v>
      </c>
      <c r="D909" t="s">
        <v>17</v>
      </c>
      <c r="E909">
        <v>14.31</v>
      </c>
      <c r="F909">
        <v>17.52</v>
      </c>
      <c r="G909">
        <v>11.26</v>
      </c>
      <c r="H909" t="s">
        <v>19</v>
      </c>
      <c r="I909" t="s">
        <v>22</v>
      </c>
      <c r="J909" t="s">
        <v>26</v>
      </c>
      <c r="K909">
        <v>32</v>
      </c>
      <c r="L909" t="s">
        <v>29</v>
      </c>
    </row>
    <row r="910" spans="1:12" x14ac:dyDescent="0.25">
      <c r="A910">
        <v>909</v>
      </c>
      <c r="B910">
        <v>78</v>
      </c>
      <c r="C910" t="s">
        <v>12</v>
      </c>
      <c r="D910" t="s">
        <v>15</v>
      </c>
      <c r="E910">
        <v>17.170000000000002</v>
      </c>
      <c r="F910">
        <v>12.05</v>
      </c>
      <c r="G910">
        <v>1.54</v>
      </c>
      <c r="H910" t="s">
        <v>21</v>
      </c>
      <c r="I910" t="s">
        <v>22</v>
      </c>
      <c r="J910" t="s">
        <v>27</v>
      </c>
      <c r="K910">
        <v>14</v>
      </c>
      <c r="L910" t="s">
        <v>29</v>
      </c>
    </row>
    <row r="911" spans="1:12" x14ac:dyDescent="0.25">
      <c r="A911">
        <v>910</v>
      </c>
      <c r="B911">
        <v>64</v>
      </c>
      <c r="C911" t="s">
        <v>12</v>
      </c>
      <c r="D911" t="s">
        <v>17</v>
      </c>
      <c r="E911">
        <v>19.16</v>
      </c>
      <c r="F911">
        <v>7.27</v>
      </c>
      <c r="G911">
        <v>5.88</v>
      </c>
      <c r="H911" t="s">
        <v>21</v>
      </c>
      <c r="I911" t="s">
        <v>22</v>
      </c>
      <c r="J911" t="s">
        <v>25</v>
      </c>
      <c r="K911">
        <v>30</v>
      </c>
      <c r="L911" t="s">
        <v>29</v>
      </c>
    </row>
    <row r="912" spans="1:12" x14ac:dyDescent="0.25">
      <c r="A912">
        <v>911</v>
      </c>
      <c r="B912">
        <v>38</v>
      </c>
      <c r="C912" t="s">
        <v>12</v>
      </c>
      <c r="D912" t="s">
        <v>14</v>
      </c>
      <c r="E912">
        <v>18.510000000000002</v>
      </c>
      <c r="F912">
        <v>8.1999999999999993</v>
      </c>
      <c r="G912">
        <v>15.83</v>
      </c>
      <c r="H912" t="s">
        <v>19</v>
      </c>
      <c r="I912" t="s">
        <v>22</v>
      </c>
      <c r="J912" t="s">
        <v>26</v>
      </c>
      <c r="K912">
        <v>16</v>
      </c>
      <c r="L912" t="s">
        <v>29</v>
      </c>
    </row>
    <row r="913" spans="1:12" x14ac:dyDescent="0.25">
      <c r="A913">
        <v>912</v>
      </c>
      <c r="B913">
        <v>33</v>
      </c>
      <c r="C913" t="s">
        <v>13</v>
      </c>
      <c r="D913" t="s">
        <v>16</v>
      </c>
      <c r="E913">
        <v>22.38</v>
      </c>
      <c r="F913">
        <v>6.72</v>
      </c>
      <c r="G913">
        <v>16.72</v>
      </c>
      <c r="H913" t="s">
        <v>19</v>
      </c>
      <c r="I913" t="s">
        <v>23</v>
      </c>
      <c r="J913" t="s">
        <v>25</v>
      </c>
      <c r="K913">
        <v>3</v>
      </c>
      <c r="L913" t="s">
        <v>30</v>
      </c>
    </row>
    <row r="914" spans="1:12" x14ac:dyDescent="0.25">
      <c r="A914">
        <v>913</v>
      </c>
      <c r="B914">
        <v>71</v>
      </c>
      <c r="C914" t="s">
        <v>13</v>
      </c>
      <c r="D914" t="s">
        <v>16</v>
      </c>
      <c r="E914">
        <v>23.24</v>
      </c>
      <c r="F914">
        <v>16.02</v>
      </c>
      <c r="G914">
        <v>38.119999999999997</v>
      </c>
      <c r="H914" t="s">
        <v>21</v>
      </c>
      <c r="I914" t="s">
        <v>24</v>
      </c>
      <c r="J914" t="s">
        <v>25</v>
      </c>
      <c r="K914">
        <v>6</v>
      </c>
      <c r="L914" t="s">
        <v>29</v>
      </c>
    </row>
    <row r="915" spans="1:12" x14ac:dyDescent="0.25">
      <c r="A915">
        <v>914</v>
      </c>
      <c r="B915">
        <v>38</v>
      </c>
      <c r="C915" t="s">
        <v>13</v>
      </c>
      <c r="D915" t="s">
        <v>17</v>
      </c>
      <c r="E915">
        <v>23.62</v>
      </c>
      <c r="F915">
        <v>11.91</v>
      </c>
      <c r="G915">
        <v>18.38</v>
      </c>
      <c r="H915" t="s">
        <v>20</v>
      </c>
      <c r="I915" t="s">
        <v>23</v>
      </c>
      <c r="J915" t="s">
        <v>26</v>
      </c>
      <c r="K915">
        <v>20</v>
      </c>
      <c r="L915" t="s">
        <v>29</v>
      </c>
    </row>
    <row r="916" spans="1:12" x14ac:dyDescent="0.25">
      <c r="A916">
        <v>915</v>
      </c>
      <c r="B916">
        <v>28</v>
      </c>
      <c r="C916" t="s">
        <v>12</v>
      </c>
      <c r="D916" t="s">
        <v>16</v>
      </c>
      <c r="E916">
        <v>27.41</v>
      </c>
      <c r="F916">
        <v>7.88</v>
      </c>
      <c r="G916">
        <v>17.489999999999998</v>
      </c>
      <c r="H916" t="s">
        <v>19</v>
      </c>
      <c r="I916" t="s">
        <v>22</v>
      </c>
      <c r="J916" t="s">
        <v>25</v>
      </c>
      <c r="K916">
        <v>34</v>
      </c>
      <c r="L916" t="s">
        <v>29</v>
      </c>
    </row>
    <row r="917" spans="1:12" x14ac:dyDescent="0.25">
      <c r="A917">
        <v>916</v>
      </c>
      <c r="B917">
        <v>77</v>
      </c>
      <c r="C917" t="s">
        <v>13</v>
      </c>
      <c r="D917" t="s">
        <v>15</v>
      </c>
      <c r="E917">
        <v>10.39</v>
      </c>
      <c r="F917">
        <v>6.83</v>
      </c>
      <c r="G917">
        <v>12.08</v>
      </c>
      <c r="H917" t="s">
        <v>18</v>
      </c>
      <c r="I917" t="s">
        <v>22</v>
      </c>
      <c r="J917" t="s">
        <v>25</v>
      </c>
      <c r="K917">
        <v>30</v>
      </c>
      <c r="L917" t="s">
        <v>29</v>
      </c>
    </row>
    <row r="918" spans="1:12" x14ac:dyDescent="0.25">
      <c r="A918">
        <v>917</v>
      </c>
      <c r="B918">
        <v>54</v>
      </c>
      <c r="C918" t="s">
        <v>13</v>
      </c>
      <c r="D918" t="s">
        <v>16</v>
      </c>
      <c r="E918">
        <v>10.67</v>
      </c>
      <c r="F918">
        <v>25.21</v>
      </c>
      <c r="G918">
        <v>20.73</v>
      </c>
      <c r="H918" t="s">
        <v>21</v>
      </c>
      <c r="I918" t="s">
        <v>23</v>
      </c>
      <c r="J918" t="s">
        <v>25</v>
      </c>
      <c r="K918">
        <v>30</v>
      </c>
      <c r="L918" t="s">
        <v>29</v>
      </c>
    </row>
    <row r="919" spans="1:12" x14ac:dyDescent="0.25">
      <c r="A919">
        <v>918</v>
      </c>
      <c r="B919">
        <v>53</v>
      </c>
      <c r="C919" t="s">
        <v>13</v>
      </c>
      <c r="D919" t="s">
        <v>17</v>
      </c>
      <c r="E919">
        <v>32.58</v>
      </c>
      <c r="F919">
        <v>22.36</v>
      </c>
      <c r="G919">
        <v>10.55</v>
      </c>
      <c r="H919" t="s">
        <v>20</v>
      </c>
      <c r="I919" t="s">
        <v>22</v>
      </c>
      <c r="J919" t="s">
        <v>25</v>
      </c>
      <c r="K919">
        <v>34</v>
      </c>
      <c r="L919" t="s">
        <v>29</v>
      </c>
    </row>
    <row r="920" spans="1:12" x14ac:dyDescent="0.25">
      <c r="A920">
        <v>919</v>
      </c>
      <c r="B920">
        <v>52</v>
      </c>
      <c r="C920" t="s">
        <v>13</v>
      </c>
      <c r="D920" t="s">
        <v>17</v>
      </c>
      <c r="E920">
        <v>12.96</v>
      </c>
      <c r="F920">
        <v>16.149999999999999</v>
      </c>
      <c r="G920">
        <v>9.83</v>
      </c>
      <c r="H920" t="s">
        <v>19</v>
      </c>
      <c r="I920" t="s">
        <v>24</v>
      </c>
      <c r="J920" t="s">
        <v>25</v>
      </c>
      <c r="K920">
        <v>10</v>
      </c>
      <c r="L920" t="s">
        <v>30</v>
      </c>
    </row>
    <row r="921" spans="1:12" x14ac:dyDescent="0.25">
      <c r="A921">
        <v>920</v>
      </c>
      <c r="B921">
        <v>36</v>
      </c>
      <c r="C921" t="s">
        <v>13</v>
      </c>
      <c r="D921" t="s">
        <v>16</v>
      </c>
      <c r="E921">
        <v>15.91</v>
      </c>
      <c r="F921">
        <v>20.76</v>
      </c>
      <c r="G921">
        <v>10.029999999999999</v>
      </c>
      <c r="H921" t="s">
        <v>19</v>
      </c>
      <c r="I921" t="s">
        <v>22</v>
      </c>
      <c r="J921" t="s">
        <v>26</v>
      </c>
      <c r="K921">
        <v>27</v>
      </c>
      <c r="L921" t="s">
        <v>30</v>
      </c>
    </row>
    <row r="922" spans="1:12" x14ac:dyDescent="0.25">
      <c r="A922">
        <v>921</v>
      </c>
      <c r="B922">
        <v>37</v>
      </c>
      <c r="C922" t="s">
        <v>12</v>
      </c>
      <c r="D922" t="s">
        <v>14</v>
      </c>
      <c r="E922">
        <v>14.96</v>
      </c>
      <c r="F922">
        <v>3.09</v>
      </c>
      <c r="G922">
        <v>20.43</v>
      </c>
      <c r="H922" t="s">
        <v>20</v>
      </c>
      <c r="I922" t="s">
        <v>23</v>
      </c>
      <c r="J922" t="s">
        <v>27</v>
      </c>
      <c r="K922">
        <v>22</v>
      </c>
      <c r="L922" t="s">
        <v>29</v>
      </c>
    </row>
    <row r="923" spans="1:12" x14ac:dyDescent="0.25">
      <c r="A923">
        <v>922</v>
      </c>
      <c r="B923">
        <v>74</v>
      </c>
      <c r="C923" t="s">
        <v>12</v>
      </c>
      <c r="D923" t="s">
        <v>15</v>
      </c>
      <c r="E923">
        <v>60.32</v>
      </c>
      <c r="F923">
        <v>4.09</v>
      </c>
      <c r="G923">
        <v>9.94</v>
      </c>
      <c r="H923" t="s">
        <v>18</v>
      </c>
      <c r="I923" t="s">
        <v>23</v>
      </c>
      <c r="J923" t="s">
        <v>26</v>
      </c>
      <c r="K923">
        <v>35</v>
      </c>
      <c r="L923" t="s">
        <v>29</v>
      </c>
    </row>
    <row r="924" spans="1:12" x14ac:dyDescent="0.25">
      <c r="A924">
        <v>923</v>
      </c>
      <c r="B924">
        <v>35</v>
      </c>
      <c r="C924" t="s">
        <v>13</v>
      </c>
      <c r="D924" t="s">
        <v>14</v>
      </c>
      <c r="E924">
        <v>9.11</v>
      </c>
      <c r="F924">
        <v>3.68</v>
      </c>
      <c r="G924">
        <v>13.09</v>
      </c>
      <c r="H924" t="s">
        <v>21</v>
      </c>
      <c r="I924" t="s">
        <v>23</v>
      </c>
      <c r="J924" t="s">
        <v>27</v>
      </c>
      <c r="K924">
        <v>32</v>
      </c>
      <c r="L924" t="s">
        <v>29</v>
      </c>
    </row>
    <row r="925" spans="1:12" x14ac:dyDescent="0.25">
      <c r="A925">
        <v>924</v>
      </c>
      <c r="B925">
        <v>64</v>
      </c>
      <c r="C925" t="s">
        <v>13</v>
      </c>
      <c r="D925" t="s">
        <v>15</v>
      </c>
      <c r="E925">
        <v>8.98</v>
      </c>
      <c r="F925">
        <v>10.35</v>
      </c>
      <c r="G925">
        <v>6.3</v>
      </c>
      <c r="H925" t="s">
        <v>19</v>
      </c>
      <c r="I925" t="s">
        <v>23</v>
      </c>
      <c r="J925" t="s">
        <v>26</v>
      </c>
      <c r="K925">
        <v>18</v>
      </c>
      <c r="L925" t="s">
        <v>29</v>
      </c>
    </row>
    <row r="926" spans="1:12" x14ac:dyDescent="0.25">
      <c r="A926">
        <v>925</v>
      </c>
      <c r="B926">
        <v>58</v>
      </c>
      <c r="C926" t="s">
        <v>13</v>
      </c>
      <c r="D926" t="s">
        <v>17</v>
      </c>
      <c r="E926">
        <v>17.21</v>
      </c>
      <c r="F926">
        <v>21.23</v>
      </c>
      <c r="G926">
        <v>30.44</v>
      </c>
      <c r="H926" t="s">
        <v>18</v>
      </c>
      <c r="I926" t="s">
        <v>24</v>
      </c>
      <c r="J926" t="s">
        <v>26</v>
      </c>
      <c r="K926">
        <v>27</v>
      </c>
      <c r="L926" t="s">
        <v>29</v>
      </c>
    </row>
    <row r="927" spans="1:12" x14ac:dyDescent="0.25">
      <c r="A927">
        <v>926</v>
      </c>
      <c r="B927">
        <v>66</v>
      </c>
      <c r="C927" t="s">
        <v>12</v>
      </c>
      <c r="D927" t="s">
        <v>15</v>
      </c>
      <c r="E927">
        <v>15.25</v>
      </c>
      <c r="F927">
        <v>7.35</v>
      </c>
      <c r="G927">
        <v>7.49</v>
      </c>
      <c r="H927" t="s">
        <v>21</v>
      </c>
      <c r="I927" t="s">
        <v>22</v>
      </c>
      <c r="J927" t="s">
        <v>25</v>
      </c>
      <c r="K927">
        <v>12</v>
      </c>
      <c r="L927" t="s">
        <v>29</v>
      </c>
    </row>
    <row r="928" spans="1:12" x14ac:dyDescent="0.25">
      <c r="A928">
        <v>927</v>
      </c>
      <c r="B928">
        <v>31</v>
      </c>
      <c r="C928" t="s">
        <v>12</v>
      </c>
      <c r="D928" t="s">
        <v>15</v>
      </c>
      <c r="E928">
        <v>7.14</v>
      </c>
      <c r="F928">
        <v>23.25</v>
      </c>
      <c r="G928">
        <v>9.65</v>
      </c>
      <c r="H928" t="s">
        <v>18</v>
      </c>
      <c r="I928" t="s">
        <v>23</v>
      </c>
      <c r="J928" t="s">
        <v>26</v>
      </c>
      <c r="K928">
        <v>7</v>
      </c>
      <c r="L928" t="s">
        <v>29</v>
      </c>
    </row>
    <row r="929" spans="1:12" x14ac:dyDescent="0.25">
      <c r="A929">
        <v>928</v>
      </c>
      <c r="B929">
        <v>32</v>
      </c>
      <c r="C929" t="s">
        <v>13</v>
      </c>
      <c r="D929" t="s">
        <v>17</v>
      </c>
      <c r="E929">
        <v>16.27</v>
      </c>
      <c r="F929">
        <v>6.41</v>
      </c>
      <c r="G929">
        <v>17.39</v>
      </c>
      <c r="H929" t="s">
        <v>21</v>
      </c>
      <c r="I929" t="s">
        <v>24</v>
      </c>
      <c r="J929" t="s">
        <v>27</v>
      </c>
      <c r="K929">
        <v>10</v>
      </c>
      <c r="L929" t="s">
        <v>29</v>
      </c>
    </row>
    <row r="930" spans="1:12" x14ac:dyDescent="0.25">
      <c r="A930">
        <v>929</v>
      </c>
      <c r="B930">
        <v>48</v>
      </c>
      <c r="C930" t="s">
        <v>12</v>
      </c>
      <c r="D930" t="s">
        <v>15</v>
      </c>
      <c r="E930">
        <v>17.52</v>
      </c>
      <c r="F930">
        <v>9.2799999999999994</v>
      </c>
      <c r="G930">
        <v>22.54</v>
      </c>
      <c r="H930" t="s">
        <v>21</v>
      </c>
      <c r="I930" t="s">
        <v>22</v>
      </c>
      <c r="J930" t="s">
        <v>26</v>
      </c>
      <c r="K930">
        <v>35</v>
      </c>
      <c r="L930" t="s">
        <v>30</v>
      </c>
    </row>
    <row r="931" spans="1:12" x14ac:dyDescent="0.25">
      <c r="A931">
        <v>930</v>
      </c>
      <c r="B931">
        <v>18</v>
      </c>
      <c r="C931" t="s">
        <v>12</v>
      </c>
      <c r="D931" t="s">
        <v>17</v>
      </c>
      <c r="E931">
        <v>12.05</v>
      </c>
      <c r="F931">
        <v>7.28</v>
      </c>
      <c r="G931">
        <v>10.26</v>
      </c>
      <c r="H931" t="s">
        <v>18</v>
      </c>
      <c r="I931" t="s">
        <v>23</v>
      </c>
      <c r="J931" t="s">
        <v>25</v>
      </c>
      <c r="K931">
        <v>3</v>
      </c>
      <c r="L931" t="s">
        <v>29</v>
      </c>
    </row>
    <row r="932" spans="1:12" x14ac:dyDescent="0.25">
      <c r="A932">
        <v>931</v>
      </c>
      <c r="B932">
        <v>70</v>
      </c>
      <c r="C932" t="s">
        <v>13</v>
      </c>
      <c r="D932" t="s">
        <v>14</v>
      </c>
      <c r="E932">
        <v>15.62</v>
      </c>
      <c r="F932">
        <v>8.73</v>
      </c>
      <c r="G932">
        <v>15.81</v>
      </c>
      <c r="H932" t="s">
        <v>21</v>
      </c>
      <c r="I932" t="s">
        <v>23</v>
      </c>
      <c r="J932" t="s">
        <v>26</v>
      </c>
      <c r="K932">
        <v>33</v>
      </c>
      <c r="L932" t="s">
        <v>29</v>
      </c>
    </row>
    <row r="933" spans="1:12" x14ac:dyDescent="0.25">
      <c r="A933">
        <v>932</v>
      </c>
      <c r="B933">
        <v>71</v>
      </c>
      <c r="C933" t="s">
        <v>12</v>
      </c>
      <c r="D933" t="s">
        <v>15</v>
      </c>
      <c r="E933">
        <v>9.7899999999999991</v>
      </c>
      <c r="F933">
        <v>9.5</v>
      </c>
      <c r="G933">
        <v>4.93</v>
      </c>
      <c r="H933" t="s">
        <v>19</v>
      </c>
      <c r="I933" t="s">
        <v>23</v>
      </c>
      <c r="J933" t="s">
        <v>26</v>
      </c>
      <c r="K933">
        <v>9</v>
      </c>
      <c r="L933" t="s">
        <v>29</v>
      </c>
    </row>
    <row r="934" spans="1:12" x14ac:dyDescent="0.25">
      <c r="A934">
        <v>933</v>
      </c>
      <c r="B934">
        <v>71</v>
      </c>
      <c r="C934" t="s">
        <v>12</v>
      </c>
      <c r="D934" t="s">
        <v>16</v>
      </c>
      <c r="E934">
        <v>7.15</v>
      </c>
      <c r="F934">
        <v>1.74</v>
      </c>
      <c r="G934">
        <v>11.47</v>
      </c>
      <c r="H934" t="s">
        <v>19</v>
      </c>
      <c r="I934" t="s">
        <v>24</v>
      </c>
      <c r="J934" t="s">
        <v>26</v>
      </c>
      <c r="K934">
        <v>25</v>
      </c>
      <c r="L934" t="s">
        <v>29</v>
      </c>
    </row>
    <row r="935" spans="1:12" x14ac:dyDescent="0.25">
      <c r="A935">
        <v>934</v>
      </c>
      <c r="B935">
        <v>20</v>
      </c>
      <c r="C935" t="s">
        <v>13</v>
      </c>
      <c r="D935" t="s">
        <v>17</v>
      </c>
      <c r="E935">
        <v>12.89</v>
      </c>
      <c r="F935">
        <v>13.35</v>
      </c>
      <c r="G935">
        <v>15.67</v>
      </c>
      <c r="H935" t="s">
        <v>18</v>
      </c>
      <c r="I935" t="s">
        <v>22</v>
      </c>
      <c r="J935" t="s">
        <v>25</v>
      </c>
      <c r="K935">
        <v>26</v>
      </c>
      <c r="L935" t="s">
        <v>29</v>
      </c>
    </row>
    <row r="936" spans="1:12" x14ac:dyDescent="0.25">
      <c r="A936">
        <v>935</v>
      </c>
      <c r="B936">
        <v>33</v>
      </c>
      <c r="C936" t="s">
        <v>12</v>
      </c>
      <c r="D936" t="s">
        <v>16</v>
      </c>
      <c r="E936">
        <v>8.06</v>
      </c>
      <c r="F936">
        <v>9.32</v>
      </c>
      <c r="G936">
        <v>24.56</v>
      </c>
      <c r="H936" t="s">
        <v>18</v>
      </c>
      <c r="I936" t="s">
        <v>24</v>
      </c>
      <c r="J936" t="s">
        <v>25</v>
      </c>
      <c r="K936">
        <v>16</v>
      </c>
      <c r="L936" t="s">
        <v>29</v>
      </c>
    </row>
    <row r="937" spans="1:12" x14ac:dyDescent="0.25">
      <c r="A937">
        <v>936</v>
      </c>
      <c r="B937">
        <v>40</v>
      </c>
      <c r="C937" t="s">
        <v>12</v>
      </c>
      <c r="D937" t="s">
        <v>15</v>
      </c>
      <c r="E937">
        <v>6.08</v>
      </c>
      <c r="F937">
        <v>28.38</v>
      </c>
      <c r="G937">
        <v>3.24</v>
      </c>
      <c r="H937" t="s">
        <v>21</v>
      </c>
      <c r="I937" t="s">
        <v>23</v>
      </c>
      <c r="J937" t="s">
        <v>25</v>
      </c>
      <c r="K937">
        <v>25</v>
      </c>
      <c r="L937" t="s">
        <v>29</v>
      </c>
    </row>
    <row r="938" spans="1:12" x14ac:dyDescent="0.25">
      <c r="A938">
        <v>937</v>
      </c>
      <c r="B938">
        <v>74</v>
      </c>
      <c r="C938" t="s">
        <v>13</v>
      </c>
      <c r="D938" t="s">
        <v>15</v>
      </c>
      <c r="E938">
        <v>3.39</v>
      </c>
      <c r="F938">
        <v>15.59</v>
      </c>
      <c r="G938">
        <v>4.26</v>
      </c>
      <c r="H938" t="s">
        <v>21</v>
      </c>
      <c r="I938" t="s">
        <v>24</v>
      </c>
      <c r="J938" t="s">
        <v>28</v>
      </c>
      <c r="K938">
        <v>11</v>
      </c>
      <c r="L938" t="s">
        <v>29</v>
      </c>
    </row>
    <row r="939" spans="1:12" x14ac:dyDescent="0.25">
      <c r="A939">
        <v>938</v>
      </c>
      <c r="B939">
        <v>28</v>
      </c>
      <c r="C939" t="s">
        <v>12</v>
      </c>
      <c r="D939" t="s">
        <v>15</v>
      </c>
      <c r="E939">
        <v>20.04</v>
      </c>
      <c r="F939">
        <v>12.93</v>
      </c>
      <c r="G939">
        <v>2.2000000000000002</v>
      </c>
      <c r="H939" t="s">
        <v>18</v>
      </c>
      <c r="I939" t="s">
        <v>23</v>
      </c>
      <c r="J939" t="s">
        <v>25</v>
      </c>
      <c r="K939">
        <v>10</v>
      </c>
      <c r="L939" t="s">
        <v>29</v>
      </c>
    </row>
    <row r="940" spans="1:12" x14ac:dyDescent="0.25">
      <c r="A940">
        <v>939</v>
      </c>
      <c r="B940">
        <v>29</v>
      </c>
      <c r="C940" t="s">
        <v>12</v>
      </c>
      <c r="D940" t="s">
        <v>15</v>
      </c>
      <c r="E940">
        <v>12.59</v>
      </c>
      <c r="F940">
        <v>27.26</v>
      </c>
      <c r="G940">
        <v>3.6</v>
      </c>
      <c r="H940" t="s">
        <v>20</v>
      </c>
      <c r="I940" t="s">
        <v>24</v>
      </c>
      <c r="J940" t="s">
        <v>27</v>
      </c>
      <c r="K940">
        <v>10</v>
      </c>
      <c r="L940" t="s">
        <v>30</v>
      </c>
    </row>
    <row r="941" spans="1:12" x14ac:dyDescent="0.25">
      <c r="A941">
        <v>940</v>
      </c>
      <c r="B941">
        <v>27</v>
      </c>
      <c r="C941" t="s">
        <v>13</v>
      </c>
      <c r="D941" t="s">
        <v>15</v>
      </c>
      <c r="E941">
        <v>32.700000000000003</v>
      </c>
      <c r="F941">
        <v>25.44</v>
      </c>
      <c r="G941">
        <v>17.25</v>
      </c>
      <c r="H941" t="s">
        <v>18</v>
      </c>
      <c r="I941" t="s">
        <v>24</v>
      </c>
      <c r="J941" t="s">
        <v>26</v>
      </c>
      <c r="K941">
        <v>5</v>
      </c>
      <c r="L941" t="s">
        <v>30</v>
      </c>
    </row>
    <row r="942" spans="1:12" x14ac:dyDescent="0.25">
      <c r="A942">
        <v>941</v>
      </c>
      <c r="B942">
        <v>49</v>
      </c>
      <c r="C942" t="s">
        <v>13</v>
      </c>
      <c r="D942" t="s">
        <v>16</v>
      </c>
      <c r="E942">
        <v>13.34</v>
      </c>
      <c r="F942">
        <v>29.22</v>
      </c>
      <c r="G942">
        <v>11.37</v>
      </c>
      <c r="H942" t="s">
        <v>20</v>
      </c>
      <c r="I942" t="s">
        <v>23</v>
      </c>
      <c r="J942" t="s">
        <v>26</v>
      </c>
      <c r="K942">
        <v>34</v>
      </c>
      <c r="L942" t="s">
        <v>29</v>
      </c>
    </row>
    <row r="943" spans="1:12" x14ac:dyDescent="0.25">
      <c r="A943">
        <v>942</v>
      </c>
      <c r="B943">
        <v>33</v>
      </c>
      <c r="C943" t="s">
        <v>13</v>
      </c>
      <c r="D943" t="s">
        <v>14</v>
      </c>
      <c r="E943">
        <v>19.97</v>
      </c>
      <c r="F943">
        <v>6.75</v>
      </c>
      <c r="G943">
        <v>4.04</v>
      </c>
      <c r="H943" t="s">
        <v>20</v>
      </c>
      <c r="I943" t="s">
        <v>22</v>
      </c>
      <c r="J943" t="s">
        <v>26</v>
      </c>
      <c r="K943">
        <v>6</v>
      </c>
      <c r="L943" t="s">
        <v>29</v>
      </c>
    </row>
    <row r="944" spans="1:12" x14ac:dyDescent="0.25">
      <c r="A944">
        <v>943</v>
      </c>
      <c r="B944">
        <v>25</v>
      </c>
      <c r="C944" t="s">
        <v>12</v>
      </c>
      <c r="D944" t="s">
        <v>14</v>
      </c>
      <c r="E944">
        <v>10.88</v>
      </c>
      <c r="F944">
        <v>3.59</v>
      </c>
      <c r="G944">
        <v>20.77</v>
      </c>
      <c r="H944" t="s">
        <v>18</v>
      </c>
      <c r="I944" t="s">
        <v>22</v>
      </c>
      <c r="J944" t="s">
        <v>26</v>
      </c>
      <c r="K944">
        <v>4</v>
      </c>
      <c r="L944" t="s">
        <v>29</v>
      </c>
    </row>
    <row r="945" spans="1:12" x14ac:dyDescent="0.25">
      <c r="A945">
        <v>944</v>
      </c>
      <c r="B945">
        <v>55</v>
      </c>
      <c r="C945" t="s">
        <v>13</v>
      </c>
      <c r="D945" t="s">
        <v>16</v>
      </c>
      <c r="E945">
        <v>16.850000000000001</v>
      </c>
      <c r="F945">
        <v>1.75</v>
      </c>
      <c r="G945">
        <v>9.98</v>
      </c>
      <c r="H945" t="s">
        <v>18</v>
      </c>
      <c r="I945" t="s">
        <v>24</v>
      </c>
      <c r="J945" t="s">
        <v>26</v>
      </c>
      <c r="K945">
        <v>11</v>
      </c>
      <c r="L945" t="s">
        <v>29</v>
      </c>
    </row>
    <row r="946" spans="1:12" x14ac:dyDescent="0.25">
      <c r="A946">
        <v>945</v>
      </c>
      <c r="B946">
        <v>29</v>
      </c>
      <c r="C946" t="s">
        <v>12</v>
      </c>
      <c r="D946" t="s">
        <v>15</v>
      </c>
      <c r="E946">
        <v>3.41</v>
      </c>
      <c r="F946">
        <v>20.57</v>
      </c>
      <c r="G946">
        <v>17.11</v>
      </c>
      <c r="H946" t="s">
        <v>18</v>
      </c>
      <c r="I946" t="s">
        <v>23</v>
      </c>
      <c r="J946" t="s">
        <v>26</v>
      </c>
      <c r="K946">
        <v>3</v>
      </c>
      <c r="L946" t="s">
        <v>29</v>
      </c>
    </row>
    <row r="947" spans="1:12" x14ac:dyDescent="0.25">
      <c r="A947">
        <v>946</v>
      </c>
      <c r="B947">
        <v>41</v>
      </c>
      <c r="C947" t="s">
        <v>13</v>
      </c>
      <c r="D947" t="s">
        <v>15</v>
      </c>
      <c r="E947">
        <v>12.76</v>
      </c>
      <c r="F947">
        <v>1.44</v>
      </c>
      <c r="G947">
        <v>11.64</v>
      </c>
      <c r="H947" t="s">
        <v>20</v>
      </c>
      <c r="I947" t="s">
        <v>22</v>
      </c>
      <c r="J947" t="s">
        <v>25</v>
      </c>
      <c r="K947">
        <v>13</v>
      </c>
      <c r="L947" t="s">
        <v>29</v>
      </c>
    </row>
    <row r="948" spans="1:12" x14ac:dyDescent="0.25">
      <c r="A948">
        <v>947</v>
      </c>
      <c r="B948">
        <v>45</v>
      </c>
      <c r="C948" t="s">
        <v>12</v>
      </c>
      <c r="D948" t="s">
        <v>15</v>
      </c>
      <c r="E948">
        <v>9.15</v>
      </c>
      <c r="F948">
        <v>12.04</v>
      </c>
      <c r="G948">
        <v>11.06</v>
      </c>
      <c r="H948" t="s">
        <v>19</v>
      </c>
      <c r="I948" t="s">
        <v>24</v>
      </c>
      <c r="J948" t="s">
        <v>25</v>
      </c>
      <c r="K948">
        <v>31</v>
      </c>
      <c r="L948" t="s">
        <v>29</v>
      </c>
    </row>
    <row r="949" spans="1:12" x14ac:dyDescent="0.25">
      <c r="A949">
        <v>948</v>
      </c>
      <c r="B949">
        <v>70</v>
      </c>
      <c r="C949" t="s">
        <v>13</v>
      </c>
      <c r="D949" t="s">
        <v>15</v>
      </c>
      <c r="E949">
        <v>30.68</v>
      </c>
      <c r="F949">
        <v>2.44</v>
      </c>
      <c r="G949">
        <v>10.81</v>
      </c>
      <c r="H949" t="s">
        <v>19</v>
      </c>
      <c r="I949" t="s">
        <v>22</v>
      </c>
      <c r="J949" t="s">
        <v>28</v>
      </c>
      <c r="K949">
        <v>28</v>
      </c>
      <c r="L949" t="s">
        <v>29</v>
      </c>
    </row>
    <row r="950" spans="1:12" x14ac:dyDescent="0.25">
      <c r="A950">
        <v>949</v>
      </c>
      <c r="B950">
        <v>25</v>
      </c>
      <c r="C950" t="s">
        <v>13</v>
      </c>
      <c r="D950" t="s">
        <v>17</v>
      </c>
      <c r="E950">
        <v>19.149999999999999</v>
      </c>
      <c r="F950">
        <v>22.65</v>
      </c>
      <c r="G950">
        <v>6.39</v>
      </c>
      <c r="H950" t="s">
        <v>18</v>
      </c>
      <c r="I950" t="s">
        <v>23</v>
      </c>
      <c r="J950" t="s">
        <v>27</v>
      </c>
      <c r="K950">
        <v>29</v>
      </c>
      <c r="L950" t="s">
        <v>30</v>
      </c>
    </row>
    <row r="951" spans="1:12" x14ac:dyDescent="0.25">
      <c r="A951">
        <v>950</v>
      </c>
      <c r="B951">
        <v>75</v>
      </c>
      <c r="C951" t="s">
        <v>13</v>
      </c>
      <c r="D951" t="s">
        <v>17</v>
      </c>
      <c r="E951">
        <v>28.09</v>
      </c>
      <c r="F951">
        <v>14.72</v>
      </c>
      <c r="G951">
        <v>20.28</v>
      </c>
      <c r="H951" t="s">
        <v>18</v>
      </c>
      <c r="I951" t="s">
        <v>24</v>
      </c>
      <c r="J951" t="s">
        <v>26</v>
      </c>
      <c r="K951">
        <v>31</v>
      </c>
      <c r="L951" t="s">
        <v>30</v>
      </c>
    </row>
    <row r="952" spans="1:12" x14ac:dyDescent="0.25">
      <c r="A952">
        <v>951</v>
      </c>
      <c r="B952">
        <v>45</v>
      </c>
      <c r="C952" t="s">
        <v>13</v>
      </c>
      <c r="D952" t="s">
        <v>17</v>
      </c>
      <c r="E952">
        <v>34.89</v>
      </c>
      <c r="F952">
        <v>22.56</v>
      </c>
      <c r="G952">
        <v>1.62</v>
      </c>
      <c r="H952" t="s">
        <v>21</v>
      </c>
      <c r="I952" t="s">
        <v>23</v>
      </c>
      <c r="J952" t="s">
        <v>26</v>
      </c>
      <c r="K952">
        <v>35</v>
      </c>
      <c r="L952" t="s">
        <v>30</v>
      </c>
    </row>
    <row r="953" spans="1:12" x14ac:dyDescent="0.25">
      <c r="A953">
        <v>952</v>
      </c>
      <c r="B953">
        <v>53</v>
      </c>
      <c r="C953" t="s">
        <v>12</v>
      </c>
      <c r="D953" t="s">
        <v>17</v>
      </c>
      <c r="E953">
        <v>12.03</v>
      </c>
      <c r="F953">
        <v>12.23</v>
      </c>
      <c r="G953">
        <v>9.58</v>
      </c>
      <c r="H953" t="s">
        <v>21</v>
      </c>
      <c r="I953" t="s">
        <v>22</v>
      </c>
      <c r="J953" t="s">
        <v>26</v>
      </c>
      <c r="K953">
        <v>30</v>
      </c>
      <c r="L953" t="s">
        <v>30</v>
      </c>
    </row>
    <row r="954" spans="1:12" x14ac:dyDescent="0.25">
      <c r="A954">
        <v>953</v>
      </c>
      <c r="B954">
        <v>43</v>
      </c>
      <c r="C954" t="s">
        <v>13</v>
      </c>
      <c r="D954" t="s">
        <v>14</v>
      </c>
      <c r="E954">
        <v>18.63</v>
      </c>
      <c r="F954">
        <v>4.5199999999999996</v>
      </c>
      <c r="G954">
        <v>5.21</v>
      </c>
      <c r="H954" t="s">
        <v>21</v>
      </c>
      <c r="I954" t="s">
        <v>23</v>
      </c>
      <c r="J954" t="s">
        <v>26</v>
      </c>
      <c r="K954">
        <v>33</v>
      </c>
      <c r="L954" t="s">
        <v>29</v>
      </c>
    </row>
    <row r="955" spans="1:12" x14ac:dyDescent="0.25">
      <c r="A955">
        <v>954</v>
      </c>
      <c r="B955">
        <v>25</v>
      </c>
      <c r="C955" t="s">
        <v>13</v>
      </c>
      <c r="D955" t="s">
        <v>16</v>
      </c>
      <c r="E955">
        <v>7.48</v>
      </c>
      <c r="F955">
        <v>7.13</v>
      </c>
      <c r="G955">
        <v>2.56</v>
      </c>
      <c r="H955" t="s">
        <v>18</v>
      </c>
      <c r="I955" t="s">
        <v>23</v>
      </c>
      <c r="J955" t="s">
        <v>26</v>
      </c>
      <c r="K955">
        <v>21</v>
      </c>
      <c r="L955" t="s">
        <v>30</v>
      </c>
    </row>
    <row r="956" spans="1:12" x14ac:dyDescent="0.25">
      <c r="A956">
        <v>955</v>
      </c>
      <c r="B956">
        <v>75</v>
      </c>
      <c r="C956" t="s">
        <v>12</v>
      </c>
      <c r="D956" t="s">
        <v>15</v>
      </c>
      <c r="E956">
        <v>21.93</v>
      </c>
      <c r="F956">
        <v>19.18</v>
      </c>
      <c r="G956">
        <v>10.27</v>
      </c>
      <c r="H956" t="s">
        <v>19</v>
      </c>
      <c r="I956" t="s">
        <v>22</v>
      </c>
      <c r="J956" t="s">
        <v>25</v>
      </c>
      <c r="K956">
        <v>28</v>
      </c>
      <c r="L956" t="s">
        <v>29</v>
      </c>
    </row>
    <row r="957" spans="1:12" x14ac:dyDescent="0.25">
      <c r="A957">
        <v>956</v>
      </c>
      <c r="B957">
        <v>77</v>
      </c>
      <c r="C957" t="s">
        <v>13</v>
      </c>
      <c r="D957" t="s">
        <v>14</v>
      </c>
      <c r="E957">
        <v>23.98</v>
      </c>
      <c r="F957">
        <v>2.21</v>
      </c>
      <c r="G957">
        <v>10.46</v>
      </c>
      <c r="H957" t="s">
        <v>19</v>
      </c>
      <c r="I957" t="s">
        <v>23</v>
      </c>
      <c r="J957" t="s">
        <v>26</v>
      </c>
      <c r="K957">
        <v>31</v>
      </c>
      <c r="L957" t="s">
        <v>29</v>
      </c>
    </row>
    <row r="958" spans="1:12" x14ac:dyDescent="0.25">
      <c r="A958">
        <v>957</v>
      </c>
      <c r="B958">
        <v>67</v>
      </c>
      <c r="C958" t="s">
        <v>12</v>
      </c>
      <c r="D958" t="s">
        <v>14</v>
      </c>
      <c r="E958">
        <v>20.99</v>
      </c>
      <c r="F958">
        <v>6.66</v>
      </c>
      <c r="G958">
        <v>5.04</v>
      </c>
      <c r="H958" t="s">
        <v>18</v>
      </c>
      <c r="I958" t="s">
        <v>22</v>
      </c>
      <c r="J958" t="s">
        <v>25</v>
      </c>
      <c r="K958">
        <v>13</v>
      </c>
      <c r="L958" t="s">
        <v>30</v>
      </c>
    </row>
    <row r="959" spans="1:12" x14ac:dyDescent="0.25">
      <c r="A959">
        <v>958</v>
      </c>
      <c r="B959">
        <v>45</v>
      </c>
      <c r="C959" t="s">
        <v>13</v>
      </c>
      <c r="D959" t="s">
        <v>15</v>
      </c>
      <c r="E959">
        <v>12.02</v>
      </c>
      <c r="F959">
        <v>5.89</v>
      </c>
      <c r="G959">
        <v>33.83</v>
      </c>
      <c r="H959" t="s">
        <v>18</v>
      </c>
      <c r="I959" t="s">
        <v>22</v>
      </c>
      <c r="J959" t="s">
        <v>25</v>
      </c>
      <c r="K959">
        <v>34</v>
      </c>
      <c r="L959" t="s">
        <v>29</v>
      </c>
    </row>
    <row r="960" spans="1:12" x14ac:dyDescent="0.25">
      <c r="A960">
        <v>959</v>
      </c>
      <c r="B960">
        <v>45</v>
      </c>
      <c r="C960" t="s">
        <v>13</v>
      </c>
      <c r="D960" t="s">
        <v>17</v>
      </c>
      <c r="E960">
        <v>47.99</v>
      </c>
      <c r="F960">
        <v>9.6</v>
      </c>
      <c r="G960">
        <v>20.190000000000001</v>
      </c>
      <c r="H960" t="s">
        <v>20</v>
      </c>
      <c r="I960" t="s">
        <v>23</v>
      </c>
      <c r="J960" t="s">
        <v>26</v>
      </c>
      <c r="K960">
        <v>23</v>
      </c>
      <c r="L960" t="s">
        <v>29</v>
      </c>
    </row>
    <row r="961" spans="1:12" x14ac:dyDescent="0.25">
      <c r="A961">
        <v>960</v>
      </c>
      <c r="B961">
        <v>54</v>
      </c>
      <c r="C961" t="s">
        <v>13</v>
      </c>
      <c r="D961" t="s">
        <v>17</v>
      </c>
      <c r="E961">
        <v>17.489999999999998</v>
      </c>
      <c r="F961">
        <v>15.96</v>
      </c>
      <c r="G961">
        <v>13.22</v>
      </c>
      <c r="H961" t="s">
        <v>20</v>
      </c>
      <c r="I961" t="s">
        <v>23</v>
      </c>
      <c r="J961" t="s">
        <v>26</v>
      </c>
      <c r="K961">
        <v>24</v>
      </c>
      <c r="L961" t="s">
        <v>29</v>
      </c>
    </row>
    <row r="962" spans="1:12" x14ac:dyDescent="0.25">
      <c r="A962">
        <v>961</v>
      </c>
      <c r="B962">
        <v>58</v>
      </c>
      <c r="C962" t="s">
        <v>12</v>
      </c>
      <c r="D962" t="s">
        <v>14</v>
      </c>
      <c r="E962">
        <v>7.52</v>
      </c>
      <c r="F962">
        <v>22.17</v>
      </c>
      <c r="G962">
        <v>15.62</v>
      </c>
      <c r="H962" t="s">
        <v>19</v>
      </c>
      <c r="I962" t="s">
        <v>22</v>
      </c>
      <c r="J962" t="s">
        <v>27</v>
      </c>
      <c r="K962">
        <v>29</v>
      </c>
      <c r="L962" t="s">
        <v>29</v>
      </c>
    </row>
    <row r="963" spans="1:12" x14ac:dyDescent="0.25">
      <c r="A963">
        <v>962</v>
      </c>
      <c r="B963">
        <v>53</v>
      </c>
      <c r="C963" t="s">
        <v>13</v>
      </c>
      <c r="D963" t="s">
        <v>14</v>
      </c>
      <c r="E963">
        <v>25.41</v>
      </c>
      <c r="F963">
        <v>2.89</v>
      </c>
      <c r="G963">
        <v>7.97</v>
      </c>
      <c r="H963" t="s">
        <v>21</v>
      </c>
      <c r="I963" t="s">
        <v>23</v>
      </c>
      <c r="J963" t="s">
        <v>26</v>
      </c>
      <c r="K963">
        <v>10</v>
      </c>
      <c r="L963" t="s">
        <v>30</v>
      </c>
    </row>
    <row r="964" spans="1:12" x14ac:dyDescent="0.25">
      <c r="A964">
        <v>963</v>
      </c>
      <c r="B964">
        <v>44</v>
      </c>
      <c r="C964" t="s">
        <v>13</v>
      </c>
      <c r="D964" t="s">
        <v>15</v>
      </c>
      <c r="E964">
        <v>31.24</v>
      </c>
      <c r="F964">
        <v>4.8099999999999996</v>
      </c>
      <c r="G964">
        <v>9.8800000000000008</v>
      </c>
      <c r="H964" t="s">
        <v>19</v>
      </c>
      <c r="I964" t="s">
        <v>22</v>
      </c>
      <c r="J964" t="s">
        <v>26</v>
      </c>
      <c r="K964">
        <v>33</v>
      </c>
      <c r="L964" t="s">
        <v>29</v>
      </c>
    </row>
    <row r="965" spans="1:12" x14ac:dyDescent="0.25">
      <c r="A965">
        <v>964</v>
      </c>
      <c r="B965">
        <v>71</v>
      </c>
      <c r="C965" t="s">
        <v>13</v>
      </c>
      <c r="D965" t="s">
        <v>17</v>
      </c>
      <c r="E965">
        <v>7.63</v>
      </c>
      <c r="F965">
        <v>3.24</v>
      </c>
      <c r="G965">
        <v>11.46</v>
      </c>
      <c r="H965" t="s">
        <v>20</v>
      </c>
      <c r="I965" t="s">
        <v>22</v>
      </c>
      <c r="J965" t="s">
        <v>26</v>
      </c>
      <c r="K965">
        <v>3</v>
      </c>
      <c r="L965" t="s">
        <v>29</v>
      </c>
    </row>
    <row r="966" spans="1:12" x14ac:dyDescent="0.25">
      <c r="A966">
        <v>965</v>
      </c>
      <c r="B966">
        <v>34</v>
      </c>
      <c r="C966" t="s">
        <v>12</v>
      </c>
      <c r="D966" t="s">
        <v>17</v>
      </c>
      <c r="E966">
        <v>14.48</v>
      </c>
      <c r="F966">
        <v>9.9</v>
      </c>
      <c r="G966">
        <v>11.64</v>
      </c>
      <c r="H966" t="s">
        <v>19</v>
      </c>
      <c r="I966" t="s">
        <v>24</v>
      </c>
      <c r="J966" t="s">
        <v>26</v>
      </c>
      <c r="K966">
        <v>26</v>
      </c>
      <c r="L966" t="s">
        <v>30</v>
      </c>
    </row>
    <row r="967" spans="1:12" x14ac:dyDescent="0.25">
      <c r="A967">
        <v>966</v>
      </c>
      <c r="B967">
        <v>26</v>
      </c>
      <c r="C967" t="s">
        <v>12</v>
      </c>
      <c r="D967" t="s">
        <v>17</v>
      </c>
      <c r="E967">
        <v>5.53</v>
      </c>
      <c r="F967">
        <v>3.64</v>
      </c>
      <c r="G967">
        <v>18.100000000000001</v>
      </c>
      <c r="H967" t="s">
        <v>20</v>
      </c>
      <c r="I967" t="s">
        <v>22</v>
      </c>
      <c r="J967" t="s">
        <v>26</v>
      </c>
      <c r="K967">
        <v>30</v>
      </c>
      <c r="L967" t="s">
        <v>29</v>
      </c>
    </row>
    <row r="968" spans="1:12" x14ac:dyDescent="0.25">
      <c r="A968">
        <v>967</v>
      </c>
      <c r="B968">
        <v>50</v>
      </c>
      <c r="C968" t="s">
        <v>13</v>
      </c>
      <c r="D968" t="s">
        <v>15</v>
      </c>
      <c r="E968">
        <v>35.700000000000003</v>
      </c>
      <c r="F968">
        <v>13.27</v>
      </c>
      <c r="G968">
        <v>13.97</v>
      </c>
      <c r="H968" t="s">
        <v>20</v>
      </c>
      <c r="I968" t="s">
        <v>23</v>
      </c>
      <c r="J968" t="s">
        <v>27</v>
      </c>
      <c r="K968">
        <v>6</v>
      </c>
      <c r="L968" t="s">
        <v>29</v>
      </c>
    </row>
    <row r="969" spans="1:12" x14ac:dyDescent="0.25">
      <c r="A969">
        <v>968</v>
      </c>
      <c r="B969">
        <v>70</v>
      </c>
      <c r="C969" t="s">
        <v>12</v>
      </c>
      <c r="D969" t="s">
        <v>14</v>
      </c>
      <c r="E969">
        <v>16.16</v>
      </c>
      <c r="F969">
        <v>24.24</v>
      </c>
      <c r="G969">
        <v>16.12</v>
      </c>
      <c r="H969" t="s">
        <v>21</v>
      </c>
      <c r="I969" t="s">
        <v>24</v>
      </c>
      <c r="J969" t="s">
        <v>26</v>
      </c>
      <c r="K969">
        <v>20</v>
      </c>
      <c r="L969" t="s">
        <v>30</v>
      </c>
    </row>
    <row r="970" spans="1:12" x14ac:dyDescent="0.25">
      <c r="A970">
        <v>969</v>
      </c>
      <c r="B970">
        <v>37</v>
      </c>
      <c r="C970" t="s">
        <v>13</v>
      </c>
      <c r="D970" t="s">
        <v>16</v>
      </c>
      <c r="E970">
        <v>9.19</v>
      </c>
      <c r="F970">
        <v>1.83</v>
      </c>
      <c r="G970">
        <v>7.69</v>
      </c>
      <c r="H970" t="s">
        <v>21</v>
      </c>
      <c r="I970" t="s">
        <v>24</v>
      </c>
      <c r="J970" t="s">
        <v>26</v>
      </c>
      <c r="K970">
        <v>31</v>
      </c>
      <c r="L970" t="s">
        <v>29</v>
      </c>
    </row>
    <row r="971" spans="1:12" x14ac:dyDescent="0.25">
      <c r="A971">
        <v>970</v>
      </c>
      <c r="B971">
        <v>30</v>
      </c>
      <c r="C971" t="s">
        <v>13</v>
      </c>
      <c r="D971" t="s">
        <v>14</v>
      </c>
      <c r="E971">
        <v>31.48</v>
      </c>
      <c r="F971">
        <v>4.96</v>
      </c>
      <c r="G971">
        <v>9.5399999999999991</v>
      </c>
      <c r="H971" t="s">
        <v>20</v>
      </c>
      <c r="I971" t="s">
        <v>22</v>
      </c>
      <c r="J971" t="s">
        <v>26</v>
      </c>
      <c r="K971">
        <v>25</v>
      </c>
      <c r="L971" t="s">
        <v>30</v>
      </c>
    </row>
    <row r="972" spans="1:12" x14ac:dyDescent="0.25">
      <c r="A972">
        <v>971</v>
      </c>
      <c r="B972">
        <v>45</v>
      </c>
      <c r="C972" t="s">
        <v>13</v>
      </c>
      <c r="D972" t="s">
        <v>14</v>
      </c>
      <c r="E972">
        <v>17.18</v>
      </c>
      <c r="F972">
        <v>29.43</v>
      </c>
      <c r="G972">
        <v>9.7899999999999991</v>
      </c>
      <c r="H972" t="s">
        <v>18</v>
      </c>
      <c r="I972" t="s">
        <v>24</v>
      </c>
      <c r="J972" t="s">
        <v>25</v>
      </c>
      <c r="K972">
        <v>29</v>
      </c>
      <c r="L972" t="s">
        <v>29</v>
      </c>
    </row>
    <row r="973" spans="1:12" x14ac:dyDescent="0.25">
      <c r="A973">
        <v>972</v>
      </c>
      <c r="B973">
        <v>65</v>
      </c>
      <c r="C973" t="s">
        <v>13</v>
      </c>
      <c r="D973" t="s">
        <v>16</v>
      </c>
      <c r="E973">
        <v>28.88</v>
      </c>
      <c r="F973">
        <v>11.79</v>
      </c>
      <c r="G973">
        <v>6.65</v>
      </c>
      <c r="H973" t="s">
        <v>21</v>
      </c>
      <c r="I973" t="s">
        <v>22</v>
      </c>
      <c r="J973" t="s">
        <v>26</v>
      </c>
      <c r="K973">
        <v>18</v>
      </c>
      <c r="L973" t="s">
        <v>29</v>
      </c>
    </row>
    <row r="974" spans="1:12" x14ac:dyDescent="0.25">
      <c r="A974">
        <v>973</v>
      </c>
      <c r="B974">
        <v>46</v>
      </c>
      <c r="C974" t="s">
        <v>13</v>
      </c>
      <c r="D974" t="s">
        <v>17</v>
      </c>
      <c r="E974">
        <v>22.82</v>
      </c>
      <c r="F974">
        <v>6.75</v>
      </c>
      <c r="G974">
        <v>1.76</v>
      </c>
      <c r="H974" t="s">
        <v>20</v>
      </c>
      <c r="I974" t="s">
        <v>22</v>
      </c>
      <c r="J974" t="s">
        <v>26</v>
      </c>
      <c r="K974">
        <v>29</v>
      </c>
      <c r="L974" t="s">
        <v>29</v>
      </c>
    </row>
    <row r="975" spans="1:12" x14ac:dyDescent="0.25">
      <c r="A975">
        <v>974</v>
      </c>
      <c r="B975">
        <v>30</v>
      </c>
      <c r="C975" t="s">
        <v>13</v>
      </c>
      <c r="D975" t="s">
        <v>16</v>
      </c>
      <c r="E975">
        <v>8.27</v>
      </c>
      <c r="F975">
        <v>50.42</v>
      </c>
      <c r="G975">
        <v>1.31</v>
      </c>
      <c r="H975" t="s">
        <v>18</v>
      </c>
      <c r="I975" t="s">
        <v>23</v>
      </c>
      <c r="J975" t="s">
        <v>25</v>
      </c>
      <c r="K975">
        <v>11</v>
      </c>
      <c r="L975" t="s">
        <v>29</v>
      </c>
    </row>
    <row r="976" spans="1:12" x14ac:dyDescent="0.25">
      <c r="A976">
        <v>975</v>
      </c>
      <c r="B976">
        <v>63</v>
      </c>
      <c r="C976" t="s">
        <v>13</v>
      </c>
      <c r="D976" t="s">
        <v>15</v>
      </c>
      <c r="E976">
        <v>11.73</v>
      </c>
      <c r="F976">
        <v>8.18</v>
      </c>
      <c r="G976">
        <v>3.61</v>
      </c>
      <c r="H976" t="s">
        <v>18</v>
      </c>
      <c r="I976" t="s">
        <v>22</v>
      </c>
      <c r="J976" t="s">
        <v>26</v>
      </c>
      <c r="K976">
        <v>7</v>
      </c>
      <c r="L976" t="s">
        <v>29</v>
      </c>
    </row>
    <row r="977" spans="1:12" x14ac:dyDescent="0.25">
      <c r="A977">
        <v>976</v>
      </c>
      <c r="B977">
        <v>52</v>
      </c>
      <c r="C977" t="s">
        <v>12</v>
      </c>
      <c r="D977" t="s">
        <v>16</v>
      </c>
      <c r="E977">
        <v>9.3800000000000008</v>
      </c>
      <c r="F977">
        <v>15.52</v>
      </c>
      <c r="G977">
        <v>4.1500000000000004</v>
      </c>
      <c r="H977" t="s">
        <v>19</v>
      </c>
      <c r="I977" t="s">
        <v>23</v>
      </c>
      <c r="J977" t="s">
        <v>26</v>
      </c>
      <c r="K977">
        <v>10</v>
      </c>
      <c r="L977" t="s">
        <v>30</v>
      </c>
    </row>
    <row r="978" spans="1:12" x14ac:dyDescent="0.25">
      <c r="A978">
        <v>977</v>
      </c>
      <c r="B978">
        <v>78</v>
      </c>
      <c r="C978" t="s">
        <v>12</v>
      </c>
      <c r="D978" t="s">
        <v>15</v>
      </c>
      <c r="E978">
        <v>7.12</v>
      </c>
      <c r="F978">
        <v>5.16</v>
      </c>
      <c r="G978">
        <v>5.38</v>
      </c>
      <c r="H978" t="s">
        <v>19</v>
      </c>
      <c r="I978" t="s">
        <v>23</v>
      </c>
      <c r="J978" t="s">
        <v>26</v>
      </c>
      <c r="K978">
        <v>20</v>
      </c>
      <c r="L978" t="s">
        <v>29</v>
      </c>
    </row>
    <row r="979" spans="1:12" x14ac:dyDescent="0.25">
      <c r="A979">
        <v>978</v>
      </c>
      <c r="B979">
        <v>23</v>
      </c>
      <c r="C979" t="s">
        <v>12</v>
      </c>
      <c r="D979" t="s">
        <v>16</v>
      </c>
      <c r="E979">
        <v>4.37</v>
      </c>
      <c r="F979">
        <v>4.37</v>
      </c>
      <c r="G979">
        <v>9.82</v>
      </c>
      <c r="H979" t="s">
        <v>21</v>
      </c>
      <c r="I979" t="s">
        <v>23</v>
      </c>
      <c r="J979" t="s">
        <v>25</v>
      </c>
      <c r="K979">
        <v>8</v>
      </c>
      <c r="L979" t="s">
        <v>29</v>
      </c>
    </row>
    <row r="980" spans="1:12" x14ac:dyDescent="0.25">
      <c r="A980">
        <v>979</v>
      </c>
      <c r="B980">
        <v>35</v>
      </c>
      <c r="C980" t="s">
        <v>12</v>
      </c>
      <c r="D980" t="s">
        <v>15</v>
      </c>
      <c r="E980">
        <v>53.73</v>
      </c>
      <c r="F980">
        <v>16.18</v>
      </c>
      <c r="G980">
        <v>19.88</v>
      </c>
      <c r="H980" t="s">
        <v>18</v>
      </c>
      <c r="I980" t="s">
        <v>23</v>
      </c>
      <c r="J980" t="s">
        <v>28</v>
      </c>
      <c r="K980">
        <v>25</v>
      </c>
      <c r="L980" t="s">
        <v>29</v>
      </c>
    </row>
    <row r="981" spans="1:12" x14ac:dyDescent="0.25">
      <c r="A981">
        <v>980</v>
      </c>
      <c r="B981">
        <v>68</v>
      </c>
      <c r="C981" t="s">
        <v>12</v>
      </c>
      <c r="D981" t="s">
        <v>15</v>
      </c>
      <c r="E981">
        <v>20.74</v>
      </c>
      <c r="F981">
        <v>31.22</v>
      </c>
      <c r="G981">
        <v>2.4500000000000002</v>
      </c>
      <c r="H981" t="s">
        <v>21</v>
      </c>
      <c r="I981" t="s">
        <v>23</v>
      </c>
      <c r="J981" t="s">
        <v>26</v>
      </c>
      <c r="K981">
        <v>28</v>
      </c>
      <c r="L981" t="s">
        <v>29</v>
      </c>
    </row>
    <row r="982" spans="1:12" x14ac:dyDescent="0.25">
      <c r="A982">
        <v>981</v>
      </c>
      <c r="B982">
        <v>22</v>
      </c>
      <c r="C982" t="s">
        <v>12</v>
      </c>
      <c r="D982" t="s">
        <v>15</v>
      </c>
      <c r="E982">
        <v>22.73</v>
      </c>
      <c r="F982">
        <v>7</v>
      </c>
      <c r="G982">
        <v>7.06</v>
      </c>
      <c r="H982" t="s">
        <v>20</v>
      </c>
      <c r="I982" t="s">
        <v>22</v>
      </c>
      <c r="J982" t="s">
        <v>26</v>
      </c>
      <c r="K982">
        <v>26</v>
      </c>
      <c r="L982" t="s">
        <v>29</v>
      </c>
    </row>
    <row r="983" spans="1:12" x14ac:dyDescent="0.25">
      <c r="A983">
        <v>982</v>
      </c>
      <c r="B983">
        <v>64</v>
      </c>
      <c r="C983" t="s">
        <v>12</v>
      </c>
      <c r="D983" t="s">
        <v>15</v>
      </c>
      <c r="E983">
        <v>33.64</v>
      </c>
      <c r="F983">
        <v>4.08</v>
      </c>
      <c r="G983">
        <v>14</v>
      </c>
      <c r="H983" t="s">
        <v>21</v>
      </c>
      <c r="I983" t="s">
        <v>23</v>
      </c>
      <c r="J983" t="s">
        <v>26</v>
      </c>
      <c r="K983">
        <v>12</v>
      </c>
      <c r="L983" t="s">
        <v>30</v>
      </c>
    </row>
    <row r="984" spans="1:12" x14ac:dyDescent="0.25">
      <c r="A984">
        <v>983</v>
      </c>
      <c r="B984">
        <v>42</v>
      </c>
      <c r="C984" t="s">
        <v>13</v>
      </c>
      <c r="D984" t="s">
        <v>16</v>
      </c>
      <c r="E984">
        <v>11.65</v>
      </c>
      <c r="F984">
        <v>20.329999999999998</v>
      </c>
      <c r="G984">
        <v>15.55</v>
      </c>
      <c r="H984" t="s">
        <v>18</v>
      </c>
      <c r="I984" t="s">
        <v>24</v>
      </c>
      <c r="J984" t="s">
        <v>25</v>
      </c>
      <c r="K984">
        <v>17</v>
      </c>
      <c r="L984" t="s">
        <v>29</v>
      </c>
    </row>
    <row r="985" spans="1:12" x14ac:dyDescent="0.25">
      <c r="A985">
        <v>984</v>
      </c>
      <c r="B985">
        <v>19</v>
      </c>
      <c r="C985" t="s">
        <v>13</v>
      </c>
      <c r="D985" t="s">
        <v>16</v>
      </c>
      <c r="E985">
        <v>5.88</v>
      </c>
      <c r="F985">
        <v>7.06</v>
      </c>
      <c r="G985">
        <v>12.48</v>
      </c>
      <c r="H985" t="s">
        <v>19</v>
      </c>
      <c r="I985" t="s">
        <v>23</v>
      </c>
      <c r="J985" t="s">
        <v>25</v>
      </c>
      <c r="K985">
        <v>22</v>
      </c>
      <c r="L985" t="s">
        <v>29</v>
      </c>
    </row>
    <row r="986" spans="1:12" x14ac:dyDescent="0.25">
      <c r="A986">
        <v>985</v>
      </c>
      <c r="B986">
        <v>27</v>
      </c>
      <c r="C986" t="s">
        <v>13</v>
      </c>
      <c r="D986" t="s">
        <v>17</v>
      </c>
      <c r="E986">
        <v>27.34</v>
      </c>
      <c r="F986">
        <v>13.41</v>
      </c>
      <c r="G986">
        <v>8.9</v>
      </c>
      <c r="H986" t="s">
        <v>21</v>
      </c>
      <c r="I986" t="s">
        <v>23</v>
      </c>
      <c r="J986" t="s">
        <v>25</v>
      </c>
      <c r="K986">
        <v>31</v>
      </c>
      <c r="L986" t="s">
        <v>29</v>
      </c>
    </row>
    <row r="987" spans="1:12" x14ac:dyDescent="0.25">
      <c r="A987">
        <v>986</v>
      </c>
      <c r="B987">
        <v>73</v>
      </c>
      <c r="C987" t="s">
        <v>13</v>
      </c>
      <c r="D987" t="s">
        <v>15</v>
      </c>
      <c r="E987">
        <v>6.7</v>
      </c>
      <c r="F987">
        <v>6.83</v>
      </c>
      <c r="G987">
        <v>13.7</v>
      </c>
      <c r="H987" t="s">
        <v>19</v>
      </c>
      <c r="I987" t="s">
        <v>23</v>
      </c>
      <c r="J987" t="s">
        <v>25</v>
      </c>
      <c r="K987">
        <v>8</v>
      </c>
      <c r="L987" t="s">
        <v>29</v>
      </c>
    </row>
    <row r="988" spans="1:12" x14ac:dyDescent="0.25">
      <c r="A988">
        <v>987</v>
      </c>
      <c r="B988">
        <v>47</v>
      </c>
      <c r="C988" t="s">
        <v>12</v>
      </c>
      <c r="D988" t="s">
        <v>15</v>
      </c>
      <c r="E988">
        <v>26.93</v>
      </c>
      <c r="F988">
        <v>7.81</v>
      </c>
      <c r="G988">
        <v>2.8</v>
      </c>
      <c r="H988" t="s">
        <v>21</v>
      </c>
      <c r="I988" t="s">
        <v>23</v>
      </c>
      <c r="J988" t="s">
        <v>27</v>
      </c>
      <c r="K988">
        <v>11</v>
      </c>
      <c r="L988" t="s">
        <v>29</v>
      </c>
    </row>
    <row r="989" spans="1:12" x14ac:dyDescent="0.25">
      <c r="A989">
        <v>988</v>
      </c>
      <c r="B989">
        <v>67</v>
      </c>
      <c r="C989" t="s">
        <v>12</v>
      </c>
      <c r="D989" t="s">
        <v>15</v>
      </c>
      <c r="E989">
        <v>5.14</v>
      </c>
      <c r="F989">
        <v>4.79</v>
      </c>
      <c r="G989">
        <v>13.44</v>
      </c>
      <c r="H989" t="s">
        <v>20</v>
      </c>
      <c r="I989" t="s">
        <v>23</v>
      </c>
      <c r="J989" t="s">
        <v>27</v>
      </c>
      <c r="K989">
        <v>7</v>
      </c>
      <c r="L989" t="s">
        <v>29</v>
      </c>
    </row>
    <row r="990" spans="1:12" x14ac:dyDescent="0.25">
      <c r="A990">
        <v>989</v>
      </c>
      <c r="B990">
        <v>76</v>
      </c>
      <c r="C990" t="s">
        <v>13</v>
      </c>
      <c r="D990" t="s">
        <v>15</v>
      </c>
      <c r="E990">
        <v>6.31</v>
      </c>
      <c r="F990">
        <v>16.48</v>
      </c>
      <c r="G990">
        <v>16.489999999999998</v>
      </c>
      <c r="H990" t="s">
        <v>18</v>
      </c>
      <c r="I990" t="s">
        <v>22</v>
      </c>
      <c r="J990" t="s">
        <v>25</v>
      </c>
      <c r="K990">
        <v>21</v>
      </c>
      <c r="L990" t="s">
        <v>29</v>
      </c>
    </row>
    <row r="991" spans="1:12" x14ac:dyDescent="0.25">
      <c r="A991">
        <v>990</v>
      </c>
      <c r="B991">
        <v>62</v>
      </c>
      <c r="C991" t="s">
        <v>13</v>
      </c>
      <c r="D991" t="s">
        <v>14</v>
      </c>
      <c r="E991">
        <v>10.83</v>
      </c>
      <c r="F991">
        <v>13.7</v>
      </c>
      <c r="G991">
        <v>13.83</v>
      </c>
      <c r="H991" t="s">
        <v>21</v>
      </c>
      <c r="I991" t="s">
        <v>22</v>
      </c>
      <c r="J991" t="s">
        <v>26</v>
      </c>
      <c r="K991">
        <v>7</v>
      </c>
      <c r="L991" t="s">
        <v>29</v>
      </c>
    </row>
    <row r="992" spans="1:12" x14ac:dyDescent="0.25">
      <c r="A992">
        <v>991</v>
      </c>
      <c r="B992">
        <v>22</v>
      </c>
      <c r="C992" t="s">
        <v>12</v>
      </c>
      <c r="D992" t="s">
        <v>15</v>
      </c>
      <c r="E992">
        <v>26.31</v>
      </c>
      <c r="F992">
        <v>13.35</v>
      </c>
      <c r="G992">
        <v>8.15</v>
      </c>
      <c r="H992" t="s">
        <v>20</v>
      </c>
      <c r="I992" t="s">
        <v>23</v>
      </c>
      <c r="J992" t="s">
        <v>26</v>
      </c>
      <c r="K992">
        <v>22</v>
      </c>
      <c r="L992" t="s">
        <v>29</v>
      </c>
    </row>
    <row r="993" spans="1:12" x14ac:dyDescent="0.25">
      <c r="A993">
        <v>992</v>
      </c>
      <c r="B993">
        <v>72</v>
      </c>
      <c r="C993" t="s">
        <v>13</v>
      </c>
      <c r="D993" t="s">
        <v>17</v>
      </c>
      <c r="E993">
        <v>44.24</v>
      </c>
      <c r="F993">
        <v>5.64</v>
      </c>
      <c r="G993">
        <v>8.17</v>
      </c>
      <c r="H993" t="s">
        <v>20</v>
      </c>
      <c r="I993" t="s">
        <v>23</v>
      </c>
      <c r="J993" t="s">
        <v>26</v>
      </c>
      <c r="K993">
        <v>13</v>
      </c>
      <c r="L993" t="s">
        <v>30</v>
      </c>
    </row>
    <row r="994" spans="1:12" x14ac:dyDescent="0.25">
      <c r="A994">
        <v>993</v>
      </c>
      <c r="B994">
        <v>73</v>
      </c>
      <c r="C994" t="s">
        <v>13</v>
      </c>
      <c r="D994" t="s">
        <v>15</v>
      </c>
      <c r="E994">
        <v>22.71</v>
      </c>
      <c r="F994">
        <v>12.84</v>
      </c>
      <c r="G994">
        <v>3.31</v>
      </c>
      <c r="H994" t="s">
        <v>20</v>
      </c>
      <c r="I994" t="s">
        <v>23</v>
      </c>
      <c r="J994" t="s">
        <v>26</v>
      </c>
      <c r="K994">
        <v>29</v>
      </c>
      <c r="L994" t="s">
        <v>29</v>
      </c>
    </row>
    <row r="995" spans="1:12" x14ac:dyDescent="0.25">
      <c r="A995">
        <v>994</v>
      </c>
      <c r="B995">
        <v>50</v>
      </c>
      <c r="C995" t="s">
        <v>13</v>
      </c>
      <c r="D995" t="s">
        <v>15</v>
      </c>
      <c r="E995">
        <v>11.14</v>
      </c>
      <c r="F995">
        <v>34.04</v>
      </c>
      <c r="G995">
        <v>8.6999999999999993</v>
      </c>
      <c r="H995" t="s">
        <v>19</v>
      </c>
      <c r="I995" t="s">
        <v>24</v>
      </c>
      <c r="J995" t="s">
        <v>25</v>
      </c>
      <c r="K995">
        <v>31</v>
      </c>
      <c r="L995" t="s">
        <v>29</v>
      </c>
    </row>
    <row r="996" spans="1:12" x14ac:dyDescent="0.25">
      <c r="A996">
        <v>995</v>
      </c>
      <c r="B996">
        <v>71</v>
      </c>
      <c r="C996" t="s">
        <v>13</v>
      </c>
      <c r="D996" t="s">
        <v>17</v>
      </c>
      <c r="E996">
        <v>30.42</v>
      </c>
      <c r="F996">
        <v>4.0999999999999996</v>
      </c>
      <c r="G996">
        <v>11.71</v>
      </c>
      <c r="H996" t="s">
        <v>19</v>
      </c>
      <c r="I996" t="s">
        <v>22</v>
      </c>
      <c r="J996" t="s">
        <v>26</v>
      </c>
      <c r="K996">
        <v>9</v>
      </c>
      <c r="L996" t="s">
        <v>29</v>
      </c>
    </row>
    <row r="997" spans="1:12" x14ac:dyDescent="0.25">
      <c r="A997">
        <v>996</v>
      </c>
      <c r="B997">
        <v>18</v>
      </c>
      <c r="C997" t="s">
        <v>12</v>
      </c>
      <c r="D997" t="s">
        <v>16</v>
      </c>
      <c r="E997">
        <v>5.01</v>
      </c>
      <c r="F997">
        <v>5.19</v>
      </c>
      <c r="G997">
        <v>12.8</v>
      </c>
      <c r="H997" t="s">
        <v>20</v>
      </c>
      <c r="I997" t="s">
        <v>23</v>
      </c>
      <c r="J997" t="s">
        <v>25</v>
      </c>
      <c r="K997">
        <v>5</v>
      </c>
      <c r="L997" t="s">
        <v>30</v>
      </c>
    </row>
    <row r="998" spans="1:12" x14ac:dyDescent="0.25">
      <c r="A998">
        <v>997</v>
      </c>
      <c r="B998">
        <v>35</v>
      </c>
      <c r="C998" t="s">
        <v>13</v>
      </c>
      <c r="D998" t="s">
        <v>15</v>
      </c>
      <c r="E998">
        <v>8.61</v>
      </c>
      <c r="F998">
        <v>5.45</v>
      </c>
      <c r="G998">
        <v>10.54</v>
      </c>
      <c r="H998" t="s">
        <v>20</v>
      </c>
      <c r="I998" t="s">
        <v>23</v>
      </c>
      <c r="J998" t="s">
        <v>26</v>
      </c>
      <c r="K998">
        <v>7</v>
      </c>
      <c r="L998" t="s">
        <v>29</v>
      </c>
    </row>
    <row r="999" spans="1:12" x14ac:dyDescent="0.25">
      <c r="A999">
        <v>998</v>
      </c>
      <c r="B999">
        <v>49</v>
      </c>
      <c r="C999" t="s">
        <v>13</v>
      </c>
      <c r="D999" t="s">
        <v>15</v>
      </c>
      <c r="E999">
        <v>18.29</v>
      </c>
      <c r="F999">
        <v>11.04</v>
      </c>
      <c r="G999">
        <v>0.21</v>
      </c>
      <c r="H999" t="s">
        <v>21</v>
      </c>
      <c r="I999" t="s">
        <v>24</v>
      </c>
      <c r="J999" t="s">
        <v>25</v>
      </c>
      <c r="K999">
        <v>15</v>
      </c>
      <c r="L999" t="s">
        <v>29</v>
      </c>
    </row>
    <row r="1000" spans="1:12" x14ac:dyDescent="0.25">
      <c r="A1000">
        <v>999</v>
      </c>
      <c r="B1000">
        <v>64</v>
      </c>
      <c r="C1000" t="s">
        <v>12</v>
      </c>
      <c r="D1000" t="s">
        <v>17</v>
      </c>
      <c r="E1000">
        <v>27.89</v>
      </c>
      <c r="F1000">
        <v>3.82</v>
      </c>
      <c r="G1000">
        <v>5.31</v>
      </c>
      <c r="H1000" t="s">
        <v>21</v>
      </c>
      <c r="I1000" t="s">
        <v>23</v>
      </c>
      <c r="J1000" t="s">
        <v>26</v>
      </c>
      <c r="K1000">
        <v>18</v>
      </c>
      <c r="L1000" t="s">
        <v>29</v>
      </c>
    </row>
    <row r="1001" spans="1:12" x14ac:dyDescent="0.25">
      <c r="A1001">
        <v>1000</v>
      </c>
      <c r="B1001">
        <v>66</v>
      </c>
      <c r="C1001" t="s">
        <v>12</v>
      </c>
      <c r="D1001" t="s">
        <v>15</v>
      </c>
      <c r="E1001">
        <v>14.99</v>
      </c>
      <c r="F1001">
        <v>14.74</v>
      </c>
      <c r="G1001">
        <v>13.28</v>
      </c>
      <c r="H1001" t="s">
        <v>18</v>
      </c>
      <c r="I1001" t="s">
        <v>22</v>
      </c>
      <c r="J1001" t="s">
        <v>26</v>
      </c>
      <c r="K1001">
        <v>14</v>
      </c>
      <c r="L1001" t="s">
        <v>29</v>
      </c>
    </row>
    <row r="1002" spans="1:12" x14ac:dyDescent="0.25">
      <c r="A1002">
        <v>1001</v>
      </c>
      <c r="B1002">
        <v>28</v>
      </c>
      <c r="C1002" t="s">
        <v>13</v>
      </c>
      <c r="D1002" t="s">
        <v>15</v>
      </c>
      <c r="E1002">
        <v>13.91</v>
      </c>
      <c r="F1002">
        <v>1.6</v>
      </c>
      <c r="G1002">
        <v>18.2</v>
      </c>
      <c r="H1002" t="s">
        <v>21</v>
      </c>
      <c r="I1002" t="s">
        <v>23</v>
      </c>
      <c r="J1002" t="s">
        <v>26</v>
      </c>
      <c r="K1002">
        <v>29</v>
      </c>
      <c r="L1002" t="s">
        <v>29</v>
      </c>
    </row>
    <row r="1003" spans="1:12" x14ac:dyDescent="0.25">
      <c r="A1003">
        <v>1002</v>
      </c>
      <c r="B1003">
        <v>38</v>
      </c>
      <c r="C1003" t="s">
        <v>12</v>
      </c>
      <c r="D1003" t="s">
        <v>14</v>
      </c>
      <c r="E1003">
        <v>14.48</v>
      </c>
      <c r="F1003">
        <v>17.91</v>
      </c>
      <c r="G1003">
        <v>6.12</v>
      </c>
      <c r="H1003" t="s">
        <v>18</v>
      </c>
      <c r="I1003" t="s">
        <v>22</v>
      </c>
      <c r="J1003" t="s">
        <v>27</v>
      </c>
      <c r="K1003">
        <v>35</v>
      </c>
      <c r="L1003" t="s">
        <v>29</v>
      </c>
    </row>
    <row r="1004" spans="1:12" x14ac:dyDescent="0.25">
      <c r="A1004">
        <v>1003</v>
      </c>
      <c r="B1004">
        <v>43</v>
      </c>
      <c r="C1004" t="s">
        <v>13</v>
      </c>
      <c r="D1004" t="s">
        <v>16</v>
      </c>
      <c r="E1004">
        <v>33.450000000000003</v>
      </c>
      <c r="F1004">
        <v>13.17</v>
      </c>
      <c r="G1004">
        <v>25.5</v>
      </c>
      <c r="H1004" t="s">
        <v>18</v>
      </c>
      <c r="I1004" t="s">
        <v>24</v>
      </c>
      <c r="J1004" t="s">
        <v>26</v>
      </c>
      <c r="K1004">
        <v>17</v>
      </c>
      <c r="L1004" t="s">
        <v>30</v>
      </c>
    </row>
    <row r="1005" spans="1:12" x14ac:dyDescent="0.25">
      <c r="A1005">
        <v>1004</v>
      </c>
      <c r="B1005">
        <v>42</v>
      </c>
      <c r="C1005" t="s">
        <v>13</v>
      </c>
      <c r="D1005" t="s">
        <v>17</v>
      </c>
      <c r="E1005">
        <v>9.84</v>
      </c>
      <c r="F1005">
        <v>33.520000000000003</v>
      </c>
      <c r="G1005">
        <v>8.16</v>
      </c>
      <c r="H1005" t="s">
        <v>18</v>
      </c>
      <c r="I1005" t="s">
        <v>24</v>
      </c>
      <c r="J1005" t="s">
        <v>26</v>
      </c>
      <c r="K1005">
        <v>23</v>
      </c>
      <c r="L1005" t="s">
        <v>30</v>
      </c>
    </row>
    <row r="1006" spans="1:12" x14ac:dyDescent="0.25">
      <c r="A1006">
        <v>1005</v>
      </c>
      <c r="B1006">
        <v>39</v>
      </c>
      <c r="C1006" t="s">
        <v>12</v>
      </c>
      <c r="D1006" t="s">
        <v>17</v>
      </c>
      <c r="E1006">
        <v>8.17</v>
      </c>
      <c r="F1006">
        <v>4.29</v>
      </c>
      <c r="G1006">
        <v>8.6999999999999993</v>
      </c>
      <c r="H1006" t="s">
        <v>19</v>
      </c>
      <c r="I1006" t="s">
        <v>22</v>
      </c>
      <c r="J1006" t="s">
        <v>26</v>
      </c>
      <c r="K1006">
        <v>19</v>
      </c>
      <c r="L1006" t="s">
        <v>29</v>
      </c>
    </row>
    <row r="1007" spans="1:12" x14ac:dyDescent="0.25">
      <c r="A1007">
        <v>1006</v>
      </c>
      <c r="B1007">
        <v>76</v>
      </c>
      <c r="C1007" t="s">
        <v>13</v>
      </c>
      <c r="D1007" t="s">
        <v>17</v>
      </c>
      <c r="E1007">
        <v>14.32</v>
      </c>
      <c r="F1007">
        <v>20.89</v>
      </c>
      <c r="G1007">
        <v>4.43</v>
      </c>
      <c r="H1007" t="s">
        <v>21</v>
      </c>
      <c r="I1007" t="s">
        <v>23</v>
      </c>
      <c r="J1007" t="s">
        <v>25</v>
      </c>
      <c r="K1007">
        <v>17</v>
      </c>
      <c r="L1007" t="s">
        <v>29</v>
      </c>
    </row>
    <row r="1008" spans="1:12" x14ac:dyDescent="0.25">
      <c r="A1008">
        <v>1007</v>
      </c>
      <c r="B1008">
        <v>44</v>
      </c>
      <c r="C1008" t="s">
        <v>13</v>
      </c>
      <c r="D1008" t="s">
        <v>17</v>
      </c>
      <c r="E1008">
        <v>36.299999999999997</v>
      </c>
      <c r="F1008">
        <v>9.35</v>
      </c>
      <c r="G1008">
        <v>6.34</v>
      </c>
      <c r="H1008" t="s">
        <v>20</v>
      </c>
      <c r="I1008" t="s">
        <v>22</v>
      </c>
      <c r="J1008" t="s">
        <v>26</v>
      </c>
      <c r="K1008">
        <v>22</v>
      </c>
      <c r="L1008" t="s">
        <v>29</v>
      </c>
    </row>
    <row r="1009" spans="1:12" x14ac:dyDescent="0.25">
      <c r="A1009">
        <v>1008</v>
      </c>
      <c r="B1009">
        <v>66</v>
      </c>
      <c r="C1009" t="s">
        <v>13</v>
      </c>
      <c r="D1009" t="s">
        <v>16</v>
      </c>
      <c r="E1009">
        <v>10.69</v>
      </c>
      <c r="F1009">
        <v>7.95</v>
      </c>
      <c r="G1009">
        <v>2.1</v>
      </c>
      <c r="H1009" t="s">
        <v>18</v>
      </c>
      <c r="I1009" t="s">
        <v>23</v>
      </c>
      <c r="J1009" t="s">
        <v>28</v>
      </c>
      <c r="K1009">
        <v>21</v>
      </c>
      <c r="L1009" t="s">
        <v>29</v>
      </c>
    </row>
    <row r="1010" spans="1:12" x14ac:dyDescent="0.25">
      <c r="A1010">
        <v>1009</v>
      </c>
      <c r="B1010">
        <v>30</v>
      </c>
      <c r="C1010" t="s">
        <v>13</v>
      </c>
      <c r="D1010" t="s">
        <v>16</v>
      </c>
      <c r="E1010">
        <v>14.45</v>
      </c>
      <c r="F1010">
        <v>4.09</v>
      </c>
      <c r="G1010">
        <v>7.45</v>
      </c>
      <c r="H1010" t="s">
        <v>20</v>
      </c>
      <c r="I1010" t="s">
        <v>24</v>
      </c>
      <c r="J1010" t="s">
        <v>26</v>
      </c>
      <c r="K1010">
        <v>3</v>
      </c>
      <c r="L1010" t="s">
        <v>30</v>
      </c>
    </row>
    <row r="1011" spans="1:12" x14ac:dyDescent="0.25">
      <c r="A1011">
        <v>1010</v>
      </c>
      <c r="B1011">
        <v>50</v>
      </c>
      <c r="C1011" t="s">
        <v>12</v>
      </c>
      <c r="D1011" t="s">
        <v>15</v>
      </c>
      <c r="E1011">
        <v>4.9400000000000004</v>
      </c>
      <c r="F1011">
        <v>6.91</v>
      </c>
      <c r="G1011">
        <v>27.26</v>
      </c>
      <c r="H1011" t="s">
        <v>18</v>
      </c>
      <c r="I1011" t="s">
        <v>22</v>
      </c>
      <c r="J1011" t="s">
        <v>26</v>
      </c>
      <c r="K1011">
        <v>6</v>
      </c>
      <c r="L1011" t="s">
        <v>29</v>
      </c>
    </row>
    <row r="1012" spans="1:12" x14ac:dyDescent="0.25">
      <c r="A1012">
        <v>1011</v>
      </c>
      <c r="B1012">
        <v>51</v>
      </c>
      <c r="C1012" t="s">
        <v>12</v>
      </c>
      <c r="D1012" t="s">
        <v>17</v>
      </c>
      <c r="E1012">
        <v>14.86</v>
      </c>
      <c r="F1012">
        <v>7.17</v>
      </c>
      <c r="G1012">
        <v>10.15</v>
      </c>
      <c r="H1012" t="s">
        <v>21</v>
      </c>
      <c r="I1012" t="s">
        <v>23</v>
      </c>
      <c r="J1012" t="s">
        <v>25</v>
      </c>
      <c r="K1012">
        <v>5</v>
      </c>
      <c r="L1012" t="s">
        <v>30</v>
      </c>
    </row>
    <row r="1013" spans="1:12" x14ac:dyDescent="0.25">
      <c r="A1013">
        <v>1012</v>
      </c>
      <c r="B1013">
        <v>58</v>
      </c>
      <c r="C1013" t="s">
        <v>13</v>
      </c>
      <c r="D1013" t="s">
        <v>17</v>
      </c>
      <c r="E1013">
        <v>20.100000000000001</v>
      </c>
      <c r="F1013">
        <v>2.46</v>
      </c>
      <c r="G1013">
        <v>2.78</v>
      </c>
      <c r="H1013" t="s">
        <v>18</v>
      </c>
      <c r="I1013" t="s">
        <v>23</v>
      </c>
      <c r="J1013" t="s">
        <v>26</v>
      </c>
      <c r="K1013">
        <v>10</v>
      </c>
      <c r="L1013" t="s">
        <v>29</v>
      </c>
    </row>
    <row r="1014" spans="1:12" x14ac:dyDescent="0.25">
      <c r="A1014">
        <v>1013</v>
      </c>
      <c r="B1014">
        <v>52</v>
      </c>
      <c r="C1014" t="s">
        <v>12</v>
      </c>
      <c r="D1014" t="s">
        <v>14</v>
      </c>
      <c r="E1014">
        <v>6.7</v>
      </c>
      <c r="F1014">
        <v>13.07</v>
      </c>
      <c r="G1014">
        <v>8.73</v>
      </c>
      <c r="H1014" t="s">
        <v>21</v>
      </c>
      <c r="I1014" t="s">
        <v>22</v>
      </c>
      <c r="J1014" t="s">
        <v>27</v>
      </c>
      <c r="K1014">
        <v>7</v>
      </c>
      <c r="L1014" t="s">
        <v>29</v>
      </c>
    </row>
    <row r="1015" spans="1:12" x14ac:dyDescent="0.25">
      <c r="A1015">
        <v>1014</v>
      </c>
      <c r="B1015">
        <v>18</v>
      </c>
      <c r="C1015" t="s">
        <v>13</v>
      </c>
      <c r="D1015" t="s">
        <v>16</v>
      </c>
      <c r="E1015">
        <v>33.49</v>
      </c>
      <c r="F1015">
        <v>11.85</v>
      </c>
      <c r="G1015">
        <v>12</v>
      </c>
      <c r="H1015" t="s">
        <v>20</v>
      </c>
      <c r="I1015" t="s">
        <v>24</v>
      </c>
      <c r="J1015" t="s">
        <v>26</v>
      </c>
      <c r="K1015">
        <v>11</v>
      </c>
      <c r="L1015" t="s">
        <v>29</v>
      </c>
    </row>
    <row r="1016" spans="1:12" x14ac:dyDescent="0.25">
      <c r="A1016">
        <v>1015</v>
      </c>
      <c r="B1016">
        <v>38</v>
      </c>
      <c r="C1016" t="s">
        <v>13</v>
      </c>
      <c r="D1016" t="s">
        <v>17</v>
      </c>
      <c r="E1016">
        <v>19.93</v>
      </c>
      <c r="F1016">
        <v>15.47</v>
      </c>
      <c r="G1016">
        <v>8.5500000000000007</v>
      </c>
      <c r="H1016" t="s">
        <v>21</v>
      </c>
      <c r="I1016" t="s">
        <v>22</v>
      </c>
      <c r="J1016" t="s">
        <v>28</v>
      </c>
      <c r="K1016">
        <v>3</v>
      </c>
      <c r="L1016" t="s">
        <v>29</v>
      </c>
    </row>
    <row r="1017" spans="1:12" x14ac:dyDescent="0.25">
      <c r="A1017">
        <v>1016</v>
      </c>
      <c r="B1017">
        <v>65</v>
      </c>
      <c r="C1017" t="s">
        <v>13</v>
      </c>
      <c r="D1017" t="s">
        <v>15</v>
      </c>
      <c r="E1017">
        <v>11.92</v>
      </c>
      <c r="F1017">
        <v>6.18</v>
      </c>
      <c r="G1017">
        <v>3.15</v>
      </c>
      <c r="H1017" t="s">
        <v>20</v>
      </c>
      <c r="I1017" t="s">
        <v>23</v>
      </c>
      <c r="J1017" t="s">
        <v>25</v>
      </c>
      <c r="K1017">
        <v>32</v>
      </c>
      <c r="L1017" t="s">
        <v>29</v>
      </c>
    </row>
    <row r="1018" spans="1:12" x14ac:dyDescent="0.25">
      <c r="A1018">
        <v>1017</v>
      </c>
      <c r="B1018">
        <v>72</v>
      </c>
      <c r="C1018" t="s">
        <v>13</v>
      </c>
      <c r="D1018" t="s">
        <v>16</v>
      </c>
      <c r="E1018">
        <v>20.03</v>
      </c>
      <c r="F1018">
        <v>18.39</v>
      </c>
      <c r="G1018">
        <v>8.6300000000000008</v>
      </c>
      <c r="H1018" t="s">
        <v>21</v>
      </c>
      <c r="I1018" t="s">
        <v>23</v>
      </c>
      <c r="J1018" t="s">
        <v>27</v>
      </c>
      <c r="K1018">
        <v>9</v>
      </c>
      <c r="L1018" t="s">
        <v>29</v>
      </c>
    </row>
    <row r="1019" spans="1:12" x14ac:dyDescent="0.25">
      <c r="A1019">
        <v>1018</v>
      </c>
      <c r="B1019">
        <v>23</v>
      </c>
      <c r="C1019" t="s">
        <v>13</v>
      </c>
      <c r="D1019" t="s">
        <v>15</v>
      </c>
      <c r="E1019">
        <v>23.56</v>
      </c>
      <c r="F1019">
        <v>25.11</v>
      </c>
      <c r="G1019">
        <v>10.79</v>
      </c>
      <c r="H1019" t="s">
        <v>18</v>
      </c>
      <c r="I1019" t="s">
        <v>23</v>
      </c>
      <c r="J1019" t="s">
        <v>26</v>
      </c>
      <c r="K1019">
        <v>24</v>
      </c>
      <c r="L1019" t="s">
        <v>29</v>
      </c>
    </row>
    <row r="1020" spans="1:12" x14ac:dyDescent="0.25">
      <c r="A1020">
        <v>1019</v>
      </c>
      <c r="B1020">
        <v>45</v>
      </c>
      <c r="C1020" t="s">
        <v>12</v>
      </c>
      <c r="D1020" t="s">
        <v>15</v>
      </c>
      <c r="E1020">
        <v>3.83</v>
      </c>
      <c r="F1020">
        <v>8.44</v>
      </c>
      <c r="G1020">
        <v>15.71</v>
      </c>
      <c r="H1020" t="s">
        <v>18</v>
      </c>
      <c r="I1020" t="s">
        <v>24</v>
      </c>
      <c r="J1020" t="s">
        <v>26</v>
      </c>
      <c r="K1020">
        <v>22</v>
      </c>
      <c r="L1020" t="s">
        <v>29</v>
      </c>
    </row>
    <row r="1021" spans="1:12" x14ac:dyDescent="0.25">
      <c r="A1021">
        <v>1020</v>
      </c>
      <c r="B1021">
        <v>34</v>
      </c>
      <c r="C1021" t="s">
        <v>13</v>
      </c>
      <c r="D1021" t="s">
        <v>15</v>
      </c>
      <c r="E1021">
        <v>20.53</v>
      </c>
      <c r="F1021">
        <v>4.37</v>
      </c>
      <c r="G1021">
        <v>18.02</v>
      </c>
      <c r="H1021" t="s">
        <v>21</v>
      </c>
      <c r="I1021" t="s">
        <v>24</v>
      </c>
      <c r="J1021" t="s">
        <v>25</v>
      </c>
      <c r="K1021">
        <v>31</v>
      </c>
      <c r="L1021" t="s">
        <v>29</v>
      </c>
    </row>
    <row r="1022" spans="1:12" x14ac:dyDescent="0.25">
      <c r="A1022">
        <v>1021</v>
      </c>
      <c r="B1022">
        <v>22</v>
      </c>
      <c r="C1022" t="s">
        <v>12</v>
      </c>
      <c r="D1022" t="s">
        <v>16</v>
      </c>
      <c r="E1022">
        <v>35.520000000000003</v>
      </c>
      <c r="F1022">
        <v>10.61</v>
      </c>
      <c r="G1022">
        <v>13.16</v>
      </c>
      <c r="H1022" t="s">
        <v>20</v>
      </c>
      <c r="I1022" t="s">
        <v>24</v>
      </c>
      <c r="J1022" t="s">
        <v>25</v>
      </c>
      <c r="K1022">
        <v>29</v>
      </c>
      <c r="L1022" t="s">
        <v>29</v>
      </c>
    </row>
    <row r="1023" spans="1:12" x14ac:dyDescent="0.25">
      <c r="A1023">
        <v>1022</v>
      </c>
      <c r="B1023">
        <v>48</v>
      </c>
      <c r="C1023" t="s">
        <v>12</v>
      </c>
      <c r="D1023" t="s">
        <v>15</v>
      </c>
      <c r="E1023">
        <v>9.74</v>
      </c>
      <c r="F1023">
        <v>10.24</v>
      </c>
      <c r="G1023">
        <v>15.78</v>
      </c>
      <c r="H1023" t="s">
        <v>20</v>
      </c>
      <c r="I1023" t="s">
        <v>22</v>
      </c>
      <c r="J1023" t="s">
        <v>26</v>
      </c>
      <c r="K1023">
        <v>27</v>
      </c>
      <c r="L1023" t="s">
        <v>29</v>
      </c>
    </row>
    <row r="1024" spans="1:12" x14ac:dyDescent="0.25">
      <c r="A1024">
        <v>1023</v>
      </c>
      <c r="B1024">
        <v>22</v>
      </c>
      <c r="C1024" t="s">
        <v>13</v>
      </c>
      <c r="D1024" t="s">
        <v>17</v>
      </c>
      <c r="E1024">
        <v>12.11</v>
      </c>
      <c r="F1024">
        <v>8.8000000000000007</v>
      </c>
      <c r="G1024">
        <v>4.67</v>
      </c>
      <c r="H1024" t="s">
        <v>20</v>
      </c>
      <c r="I1024" t="s">
        <v>22</v>
      </c>
      <c r="J1024" t="s">
        <v>26</v>
      </c>
      <c r="K1024">
        <v>29</v>
      </c>
      <c r="L1024" t="s">
        <v>29</v>
      </c>
    </row>
    <row r="1025" spans="1:12" x14ac:dyDescent="0.25">
      <c r="A1025">
        <v>1024</v>
      </c>
      <c r="B1025">
        <v>55</v>
      </c>
      <c r="C1025" t="s">
        <v>13</v>
      </c>
      <c r="D1025" t="s">
        <v>14</v>
      </c>
      <c r="E1025">
        <v>13.56</v>
      </c>
      <c r="F1025">
        <v>15.5</v>
      </c>
      <c r="G1025">
        <v>14.28</v>
      </c>
      <c r="H1025" t="s">
        <v>21</v>
      </c>
      <c r="I1025" t="s">
        <v>22</v>
      </c>
      <c r="J1025" t="s">
        <v>26</v>
      </c>
      <c r="K1025">
        <v>13</v>
      </c>
      <c r="L1025" t="s">
        <v>29</v>
      </c>
    </row>
    <row r="1026" spans="1:12" x14ac:dyDescent="0.25">
      <c r="A1026">
        <v>1025</v>
      </c>
      <c r="B1026">
        <v>20</v>
      </c>
      <c r="C1026" t="s">
        <v>13</v>
      </c>
      <c r="D1026" t="s">
        <v>15</v>
      </c>
      <c r="E1026">
        <v>28.09</v>
      </c>
      <c r="F1026">
        <v>7.64</v>
      </c>
      <c r="G1026">
        <v>17.54</v>
      </c>
      <c r="H1026" t="s">
        <v>21</v>
      </c>
      <c r="I1026" t="s">
        <v>22</v>
      </c>
      <c r="J1026" t="s">
        <v>25</v>
      </c>
      <c r="K1026">
        <v>19</v>
      </c>
      <c r="L1026" t="s">
        <v>29</v>
      </c>
    </row>
    <row r="1027" spans="1:12" x14ac:dyDescent="0.25">
      <c r="A1027">
        <v>1026</v>
      </c>
      <c r="B1027">
        <v>70</v>
      </c>
      <c r="C1027" t="s">
        <v>13</v>
      </c>
      <c r="D1027" t="s">
        <v>17</v>
      </c>
      <c r="E1027">
        <v>7.65</v>
      </c>
      <c r="F1027">
        <v>4.05</v>
      </c>
      <c r="G1027">
        <v>3.13</v>
      </c>
      <c r="H1027" t="s">
        <v>21</v>
      </c>
      <c r="I1027" t="s">
        <v>22</v>
      </c>
      <c r="J1027" t="s">
        <v>26</v>
      </c>
      <c r="K1027">
        <v>33</v>
      </c>
      <c r="L1027" t="s">
        <v>29</v>
      </c>
    </row>
    <row r="1028" spans="1:12" x14ac:dyDescent="0.25">
      <c r="A1028">
        <v>1027</v>
      </c>
      <c r="B1028">
        <v>40</v>
      </c>
      <c r="C1028" t="s">
        <v>13</v>
      </c>
      <c r="D1028" t="s">
        <v>17</v>
      </c>
      <c r="E1028">
        <v>22.87</v>
      </c>
      <c r="F1028">
        <v>11.36</v>
      </c>
      <c r="G1028">
        <v>15.26</v>
      </c>
      <c r="H1028" t="s">
        <v>21</v>
      </c>
      <c r="I1028" t="s">
        <v>23</v>
      </c>
      <c r="J1028" t="s">
        <v>26</v>
      </c>
      <c r="K1028">
        <v>20</v>
      </c>
      <c r="L1028" t="s">
        <v>29</v>
      </c>
    </row>
    <row r="1029" spans="1:12" x14ac:dyDescent="0.25">
      <c r="A1029">
        <v>1028</v>
      </c>
      <c r="B1029">
        <v>54</v>
      </c>
      <c r="C1029" t="s">
        <v>12</v>
      </c>
      <c r="D1029" t="s">
        <v>15</v>
      </c>
      <c r="E1029">
        <v>13.74</v>
      </c>
      <c r="F1029">
        <v>16.04</v>
      </c>
      <c r="G1029">
        <v>19.43</v>
      </c>
      <c r="H1029" t="s">
        <v>20</v>
      </c>
      <c r="I1029" t="s">
        <v>22</v>
      </c>
      <c r="J1029" t="s">
        <v>26</v>
      </c>
      <c r="K1029">
        <v>21</v>
      </c>
      <c r="L1029" t="s">
        <v>30</v>
      </c>
    </row>
    <row r="1030" spans="1:12" x14ac:dyDescent="0.25">
      <c r="A1030">
        <v>1029</v>
      </c>
      <c r="B1030">
        <v>70</v>
      </c>
      <c r="C1030" t="s">
        <v>13</v>
      </c>
      <c r="D1030" t="s">
        <v>16</v>
      </c>
      <c r="E1030">
        <v>45.48</v>
      </c>
      <c r="F1030">
        <v>16.98</v>
      </c>
      <c r="G1030">
        <v>14.14</v>
      </c>
      <c r="H1030" t="s">
        <v>20</v>
      </c>
      <c r="I1030" t="s">
        <v>23</v>
      </c>
      <c r="J1030" t="s">
        <v>26</v>
      </c>
      <c r="K1030">
        <v>31</v>
      </c>
      <c r="L1030" t="s">
        <v>29</v>
      </c>
    </row>
    <row r="1031" spans="1:12" x14ac:dyDescent="0.25">
      <c r="A1031">
        <v>1030</v>
      </c>
      <c r="B1031">
        <v>54</v>
      </c>
      <c r="C1031" t="s">
        <v>13</v>
      </c>
      <c r="D1031" t="s">
        <v>15</v>
      </c>
      <c r="E1031">
        <v>14.29</v>
      </c>
      <c r="F1031">
        <v>7.24</v>
      </c>
      <c r="G1031">
        <v>6.53</v>
      </c>
      <c r="H1031" t="s">
        <v>19</v>
      </c>
      <c r="I1031" t="s">
        <v>23</v>
      </c>
      <c r="J1031" t="s">
        <v>26</v>
      </c>
      <c r="K1031">
        <v>17</v>
      </c>
      <c r="L1031" t="s">
        <v>29</v>
      </c>
    </row>
    <row r="1032" spans="1:12" x14ac:dyDescent="0.25">
      <c r="A1032">
        <v>1031</v>
      </c>
      <c r="B1032">
        <v>27</v>
      </c>
      <c r="C1032" t="s">
        <v>12</v>
      </c>
      <c r="D1032" t="s">
        <v>17</v>
      </c>
      <c r="E1032">
        <v>2.19</v>
      </c>
      <c r="F1032">
        <v>12.59</v>
      </c>
      <c r="G1032">
        <v>15.79</v>
      </c>
      <c r="H1032" t="s">
        <v>21</v>
      </c>
      <c r="I1032" t="s">
        <v>24</v>
      </c>
      <c r="J1032" t="s">
        <v>28</v>
      </c>
      <c r="K1032">
        <v>9</v>
      </c>
      <c r="L1032" t="s">
        <v>29</v>
      </c>
    </row>
    <row r="1033" spans="1:12" x14ac:dyDescent="0.25">
      <c r="A1033">
        <v>1032</v>
      </c>
      <c r="B1033">
        <v>27</v>
      </c>
      <c r="C1033" t="s">
        <v>12</v>
      </c>
      <c r="D1033" t="s">
        <v>17</v>
      </c>
      <c r="E1033">
        <v>25.61</v>
      </c>
      <c r="F1033">
        <v>25.43</v>
      </c>
      <c r="G1033">
        <v>13.91</v>
      </c>
      <c r="H1033" t="s">
        <v>19</v>
      </c>
      <c r="I1033" t="s">
        <v>24</v>
      </c>
      <c r="J1033" t="s">
        <v>26</v>
      </c>
      <c r="K1033">
        <v>9</v>
      </c>
      <c r="L1033" t="s">
        <v>29</v>
      </c>
    </row>
    <row r="1034" spans="1:12" x14ac:dyDescent="0.25">
      <c r="A1034">
        <v>1033</v>
      </c>
      <c r="B1034">
        <v>36</v>
      </c>
      <c r="C1034" t="s">
        <v>13</v>
      </c>
      <c r="D1034" t="s">
        <v>16</v>
      </c>
      <c r="E1034">
        <v>22.14</v>
      </c>
      <c r="F1034">
        <v>21.31</v>
      </c>
      <c r="G1034">
        <v>7.27</v>
      </c>
      <c r="H1034" t="s">
        <v>21</v>
      </c>
      <c r="I1034" t="s">
        <v>22</v>
      </c>
      <c r="J1034" t="s">
        <v>27</v>
      </c>
      <c r="K1034">
        <v>24</v>
      </c>
      <c r="L1034" t="s">
        <v>29</v>
      </c>
    </row>
    <row r="1035" spans="1:12" x14ac:dyDescent="0.25">
      <c r="A1035">
        <v>1034</v>
      </c>
      <c r="B1035">
        <v>34</v>
      </c>
      <c r="C1035" t="s">
        <v>12</v>
      </c>
      <c r="D1035" t="s">
        <v>16</v>
      </c>
      <c r="E1035">
        <v>19.38</v>
      </c>
      <c r="F1035">
        <v>2.2999999999999998</v>
      </c>
      <c r="G1035">
        <v>39.700000000000003</v>
      </c>
      <c r="H1035" t="s">
        <v>19</v>
      </c>
      <c r="I1035" t="s">
        <v>23</v>
      </c>
      <c r="J1035" t="s">
        <v>26</v>
      </c>
      <c r="K1035">
        <v>14</v>
      </c>
      <c r="L1035" t="s">
        <v>29</v>
      </c>
    </row>
    <row r="1036" spans="1:12" x14ac:dyDescent="0.25">
      <c r="A1036">
        <v>1035</v>
      </c>
      <c r="B1036">
        <v>38</v>
      </c>
      <c r="C1036" t="s">
        <v>13</v>
      </c>
      <c r="D1036" t="s">
        <v>15</v>
      </c>
      <c r="E1036">
        <v>34.94</v>
      </c>
      <c r="F1036">
        <v>7.7</v>
      </c>
      <c r="G1036">
        <v>2.35</v>
      </c>
      <c r="H1036" t="s">
        <v>20</v>
      </c>
      <c r="I1036" t="s">
        <v>24</v>
      </c>
      <c r="J1036" t="s">
        <v>26</v>
      </c>
      <c r="K1036">
        <v>10</v>
      </c>
      <c r="L1036" t="s">
        <v>30</v>
      </c>
    </row>
    <row r="1037" spans="1:12" x14ac:dyDescent="0.25">
      <c r="A1037">
        <v>1036</v>
      </c>
      <c r="B1037">
        <v>31</v>
      </c>
      <c r="C1037" t="s">
        <v>12</v>
      </c>
      <c r="D1037" t="s">
        <v>15</v>
      </c>
      <c r="E1037">
        <v>4.34</v>
      </c>
      <c r="F1037">
        <v>24.32</v>
      </c>
      <c r="G1037">
        <v>12.21</v>
      </c>
      <c r="H1037" t="s">
        <v>20</v>
      </c>
      <c r="I1037" t="s">
        <v>22</v>
      </c>
      <c r="J1037" t="s">
        <v>26</v>
      </c>
      <c r="K1037">
        <v>20</v>
      </c>
      <c r="L1037" t="s">
        <v>29</v>
      </c>
    </row>
    <row r="1038" spans="1:12" x14ac:dyDescent="0.25">
      <c r="A1038">
        <v>1037</v>
      </c>
      <c r="B1038">
        <v>26</v>
      </c>
      <c r="C1038" t="s">
        <v>12</v>
      </c>
      <c r="D1038" t="s">
        <v>16</v>
      </c>
      <c r="E1038">
        <v>8.7100000000000009</v>
      </c>
      <c r="F1038">
        <v>2.2799999999999998</v>
      </c>
      <c r="G1038">
        <v>1.35</v>
      </c>
      <c r="H1038" t="s">
        <v>19</v>
      </c>
      <c r="I1038" t="s">
        <v>23</v>
      </c>
      <c r="J1038" t="s">
        <v>25</v>
      </c>
      <c r="K1038">
        <v>30</v>
      </c>
      <c r="L1038" t="s">
        <v>30</v>
      </c>
    </row>
    <row r="1039" spans="1:12" x14ac:dyDescent="0.25">
      <c r="A1039">
        <v>1038</v>
      </c>
      <c r="B1039">
        <v>63</v>
      </c>
      <c r="C1039" t="s">
        <v>13</v>
      </c>
      <c r="D1039" t="s">
        <v>17</v>
      </c>
      <c r="E1039">
        <v>16.79</v>
      </c>
      <c r="F1039">
        <v>9.6199999999999992</v>
      </c>
      <c r="G1039">
        <v>11.28</v>
      </c>
      <c r="H1039" t="s">
        <v>18</v>
      </c>
      <c r="I1039" t="s">
        <v>22</v>
      </c>
      <c r="J1039" t="s">
        <v>25</v>
      </c>
      <c r="K1039">
        <v>20</v>
      </c>
      <c r="L1039" t="s">
        <v>30</v>
      </c>
    </row>
    <row r="1040" spans="1:12" x14ac:dyDescent="0.25">
      <c r="A1040">
        <v>1039</v>
      </c>
      <c r="B1040">
        <v>18</v>
      </c>
      <c r="C1040" t="s">
        <v>12</v>
      </c>
      <c r="D1040" t="s">
        <v>14</v>
      </c>
      <c r="E1040">
        <v>18.71</v>
      </c>
      <c r="F1040">
        <v>6.09</v>
      </c>
      <c r="G1040">
        <v>7.37</v>
      </c>
      <c r="H1040" t="s">
        <v>21</v>
      </c>
      <c r="I1040" t="s">
        <v>23</v>
      </c>
      <c r="J1040" t="s">
        <v>26</v>
      </c>
      <c r="K1040">
        <v>33</v>
      </c>
      <c r="L1040" t="s">
        <v>29</v>
      </c>
    </row>
    <row r="1041" spans="1:12" x14ac:dyDescent="0.25">
      <c r="A1041">
        <v>1040</v>
      </c>
      <c r="B1041">
        <v>68</v>
      </c>
      <c r="C1041" t="s">
        <v>12</v>
      </c>
      <c r="D1041" t="s">
        <v>14</v>
      </c>
      <c r="E1041">
        <v>15.19</v>
      </c>
      <c r="F1041">
        <v>12.79</v>
      </c>
      <c r="G1041">
        <v>17.46</v>
      </c>
      <c r="H1041" t="s">
        <v>19</v>
      </c>
      <c r="I1041" t="s">
        <v>22</v>
      </c>
      <c r="J1041" t="s">
        <v>26</v>
      </c>
      <c r="K1041">
        <v>19</v>
      </c>
      <c r="L1041" t="s">
        <v>29</v>
      </c>
    </row>
    <row r="1042" spans="1:12" x14ac:dyDescent="0.25">
      <c r="A1042">
        <v>1041</v>
      </c>
      <c r="B1042">
        <v>62</v>
      </c>
      <c r="C1042" t="s">
        <v>12</v>
      </c>
      <c r="D1042" t="s">
        <v>14</v>
      </c>
      <c r="E1042">
        <v>5</v>
      </c>
      <c r="F1042">
        <v>1.02</v>
      </c>
      <c r="G1042">
        <v>8.52</v>
      </c>
      <c r="H1042" t="s">
        <v>19</v>
      </c>
      <c r="I1042" t="s">
        <v>24</v>
      </c>
      <c r="J1042" t="s">
        <v>27</v>
      </c>
      <c r="K1042">
        <v>25</v>
      </c>
      <c r="L1042" t="s">
        <v>29</v>
      </c>
    </row>
    <row r="1043" spans="1:12" x14ac:dyDescent="0.25">
      <c r="A1043">
        <v>1042</v>
      </c>
      <c r="B1043">
        <v>30</v>
      </c>
      <c r="C1043" t="s">
        <v>12</v>
      </c>
      <c r="D1043" t="s">
        <v>17</v>
      </c>
      <c r="E1043">
        <v>12.19</v>
      </c>
      <c r="F1043">
        <v>22.76</v>
      </c>
      <c r="G1043">
        <v>14.37</v>
      </c>
      <c r="H1043" t="s">
        <v>18</v>
      </c>
      <c r="I1043" t="s">
        <v>23</v>
      </c>
      <c r="J1043" t="s">
        <v>28</v>
      </c>
      <c r="K1043">
        <v>13</v>
      </c>
      <c r="L1043" t="s">
        <v>29</v>
      </c>
    </row>
    <row r="1044" spans="1:12" x14ac:dyDescent="0.25">
      <c r="A1044">
        <v>1043</v>
      </c>
      <c r="B1044">
        <v>21</v>
      </c>
      <c r="C1044" t="s">
        <v>12</v>
      </c>
      <c r="D1044" t="s">
        <v>15</v>
      </c>
      <c r="E1044">
        <v>43.58</v>
      </c>
      <c r="F1044">
        <v>9.98</v>
      </c>
      <c r="G1044">
        <v>8.19</v>
      </c>
      <c r="H1044" t="s">
        <v>20</v>
      </c>
      <c r="I1044" t="s">
        <v>23</v>
      </c>
      <c r="J1044" t="s">
        <v>26</v>
      </c>
      <c r="K1044">
        <v>17</v>
      </c>
      <c r="L1044" t="s">
        <v>29</v>
      </c>
    </row>
    <row r="1045" spans="1:12" x14ac:dyDescent="0.25">
      <c r="A1045">
        <v>1044</v>
      </c>
      <c r="B1045">
        <v>79</v>
      </c>
      <c r="C1045" t="s">
        <v>12</v>
      </c>
      <c r="D1045" t="s">
        <v>16</v>
      </c>
      <c r="E1045">
        <v>7.36</v>
      </c>
      <c r="F1045">
        <v>3.8</v>
      </c>
      <c r="G1045">
        <v>12.9</v>
      </c>
      <c r="H1045" t="s">
        <v>19</v>
      </c>
      <c r="I1045" t="s">
        <v>23</v>
      </c>
      <c r="J1045" t="s">
        <v>25</v>
      </c>
      <c r="K1045">
        <v>32</v>
      </c>
      <c r="L1045" t="s">
        <v>29</v>
      </c>
    </row>
    <row r="1046" spans="1:12" x14ac:dyDescent="0.25">
      <c r="A1046">
        <v>1045</v>
      </c>
      <c r="B1046">
        <v>18</v>
      </c>
      <c r="C1046" t="s">
        <v>13</v>
      </c>
      <c r="D1046" t="s">
        <v>17</v>
      </c>
      <c r="E1046">
        <v>16.55</v>
      </c>
      <c r="F1046">
        <v>5.38</v>
      </c>
      <c r="G1046">
        <v>20.97</v>
      </c>
      <c r="H1046" t="s">
        <v>20</v>
      </c>
      <c r="I1046" t="s">
        <v>23</v>
      </c>
      <c r="J1046" t="s">
        <v>26</v>
      </c>
      <c r="K1046">
        <v>33</v>
      </c>
      <c r="L1046" t="s">
        <v>29</v>
      </c>
    </row>
    <row r="1047" spans="1:12" x14ac:dyDescent="0.25">
      <c r="A1047">
        <v>1046</v>
      </c>
      <c r="B1047">
        <v>66</v>
      </c>
      <c r="C1047" t="s">
        <v>13</v>
      </c>
      <c r="D1047" t="s">
        <v>15</v>
      </c>
      <c r="E1047">
        <v>22.93</v>
      </c>
      <c r="F1047">
        <v>13.12</v>
      </c>
      <c r="G1047">
        <v>11.33</v>
      </c>
      <c r="H1047" t="s">
        <v>21</v>
      </c>
      <c r="I1047" t="s">
        <v>23</v>
      </c>
      <c r="J1047" t="s">
        <v>26</v>
      </c>
      <c r="K1047">
        <v>8</v>
      </c>
      <c r="L1047" t="s">
        <v>30</v>
      </c>
    </row>
    <row r="1048" spans="1:12" x14ac:dyDescent="0.25">
      <c r="A1048">
        <v>1047</v>
      </c>
      <c r="B1048">
        <v>57</v>
      </c>
      <c r="C1048" t="s">
        <v>12</v>
      </c>
      <c r="D1048" t="s">
        <v>14</v>
      </c>
      <c r="E1048">
        <v>27.58</v>
      </c>
      <c r="F1048">
        <v>5.0199999999999996</v>
      </c>
      <c r="G1048">
        <v>6.13</v>
      </c>
      <c r="H1048" t="s">
        <v>18</v>
      </c>
      <c r="I1048" t="s">
        <v>23</v>
      </c>
      <c r="J1048" t="s">
        <v>26</v>
      </c>
      <c r="K1048">
        <v>14</v>
      </c>
      <c r="L1048" t="s">
        <v>29</v>
      </c>
    </row>
    <row r="1049" spans="1:12" x14ac:dyDescent="0.25">
      <c r="A1049">
        <v>1048</v>
      </c>
      <c r="B1049">
        <v>49</v>
      </c>
      <c r="C1049" t="s">
        <v>13</v>
      </c>
      <c r="D1049" t="s">
        <v>14</v>
      </c>
      <c r="E1049">
        <v>25.54</v>
      </c>
      <c r="F1049">
        <v>30.55</v>
      </c>
      <c r="G1049">
        <v>7.51</v>
      </c>
      <c r="H1049" t="s">
        <v>20</v>
      </c>
      <c r="I1049" t="s">
        <v>23</v>
      </c>
      <c r="J1049" t="s">
        <v>26</v>
      </c>
      <c r="K1049">
        <v>25</v>
      </c>
      <c r="L1049" t="s">
        <v>29</v>
      </c>
    </row>
    <row r="1050" spans="1:12" x14ac:dyDescent="0.25">
      <c r="A1050">
        <v>1049</v>
      </c>
      <c r="B1050">
        <v>51</v>
      </c>
      <c r="C1050" t="s">
        <v>13</v>
      </c>
      <c r="D1050" t="s">
        <v>17</v>
      </c>
      <c r="E1050">
        <v>11.57</v>
      </c>
      <c r="F1050">
        <v>9.1</v>
      </c>
      <c r="G1050">
        <v>1.5</v>
      </c>
      <c r="H1050" t="s">
        <v>19</v>
      </c>
      <c r="I1050" t="s">
        <v>23</v>
      </c>
      <c r="J1050" t="s">
        <v>27</v>
      </c>
      <c r="K1050">
        <v>5</v>
      </c>
      <c r="L1050" t="s">
        <v>29</v>
      </c>
    </row>
    <row r="1051" spans="1:12" x14ac:dyDescent="0.25">
      <c r="A1051">
        <v>1050</v>
      </c>
      <c r="B1051">
        <v>45</v>
      </c>
      <c r="C1051" t="s">
        <v>13</v>
      </c>
      <c r="D1051" t="s">
        <v>15</v>
      </c>
      <c r="E1051">
        <v>8.68</v>
      </c>
      <c r="F1051">
        <v>26.91</v>
      </c>
      <c r="G1051">
        <v>16.399999999999999</v>
      </c>
      <c r="H1051" t="s">
        <v>18</v>
      </c>
      <c r="I1051" t="s">
        <v>23</v>
      </c>
      <c r="J1051" t="s">
        <v>26</v>
      </c>
      <c r="K1051">
        <v>30</v>
      </c>
      <c r="L1051" t="s">
        <v>30</v>
      </c>
    </row>
    <row r="1052" spans="1:12" x14ac:dyDescent="0.25">
      <c r="A1052">
        <v>1051</v>
      </c>
      <c r="B1052">
        <v>48</v>
      </c>
      <c r="C1052" t="s">
        <v>12</v>
      </c>
      <c r="D1052" t="s">
        <v>17</v>
      </c>
      <c r="E1052">
        <v>45.7</v>
      </c>
      <c r="F1052">
        <v>11.38</v>
      </c>
      <c r="G1052">
        <v>6.65</v>
      </c>
      <c r="H1052" t="s">
        <v>18</v>
      </c>
      <c r="I1052" t="s">
        <v>23</v>
      </c>
      <c r="J1052" t="s">
        <v>25</v>
      </c>
      <c r="K1052">
        <v>17</v>
      </c>
      <c r="L1052" t="s">
        <v>29</v>
      </c>
    </row>
    <row r="1053" spans="1:12" x14ac:dyDescent="0.25">
      <c r="A1053">
        <v>1052</v>
      </c>
      <c r="B1053">
        <v>25</v>
      </c>
      <c r="C1053" t="s">
        <v>13</v>
      </c>
      <c r="D1053" t="s">
        <v>14</v>
      </c>
      <c r="E1053">
        <v>29.26</v>
      </c>
      <c r="F1053">
        <v>16.48</v>
      </c>
      <c r="G1053">
        <v>10.69</v>
      </c>
      <c r="H1053" t="s">
        <v>18</v>
      </c>
      <c r="I1053" t="s">
        <v>22</v>
      </c>
      <c r="J1053" t="s">
        <v>27</v>
      </c>
      <c r="K1053">
        <v>15</v>
      </c>
      <c r="L1053" t="s">
        <v>29</v>
      </c>
    </row>
    <row r="1054" spans="1:12" x14ac:dyDescent="0.25">
      <c r="A1054">
        <v>1053</v>
      </c>
      <c r="B1054">
        <v>56</v>
      </c>
      <c r="C1054" t="s">
        <v>12</v>
      </c>
      <c r="D1054" t="s">
        <v>14</v>
      </c>
      <c r="E1054">
        <v>17.61</v>
      </c>
      <c r="F1054">
        <v>15.79</v>
      </c>
      <c r="G1054">
        <v>1.19</v>
      </c>
      <c r="H1054" t="s">
        <v>18</v>
      </c>
      <c r="I1054" t="s">
        <v>22</v>
      </c>
      <c r="J1054" t="s">
        <v>26</v>
      </c>
      <c r="K1054">
        <v>21</v>
      </c>
      <c r="L1054" t="s">
        <v>29</v>
      </c>
    </row>
    <row r="1055" spans="1:12" x14ac:dyDescent="0.25">
      <c r="A1055">
        <v>1054</v>
      </c>
      <c r="B1055">
        <v>43</v>
      </c>
      <c r="C1055" t="s">
        <v>13</v>
      </c>
      <c r="D1055" t="s">
        <v>15</v>
      </c>
      <c r="E1055">
        <v>38.61</v>
      </c>
      <c r="F1055">
        <v>6.75</v>
      </c>
      <c r="G1055">
        <v>8.9499999999999993</v>
      </c>
      <c r="H1055" t="s">
        <v>18</v>
      </c>
      <c r="I1055" t="s">
        <v>23</v>
      </c>
      <c r="J1055" t="s">
        <v>26</v>
      </c>
      <c r="K1055">
        <v>20</v>
      </c>
      <c r="L1055" t="s">
        <v>29</v>
      </c>
    </row>
    <row r="1056" spans="1:12" x14ac:dyDescent="0.25">
      <c r="A1056">
        <v>1055</v>
      </c>
      <c r="B1056">
        <v>75</v>
      </c>
      <c r="C1056" t="s">
        <v>12</v>
      </c>
      <c r="D1056" t="s">
        <v>15</v>
      </c>
      <c r="E1056">
        <v>4.93</v>
      </c>
      <c r="F1056">
        <v>16.63</v>
      </c>
      <c r="G1056">
        <v>20.170000000000002</v>
      </c>
      <c r="H1056" t="s">
        <v>21</v>
      </c>
      <c r="I1056" t="s">
        <v>22</v>
      </c>
      <c r="J1056" t="s">
        <v>25</v>
      </c>
      <c r="K1056">
        <v>33</v>
      </c>
      <c r="L1056" t="s">
        <v>29</v>
      </c>
    </row>
    <row r="1057" spans="1:12" x14ac:dyDescent="0.25">
      <c r="A1057">
        <v>1056</v>
      </c>
      <c r="B1057">
        <v>51</v>
      </c>
      <c r="C1057" t="s">
        <v>12</v>
      </c>
      <c r="D1057" t="s">
        <v>14</v>
      </c>
      <c r="E1057">
        <v>5.91</v>
      </c>
      <c r="F1057">
        <v>7.25</v>
      </c>
      <c r="G1057">
        <v>11.47</v>
      </c>
      <c r="H1057" t="s">
        <v>21</v>
      </c>
      <c r="I1057" t="s">
        <v>24</v>
      </c>
      <c r="J1057" t="s">
        <v>26</v>
      </c>
      <c r="K1057">
        <v>23</v>
      </c>
      <c r="L1057" t="s">
        <v>29</v>
      </c>
    </row>
    <row r="1058" spans="1:12" x14ac:dyDescent="0.25">
      <c r="A1058">
        <v>1057</v>
      </c>
      <c r="B1058">
        <v>71</v>
      </c>
      <c r="C1058" t="s">
        <v>13</v>
      </c>
      <c r="D1058" t="s">
        <v>17</v>
      </c>
      <c r="E1058">
        <v>2.2599999999999998</v>
      </c>
      <c r="F1058">
        <v>2.06</v>
      </c>
      <c r="G1058">
        <v>41.06</v>
      </c>
      <c r="H1058" t="s">
        <v>18</v>
      </c>
      <c r="I1058" t="s">
        <v>24</v>
      </c>
      <c r="J1058" t="s">
        <v>26</v>
      </c>
      <c r="K1058">
        <v>7</v>
      </c>
      <c r="L1058" t="s">
        <v>29</v>
      </c>
    </row>
    <row r="1059" spans="1:12" x14ac:dyDescent="0.25">
      <c r="A1059">
        <v>1058</v>
      </c>
      <c r="B1059">
        <v>71</v>
      </c>
      <c r="C1059" t="s">
        <v>13</v>
      </c>
      <c r="D1059" t="s">
        <v>17</v>
      </c>
      <c r="E1059">
        <v>18.57</v>
      </c>
      <c r="F1059">
        <v>8.48</v>
      </c>
      <c r="G1059">
        <v>6.61</v>
      </c>
      <c r="H1059" t="s">
        <v>19</v>
      </c>
      <c r="I1059" t="s">
        <v>23</v>
      </c>
      <c r="J1059" t="s">
        <v>26</v>
      </c>
      <c r="K1059">
        <v>19</v>
      </c>
      <c r="L1059" t="s">
        <v>30</v>
      </c>
    </row>
    <row r="1060" spans="1:12" x14ac:dyDescent="0.25">
      <c r="A1060">
        <v>1059</v>
      </c>
      <c r="B1060">
        <v>20</v>
      </c>
      <c r="C1060" t="s">
        <v>12</v>
      </c>
      <c r="D1060" t="s">
        <v>14</v>
      </c>
      <c r="E1060">
        <v>19.149999999999999</v>
      </c>
      <c r="F1060">
        <v>3.29</v>
      </c>
      <c r="G1060">
        <v>11.03</v>
      </c>
      <c r="H1060" t="s">
        <v>19</v>
      </c>
      <c r="I1060" t="s">
        <v>22</v>
      </c>
      <c r="J1060" t="s">
        <v>26</v>
      </c>
      <c r="K1060">
        <v>21</v>
      </c>
      <c r="L1060" t="s">
        <v>29</v>
      </c>
    </row>
    <row r="1061" spans="1:12" x14ac:dyDescent="0.25">
      <c r="A1061">
        <v>1060</v>
      </c>
      <c r="B1061">
        <v>76</v>
      </c>
      <c r="C1061" t="s">
        <v>13</v>
      </c>
      <c r="D1061" t="s">
        <v>15</v>
      </c>
      <c r="E1061">
        <v>5.46</v>
      </c>
      <c r="F1061">
        <v>7.05</v>
      </c>
      <c r="G1061">
        <v>9.7100000000000009</v>
      </c>
      <c r="H1061" t="s">
        <v>21</v>
      </c>
      <c r="I1061" t="s">
        <v>23</v>
      </c>
      <c r="J1061" t="s">
        <v>27</v>
      </c>
      <c r="K1061">
        <v>6</v>
      </c>
      <c r="L1061" t="s">
        <v>29</v>
      </c>
    </row>
    <row r="1062" spans="1:12" x14ac:dyDescent="0.25">
      <c r="A1062">
        <v>1061</v>
      </c>
      <c r="B1062">
        <v>67</v>
      </c>
      <c r="C1062" t="s">
        <v>13</v>
      </c>
      <c r="D1062" t="s">
        <v>16</v>
      </c>
      <c r="E1062">
        <v>28.62</v>
      </c>
      <c r="F1062">
        <v>9.73</v>
      </c>
      <c r="G1062">
        <v>16.54</v>
      </c>
      <c r="H1062" t="s">
        <v>20</v>
      </c>
      <c r="I1062" t="s">
        <v>23</v>
      </c>
      <c r="J1062" t="s">
        <v>25</v>
      </c>
      <c r="K1062">
        <v>28</v>
      </c>
      <c r="L1062" t="s">
        <v>29</v>
      </c>
    </row>
    <row r="1063" spans="1:12" x14ac:dyDescent="0.25">
      <c r="A1063">
        <v>1062</v>
      </c>
      <c r="B1063">
        <v>29</v>
      </c>
      <c r="C1063" t="s">
        <v>13</v>
      </c>
      <c r="D1063" t="s">
        <v>15</v>
      </c>
      <c r="E1063">
        <v>3.23</v>
      </c>
      <c r="F1063">
        <v>4.49</v>
      </c>
      <c r="G1063">
        <v>9.43</v>
      </c>
      <c r="H1063" t="s">
        <v>18</v>
      </c>
      <c r="I1063" t="s">
        <v>23</v>
      </c>
      <c r="J1063" t="s">
        <v>26</v>
      </c>
      <c r="K1063">
        <v>26</v>
      </c>
      <c r="L1063" t="s">
        <v>29</v>
      </c>
    </row>
    <row r="1064" spans="1:12" x14ac:dyDescent="0.25">
      <c r="A1064">
        <v>1063</v>
      </c>
      <c r="B1064">
        <v>18</v>
      </c>
      <c r="C1064" t="s">
        <v>12</v>
      </c>
      <c r="D1064" t="s">
        <v>17</v>
      </c>
      <c r="E1064">
        <v>21.27</v>
      </c>
      <c r="F1064">
        <v>14.98</v>
      </c>
      <c r="G1064">
        <v>6.29</v>
      </c>
      <c r="H1064" t="s">
        <v>19</v>
      </c>
      <c r="I1064" t="s">
        <v>23</v>
      </c>
      <c r="J1064" t="s">
        <v>26</v>
      </c>
      <c r="K1064">
        <v>21</v>
      </c>
      <c r="L1064" t="s">
        <v>30</v>
      </c>
    </row>
    <row r="1065" spans="1:12" x14ac:dyDescent="0.25">
      <c r="A1065">
        <v>1064</v>
      </c>
      <c r="B1065">
        <v>71</v>
      </c>
      <c r="C1065" t="s">
        <v>12</v>
      </c>
      <c r="D1065" t="s">
        <v>14</v>
      </c>
      <c r="E1065">
        <v>24.42</v>
      </c>
      <c r="F1065">
        <v>7.18</v>
      </c>
      <c r="G1065">
        <v>10.43</v>
      </c>
      <c r="H1065" t="s">
        <v>21</v>
      </c>
      <c r="I1065" t="s">
        <v>22</v>
      </c>
      <c r="J1065" t="s">
        <v>28</v>
      </c>
      <c r="K1065">
        <v>32</v>
      </c>
      <c r="L1065" t="s">
        <v>29</v>
      </c>
    </row>
    <row r="1066" spans="1:12" x14ac:dyDescent="0.25">
      <c r="A1066">
        <v>1065</v>
      </c>
      <c r="B1066">
        <v>61</v>
      </c>
      <c r="C1066" t="s">
        <v>13</v>
      </c>
      <c r="D1066" t="s">
        <v>17</v>
      </c>
      <c r="E1066">
        <v>18.43</v>
      </c>
      <c r="F1066">
        <v>3.2</v>
      </c>
      <c r="G1066">
        <v>11.58</v>
      </c>
      <c r="H1066" t="s">
        <v>21</v>
      </c>
      <c r="I1066" t="s">
        <v>22</v>
      </c>
      <c r="J1066" t="s">
        <v>26</v>
      </c>
      <c r="K1066">
        <v>28</v>
      </c>
      <c r="L1066" t="s">
        <v>29</v>
      </c>
    </row>
    <row r="1067" spans="1:12" x14ac:dyDescent="0.25">
      <c r="A1067">
        <v>1066</v>
      </c>
      <c r="B1067">
        <v>22</v>
      </c>
      <c r="C1067" t="s">
        <v>13</v>
      </c>
      <c r="D1067" t="s">
        <v>14</v>
      </c>
      <c r="E1067">
        <v>4.83</v>
      </c>
      <c r="F1067">
        <v>4.5599999999999996</v>
      </c>
      <c r="G1067">
        <v>15.02</v>
      </c>
      <c r="H1067" t="s">
        <v>20</v>
      </c>
      <c r="I1067" t="s">
        <v>22</v>
      </c>
      <c r="J1067" t="s">
        <v>26</v>
      </c>
      <c r="K1067">
        <v>13</v>
      </c>
      <c r="L1067" t="s">
        <v>30</v>
      </c>
    </row>
    <row r="1068" spans="1:12" x14ac:dyDescent="0.25">
      <c r="A1068">
        <v>1067</v>
      </c>
      <c r="B1068">
        <v>47</v>
      </c>
      <c r="C1068" t="s">
        <v>13</v>
      </c>
      <c r="D1068" t="s">
        <v>17</v>
      </c>
      <c r="E1068">
        <v>34.71</v>
      </c>
      <c r="F1068">
        <v>10.86</v>
      </c>
      <c r="G1068">
        <v>11.61</v>
      </c>
      <c r="H1068" t="s">
        <v>20</v>
      </c>
      <c r="I1068" t="s">
        <v>23</v>
      </c>
      <c r="J1068" t="s">
        <v>28</v>
      </c>
      <c r="K1068">
        <v>5</v>
      </c>
      <c r="L1068" t="s">
        <v>29</v>
      </c>
    </row>
    <row r="1069" spans="1:12" x14ac:dyDescent="0.25">
      <c r="A1069">
        <v>1068</v>
      </c>
      <c r="B1069">
        <v>47</v>
      </c>
      <c r="C1069" t="s">
        <v>12</v>
      </c>
      <c r="D1069" t="s">
        <v>15</v>
      </c>
      <c r="E1069">
        <v>11.84</v>
      </c>
      <c r="F1069">
        <v>8.19</v>
      </c>
      <c r="G1069">
        <v>25.55</v>
      </c>
      <c r="H1069" t="s">
        <v>19</v>
      </c>
      <c r="I1069" t="s">
        <v>23</v>
      </c>
      <c r="J1069" t="s">
        <v>28</v>
      </c>
      <c r="K1069">
        <v>24</v>
      </c>
      <c r="L1069" t="s">
        <v>29</v>
      </c>
    </row>
    <row r="1070" spans="1:12" x14ac:dyDescent="0.25">
      <c r="A1070">
        <v>1069</v>
      </c>
      <c r="B1070">
        <v>76</v>
      </c>
      <c r="C1070" t="s">
        <v>12</v>
      </c>
      <c r="D1070" t="s">
        <v>15</v>
      </c>
      <c r="E1070">
        <v>11.87</v>
      </c>
      <c r="F1070">
        <v>12.44</v>
      </c>
      <c r="G1070">
        <v>33.75</v>
      </c>
      <c r="H1070" t="s">
        <v>20</v>
      </c>
      <c r="I1070" t="s">
        <v>23</v>
      </c>
      <c r="J1070" t="s">
        <v>26</v>
      </c>
      <c r="K1070">
        <v>19</v>
      </c>
      <c r="L1070" t="s">
        <v>29</v>
      </c>
    </row>
    <row r="1071" spans="1:12" x14ac:dyDescent="0.25">
      <c r="A1071">
        <v>1070</v>
      </c>
      <c r="B1071">
        <v>74</v>
      </c>
      <c r="C1071" t="s">
        <v>13</v>
      </c>
      <c r="D1071" t="s">
        <v>17</v>
      </c>
      <c r="E1071">
        <v>10.25</v>
      </c>
      <c r="F1071">
        <v>10.92</v>
      </c>
      <c r="G1071">
        <v>6.83</v>
      </c>
      <c r="H1071" t="s">
        <v>20</v>
      </c>
      <c r="I1071" t="s">
        <v>23</v>
      </c>
      <c r="J1071" t="s">
        <v>26</v>
      </c>
      <c r="K1071">
        <v>13</v>
      </c>
      <c r="L1071" t="s">
        <v>29</v>
      </c>
    </row>
    <row r="1072" spans="1:12" x14ac:dyDescent="0.25">
      <c r="A1072">
        <v>1071</v>
      </c>
      <c r="B1072">
        <v>34</v>
      </c>
      <c r="C1072" t="s">
        <v>13</v>
      </c>
      <c r="D1072" t="s">
        <v>17</v>
      </c>
      <c r="E1072">
        <v>26.09</v>
      </c>
      <c r="F1072">
        <v>4.18</v>
      </c>
      <c r="G1072">
        <v>17.649999999999999</v>
      </c>
      <c r="H1072" t="s">
        <v>18</v>
      </c>
      <c r="I1072" t="s">
        <v>24</v>
      </c>
      <c r="J1072" t="s">
        <v>26</v>
      </c>
      <c r="K1072">
        <v>29</v>
      </c>
      <c r="L1072" t="s">
        <v>30</v>
      </c>
    </row>
    <row r="1073" spans="1:12" x14ac:dyDescent="0.25">
      <c r="A1073">
        <v>1072</v>
      </c>
      <c r="B1073">
        <v>65</v>
      </c>
      <c r="C1073" t="s">
        <v>13</v>
      </c>
      <c r="D1073" t="s">
        <v>15</v>
      </c>
      <c r="E1073">
        <v>11.45</v>
      </c>
      <c r="F1073">
        <v>5.97</v>
      </c>
      <c r="G1073">
        <v>15.14</v>
      </c>
      <c r="H1073" t="s">
        <v>21</v>
      </c>
      <c r="I1073" t="s">
        <v>22</v>
      </c>
      <c r="J1073" t="s">
        <v>26</v>
      </c>
      <c r="K1073">
        <v>31</v>
      </c>
      <c r="L1073" t="s">
        <v>29</v>
      </c>
    </row>
    <row r="1074" spans="1:12" x14ac:dyDescent="0.25">
      <c r="A1074">
        <v>1073</v>
      </c>
      <c r="B1074">
        <v>64</v>
      </c>
      <c r="C1074" t="s">
        <v>13</v>
      </c>
      <c r="D1074" t="s">
        <v>17</v>
      </c>
      <c r="E1074">
        <v>6.83</v>
      </c>
      <c r="F1074">
        <v>18.28</v>
      </c>
      <c r="G1074">
        <v>1.6</v>
      </c>
      <c r="H1074" t="s">
        <v>21</v>
      </c>
      <c r="I1074" t="s">
        <v>24</v>
      </c>
      <c r="J1074" t="s">
        <v>25</v>
      </c>
      <c r="K1074">
        <v>14</v>
      </c>
      <c r="L1074" t="s">
        <v>29</v>
      </c>
    </row>
    <row r="1075" spans="1:12" x14ac:dyDescent="0.25">
      <c r="A1075">
        <v>1074</v>
      </c>
      <c r="B1075">
        <v>40</v>
      </c>
      <c r="C1075" t="s">
        <v>13</v>
      </c>
      <c r="D1075" t="s">
        <v>17</v>
      </c>
      <c r="E1075">
        <v>30.68</v>
      </c>
      <c r="F1075">
        <v>4.8499999999999996</v>
      </c>
      <c r="G1075">
        <v>22.38</v>
      </c>
      <c r="H1075" t="s">
        <v>20</v>
      </c>
      <c r="I1075" t="s">
        <v>22</v>
      </c>
      <c r="J1075" t="s">
        <v>26</v>
      </c>
      <c r="K1075">
        <v>15</v>
      </c>
      <c r="L1075" t="s">
        <v>29</v>
      </c>
    </row>
    <row r="1076" spans="1:12" x14ac:dyDescent="0.25">
      <c r="A1076">
        <v>1075</v>
      </c>
      <c r="B1076">
        <v>32</v>
      </c>
      <c r="C1076" t="s">
        <v>13</v>
      </c>
      <c r="D1076" t="s">
        <v>16</v>
      </c>
      <c r="E1076">
        <v>16.28</v>
      </c>
      <c r="F1076">
        <v>27.34</v>
      </c>
      <c r="G1076">
        <v>5.18</v>
      </c>
      <c r="H1076" t="s">
        <v>21</v>
      </c>
      <c r="I1076" t="s">
        <v>23</v>
      </c>
      <c r="J1076" t="s">
        <v>26</v>
      </c>
      <c r="K1076">
        <v>13</v>
      </c>
      <c r="L1076" t="s">
        <v>30</v>
      </c>
    </row>
    <row r="1077" spans="1:12" x14ac:dyDescent="0.25">
      <c r="A1077">
        <v>1076</v>
      </c>
      <c r="B1077">
        <v>54</v>
      </c>
      <c r="C1077" t="s">
        <v>12</v>
      </c>
      <c r="D1077" t="s">
        <v>16</v>
      </c>
      <c r="E1077">
        <v>31.34</v>
      </c>
      <c r="F1077">
        <v>2.54</v>
      </c>
      <c r="G1077">
        <v>4.97</v>
      </c>
      <c r="H1077" t="s">
        <v>21</v>
      </c>
      <c r="I1077" t="s">
        <v>23</v>
      </c>
      <c r="J1077" t="s">
        <v>26</v>
      </c>
      <c r="K1077">
        <v>33</v>
      </c>
      <c r="L1077" t="s">
        <v>29</v>
      </c>
    </row>
    <row r="1078" spans="1:12" x14ac:dyDescent="0.25">
      <c r="A1078">
        <v>1077</v>
      </c>
      <c r="B1078">
        <v>38</v>
      </c>
      <c r="C1078" t="s">
        <v>13</v>
      </c>
      <c r="D1078" t="s">
        <v>16</v>
      </c>
      <c r="E1078">
        <v>17.100000000000001</v>
      </c>
      <c r="F1078">
        <v>17.87</v>
      </c>
      <c r="G1078">
        <v>11.37</v>
      </c>
      <c r="H1078" t="s">
        <v>19</v>
      </c>
      <c r="I1078" t="s">
        <v>22</v>
      </c>
      <c r="J1078" t="s">
        <v>28</v>
      </c>
      <c r="K1078">
        <v>13</v>
      </c>
      <c r="L1078" t="s">
        <v>29</v>
      </c>
    </row>
    <row r="1079" spans="1:12" x14ac:dyDescent="0.25">
      <c r="A1079">
        <v>1078</v>
      </c>
      <c r="B1079">
        <v>31</v>
      </c>
      <c r="C1079" t="s">
        <v>12</v>
      </c>
      <c r="D1079" t="s">
        <v>15</v>
      </c>
      <c r="E1079">
        <v>9.75</v>
      </c>
      <c r="F1079">
        <v>9.2200000000000006</v>
      </c>
      <c r="G1079">
        <v>14.6</v>
      </c>
      <c r="H1079" t="s">
        <v>21</v>
      </c>
      <c r="I1079" t="s">
        <v>23</v>
      </c>
      <c r="J1079" t="s">
        <v>26</v>
      </c>
      <c r="K1079">
        <v>4</v>
      </c>
      <c r="L1079" t="s">
        <v>29</v>
      </c>
    </row>
    <row r="1080" spans="1:12" x14ac:dyDescent="0.25">
      <c r="A1080">
        <v>1079</v>
      </c>
      <c r="B1080">
        <v>19</v>
      </c>
      <c r="C1080" t="s">
        <v>13</v>
      </c>
      <c r="D1080" t="s">
        <v>15</v>
      </c>
      <c r="E1080">
        <v>3.71</v>
      </c>
      <c r="F1080">
        <v>4.2</v>
      </c>
      <c r="G1080">
        <v>14.31</v>
      </c>
      <c r="H1080" t="s">
        <v>20</v>
      </c>
      <c r="I1080" t="s">
        <v>24</v>
      </c>
      <c r="J1080" t="s">
        <v>26</v>
      </c>
      <c r="K1080">
        <v>25</v>
      </c>
      <c r="L1080" t="s">
        <v>30</v>
      </c>
    </row>
    <row r="1081" spans="1:12" x14ac:dyDescent="0.25">
      <c r="A1081">
        <v>1080</v>
      </c>
      <c r="B1081">
        <v>28</v>
      </c>
      <c r="C1081" t="s">
        <v>13</v>
      </c>
      <c r="D1081" t="s">
        <v>16</v>
      </c>
      <c r="E1081">
        <v>18.62</v>
      </c>
      <c r="F1081">
        <v>10.63</v>
      </c>
      <c r="G1081">
        <v>10.32</v>
      </c>
      <c r="H1081" t="s">
        <v>19</v>
      </c>
      <c r="I1081" t="s">
        <v>22</v>
      </c>
      <c r="J1081" t="s">
        <v>28</v>
      </c>
      <c r="K1081">
        <v>16</v>
      </c>
      <c r="L1081" t="s">
        <v>29</v>
      </c>
    </row>
    <row r="1082" spans="1:12" x14ac:dyDescent="0.25">
      <c r="A1082">
        <v>1081</v>
      </c>
      <c r="B1082">
        <v>68</v>
      </c>
      <c r="C1082" t="s">
        <v>12</v>
      </c>
      <c r="D1082" t="s">
        <v>17</v>
      </c>
      <c r="E1082">
        <v>13.58</v>
      </c>
      <c r="F1082">
        <v>4.99</v>
      </c>
      <c r="G1082">
        <v>9.7200000000000006</v>
      </c>
      <c r="H1082" t="s">
        <v>21</v>
      </c>
      <c r="I1082" t="s">
        <v>23</v>
      </c>
      <c r="J1082" t="s">
        <v>26</v>
      </c>
      <c r="K1082">
        <v>29</v>
      </c>
      <c r="L1082" t="s">
        <v>29</v>
      </c>
    </row>
    <row r="1083" spans="1:12" x14ac:dyDescent="0.25">
      <c r="A1083">
        <v>1082</v>
      </c>
      <c r="B1083">
        <v>56</v>
      </c>
      <c r="C1083" t="s">
        <v>12</v>
      </c>
      <c r="D1083" t="s">
        <v>15</v>
      </c>
      <c r="E1083">
        <v>26.76</v>
      </c>
      <c r="F1083">
        <v>6.3</v>
      </c>
      <c r="G1083">
        <v>9.6199999999999992</v>
      </c>
      <c r="H1083" t="s">
        <v>21</v>
      </c>
      <c r="I1083" t="s">
        <v>22</v>
      </c>
      <c r="J1083" t="s">
        <v>26</v>
      </c>
      <c r="K1083">
        <v>14</v>
      </c>
      <c r="L1083" t="s">
        <v>29</v>
      </c>
    </row>
    <row r="1084" spans="1:12" x14ac:dyDescent="0.25">
      <c r="A1084">
        <v>1083</v>
      </c>
      <c r="B1084">
        <v>55</v>
      </c>
      <c r="C1084" t="s">
        <v>12</v>
      </c>
      <c r="D1084" t="s">
        <v>14</v>
      </c>
      <c r="E1084">
        <v>11.07</v>
      </c>
      <c r="F1084">
        <v>7.33</v>
      </c>
      <c r="G1084">
        <v>9.84</v>
      </c>
      <c r="H1084" t="s">
        <v>19</v>
      </c>
      <c r="I1084" t="s">
        <v>24</v>
      </c>
      <c r="J1084" t="s">
        <v>26</v>
      </c>
      <c r="K1084">
        <v>31</v>
      </c>
      <c r="L1084" t="s">
        <v>29</v>
      </c>
    </row>
    <row r="1085" spans="1:12" x14ac:dyDescent="0.25">
      <c r="A1085">
        <v>1084</v>
      </c>
      <c r="B1085">
        <v>77</v>
      </c>
      <c r="C1085" t="s">
        <v>12</v>
      </c>
      <c r="D1085" t="s">
        <v>16</v>
      </c>
      <c r="E1085">
        <v>21.68</v>
      </c>
      <c r="F1085">
        <v>16.899999999999999</v>
      </c>
      <c r="G1085">
        <v>12.2</v>
      </c>
      <c r="H1085" t="s">
        <v>19</v>
      </c>
      <c r="I1085" t="s">
        <v>23</v>
      </c>
      <c r="J1085" t="s">
        <v>26</v>
      </c>
      <c r="K1085">
        <v>8</v>
      </c>
      <c r="L1085" t="s">
        <v>30</v>
      </c>
    </row>
    <row r="1086" spans="1:12" x14ac:dyDescent="0.25">
      <c r="A1086">
        <v>1085</v>
      </c>
      <c r="B1086">
        <v>51</v>
      </c>
      <c r="C1086" t="s">
        <v>13</v>
      </c>
      <c r="D1086" t="s">
        <v>17</v>
      </c>
      <c r="E1086">
        <v>16.64</v>
      </c>
      <c r="F1086">
        <v>5.89</v>
      </c>
      <c r="G1086">
        <v>18.05</v>
      </c>
      <c r="H1086" t="s">
        <v>21</v>
      </c>
      <c r="I1086" t="s">
        <v>22</v>
      </c>
      <c r="J1086" t="s">
        <v>26</v>
      </c>
      <c r="K1086">
        <v>25</v>
      </c>
      <c r="L1086" t="s">
        <v>29</v>
      </c>
    </row>
    <row r="1087" spans="1:12" x14ac:dyDescent="0.25">
      <c r="A1087">
        <v>1086</v>
      </c>
      <c r="B1087">
        <v>55</v>
      </c>
      <c r="C1087" t="s">
        <v>12</v>
      </c>
      <c r="D1087" t="s">
        <v>15</v>
      </c>
      <c r="E1087">
        <v>9.1199999999999992</v>
      </c>
      <c r="F1087">
        <v>11.89</v>
      </c>
      <c r="G1087">
        <v>16.22</v>
      </c>
      <c r="H1087" t="s">
        <v>18</v>
      </c>
      <c r="I1087" t="s">
        <v>23</v>
      </c>
      <c r="J1087" t="s">
        <v>26</v>
      </c>
      <c r="K1087">
        <v>12</v>
      </c>
      <c r="L1087" t="s">
        <v>29</v>
      </c>
    </row>
    <row r="1088" spans="1:12" x14ac:dyDescent="0.25">
      <c r="A1088">
        <v>1087</v>
      </c>
      <c r="B1088">
        <v>67</v>
      </c>
      <c r="C1088" t="s">
        <v>13</v>
      </c>
      <c r="D1088" t="s">
        <v>16</v>
      </c>
      <c r="E1088">
        <v>11.71</v>
      </c>
      <c r="F1088">
        <v>17.36</v>
      </c>
      <c r="G1088">
        <v>17.2</v>
      </c>
      <c r="H1088" t="s">
        <v>18</v>
      </c>
      <c r="I1088" t="s">
        <v>22</v>
      </c>
      <c r="J1088" t="s">
        <v>26</v>
      </c>
      <c r="K1088">
        <v>14</v>
      </c>
      <c r="L1088" t="s">
        <v>30</v>
      </c>
    </row>
    <row r="1089" spans="1:12" x14ac:dyDescent="0.25">
      <c r="A1089">
        <v>1088</v>
      </c>
      <c r="B1089">
        <v>51</v>
      </c>
      <c r="C1089" t="s">
        <v>12</v>
      </c>
      <c r="D1089" t="s">
        <v>17</v>
      </c>
      <c r="E1089">
        <v>5.8</v>
      </c>
      <c r="F1089">
        <v>10.41</v>
      </c>
      <c r="G1089">
        <v>13.46</v>
      </c>
      <c r="H1089" t="s">
        <v>21</v>
      </c>
      <c r="I1089" t="s">
        <v>23</v>
      </c>
      <c r="J1089" t="s">
        <v>26</v>
      </c>
      <c r="K1089">
        <v>34</v>
      </c>
      <c r="L1089" t="s">
        <v>29</v>
      </c>
    </row>
    <row r="1090" spans="1:12" x14ac:dyDescent="0.25">
      <c r="A1090">
        <v>1089</v>
      </c>
      <c r="B1090">
        <v>35</v>
      </c>
      <c r="C1090" t="s">
        <v>13</v>
      </c>
      <c r="D1090" t="s">
        <v>16</v>
      </c>
      <c r="E1090">
        <v>47.6</v>
      </c>
      <c r="F1090">
        <v>13.25</v>
      </c>
      <c r="G1090">
        <v>15.08</v>
      </c>
      <c r="H1090" t="s">
        <v>21</v>
      </c>
      <c r="I1090" t="s">
        <v>23</v>
      </c>
      <c r="J1090" t="s">
        <v>26</v>
      </c>
      <c r="K1090">
        <v>28</v>
      </c>
      <c r="L1090" t="s">
        <v>29</v>
      </c>
    </row>
    <row r="1091" spans="1:12" x14ac:dyDescent="0.25">
      <c r="A1091">
        <v>1090</v>
      </c>
      <c r="B1091">
        <v>47</v>
      </c>
      <c r="C1091" t="s">
        <v>13</v>
      </c>
      <c r="D1091" t="s">
        <v>16</v>
      </c>
      <c r="E1091">
        <v>21.38</v>
      </c>
      <c r="F1091">
        <v>9.69</v>
      </c>
      <c r="G1091">
        <v>11.33</v>
      </c>
      <c r="H1091" t="s">
        <v>19</v>
      </c>
      <c r="I1091" t="s">
        <v>22</v>
      </c>
      <c r="J1091" t="s">
        <v>26</v>
      </c>
      <c r="K1091">
        <v>9</v>
      </c>
      <c r="L1091" t="s">
        <v>29</v>
      </c>
    </row>
    <row r="1092" spans="1:12" x14ac:dyDescent="0.25">
      <c r="A1092">
        <v>1091</v>
      </c>
      <c r="B1092">
        <v>32</v>
      </c>
      <c r="C1092" t="s">
        <v>13</v>
      </c>
      <c r="D1092" t="s">
        <v>14</v>
      </c>
      <c r="E1092">
        <v>5.48</v>
      </c>
      <c r="F1092">
        <v>14.76</v>
      </c>
      <c r="G1092">
        <v>15.26</v>
      </c>
      <c r="H1092" t="s">
        <v>19</v>
      </c>
      <c r="I1092" t="s">
        <v>23</v>
      </c>
      <c r="J1092" t="s">
        <v>26</v>
      </c>
      <c r="K1092">
        <v>34</v>
      </c>
      <c r="L1092" t="s">
        <v>29</v>
      </c>
    </row>
    <row r="1093" spans="1:12" x14ac:dyDescent="0.25">
      <c r="A1093">
        <v>1092</v>
      </c>
      <c r="B1093">
        <v>44</v>
      </c>
      <c r="C1093" t="s">
        <v>13</v>
      </c>
      <c r="D1093" t="s">
        <v>17</v>
      </c>
      <c r="E1093">
        <v>46.15</v>
      </c>
      <c r="F1093">
        <v>3.11</v>
      </c>
      <c r="G1093">
        <v>12.15</v>
      </c>
      <c r="H1093" t="s">
        <v>21</v>
      </c>
      <c r="I1093" t="s">
        <v>22</v>
      </c>
      <c r="J1093" t="s">
        <v>26</v>
      </c>
      <c r="K1093">
        <v>35</v>
      </c>
      <c r="L1093" t="s">
        <v>29</v>
      </c>
    </row>
    <row r="1094" spans="1:12" x14ac:dyDescent="0.25">
      <c r="A1094">
        <v>1093</v>
      </c>
      <c r="B1094">
        <v>68</v>
      </c>
      <c r="C1094" t="s">
        <v>13</v>
      </c>
      <c r="D1094" t="s">
        <v>15</v>
      </c>
      <c r="E1094">
        <v>7.29</v>
      </c>
      <c r="F1094">
        <v>25.72</v>
      </c>
      <c r="G1094">
        <v>1.64</v>
      </c>
      <c r="H1094" t="s">
        <v>21</v>
      </c>
      <c r="I1094" t="s">
        <v>24</v>
      </c>
      <c r="J1094" t="s">
        <v>27</v>
      </c>
      <c r="K1094">
        <v>20</v>
      </c>
      <c r="L1094" t="s">
        <v>29</v>
      </c>
    </row>
    <row r="1095" spans="1:12" x14ac:dyDescent="0.25">
      <c r="A1095">
        <v>1094</v>
      </c>
      <c r="B1095">
        <v>51</v>
      </c>
      <c r="C1095" t="s">
        <v>13</v>
      </c>
      <c r="D1095" t="s">
        <v>16</v>
      </c>
      <c r="E1095">
        <v>10.93</v>
      </c>
      <c r="F1095">
        <v>5.58</v>
      </c>
      <c r="G1095">
        <v>3.04</v>
      </c>
      <c r="H1095" t="s">
        <v>21</v>
      </c>
      <c r="I1095" t="s">
        <v>23</v>
      </c>
      <c r="J1095" t="s">
        <v>26</v>
      </c>
      <c r="K1095">
        <v>22</v>
      </c>
      <c r="L1095" t="s">
        <v>29</v>
      </c>
    </row>
    <row r="1096" spans="1:12" x14ac:dyDescent="0.25">
      <c r="A1096">
        <v>1095</v>
      </c>
      <c r="B1096">
        <v>69</v>
      </c>
      <c r="C1096" t="s">
        <v>12</v>
      </c>
      <c r="D1096" t="s">
        <v>16</v>
      </c>
      <c r="E1096">
        <v>14.27</v>
      </c>
      <c r="F1096">
        <v>9.2899999999999991</v>
      </c>
      <c r="G1096">
        <v>10.08</v>
      </c>
      <c r="H1096" t="s">
        <v>21</v>
      </c>
      <c r="I1096" t="s">
        <v>22</v>
      </c>
      <c r="J1096" t="s">
        <v>26</v>
      </c>
      <c r="K1096">
        <v>33</v>
      </c>
      <c r="L1096" t="s">
        <v>30</v>
      </c>
    </row>
    <row r="1097" spans="1:12" x14ac:dyDescent="0.25">
      <c r="A1097">
        <v>1096</v>
      </c>
      <c r="B1097">
        <v>74</v>
      </c>
      <c r="C1097" t="s">
        <v>13</v>
      </c>
      <c r="D1097" t="s">
        <v>16</v>
      </c>
      <c r="E1097">
        <v>16.91</v>
      </c>
      <c r="F1097">
        <v>1.41</v>
      </c>
      <c r="G1097">
        <v>3.58</v>
      </c>
      <c r="H1097" t="s">
        <v>18</v>
      </c>
      <c r="I1097" t="s">
        <v>22</v>
      </c>
      <c r="J1097" t="s">
        <v>25</v>
      </c>
      <c r="K1097">
        <v>7</v>
      </c>
      <c r="L1097" t="s">
        <v>29</v>
      </c>
    </row>
    <row r="1098" spans="1:12" x14ac:dyDescent="0.25">
      <c r="A1098">
        <v>1097</v>
      </c>
      <c r="B1098">
        <v>55</v>
      </c>
      <c r="C1098" t="s">
        <v>12</v>
      </c>
      <c r="D1098" t="s">
        <v>15</v>
      </c>
      <c r="E1098">
        <v>26.32</v>
      </c>
      <c r="F1098">
        <v>6.56</v>
      </c>
      <c r="G1098">
        <v>11.03</v>
      </c>
      <c r="H1098" t="s">
        <v>19</v>
      </c>
      <c r="I1098" t="s">
        <v>23</v>
      </c>
      <c r="J1098" t="s">
        <v>26</v>
      </c>
      <c r="K1098">
        <v>34</v>
      </c>
      <c r="L1098" t="s">
        <v>29</v>
      </c>
    </row>
    <row r="1099" spans="1:12" x14ac:dyDescent="0.25">
      <c r="A1099">
        <v>1098</v>
      </c>
      <c r="B1099">
        <v>50</v>
      </c>
      <c r="C1099" t="s">
        <v>12</v>
      </c>
      <c r="D1099" t="s">
        <v>15</v>
      </c>
      <c r="E1099">
        <v>2.96</v>
      </c>
      <c r="F1099">
        <v>12.26</v>
      </c>
      <c r="G1099">
        <v>13.95</v>
      </c>
      <c r="H1099" t="s">
        <v>20</v>
      </c>
      <c r="I1099" t="s">
        <v>22</v>
      </c>
      <c r="J1099" t="s">
        <v>25</v>
      </c>
      <c r="K1099">
        <v>21</v>
      </c>
      <c r="L1099" t="s">
        <v>30</v>
      </c>
    </row>
    <row r="1100" spans="1:12" x14ac:dyDescent="0.25">
      <c r="A1100">
        <v>1099</v>
      </c>
      <c r="B1100">
        <v>41</v>
      </c>
      <c r="C1100" t="s">
        <v>13</v>
      </c>
      <c r="D1100" t="s">
        <v>14</v>
      </c>
      <c r="E1100">
        <v>17.079999999999998</v>
      </c>
      <c r="F1100">
        <v>28.08</v>
      </c>
      <c r="G1100">
        <v>14.7</v>
      </c>
      <c r="H1100" t="s">
        <v>21</v>
      </c>
      <c r="I1100" t="s">
        <v>22</v>
      </c>
      <c r="J1100" t="s">
        <v>25</v>
      </c>
      <c r="K1100">
        <v>3</v>
      </c>
      <c r="L1100" t="s">
        <v>30</v>
      </c>
    </row>
    <row r="1101" spans="1:12" x14ac:dyDescent="0.25">
      <c r="A1101">
        <v>1100</v>
      </c>
      <c r="B1101">
        <v>32</v>
      </c>
      <c r="C1101" t="s">
        <v>12</v>
      </c>
      <c r="D1101" t="s">
        <v>16</v>
      </c>
      <c r="E1101">
        <v>13.76</v>
      </c>
      <c r="F1101">
        <v>15.24</v>
      </c>
      <c r="G1101">
        <v>9.92</v>
      </c>
      <c r="H1101" t="s">
        <v>21</v>
      </c>
      <c r="I1101" t="s">
        <v>22</v>
      </c>
      <c r="J1101" t="s">
        <v>25</v>
      </c>
      <c r="K1101">
        <v>9</v>
      </c>
      <c r="L1101" t="s">
        <v>29</v>
      </c>
    </row>
    <row r="1102" spans="1:12" x14ac:dyDescent="0.25">
      <c r="A1102">
        <v>1101</v>
      </c>
      <c r="B1102">
        <v>77</v>
      </c>
      <c r="C1102" t="s">
        <v>13</v>
      </c>
      <c r="D1102" t="s">
        <v>14</v>
      </c>
      <c r="E1102">
        <v>18.84</v>
      </c>
      <c r="F1102">
        <v>6.99</v>
      </c>
      <c r="G1102">
        <v>14.04</v>
      </c>
      <c r="H1102" t="s">
        <v>21</v>
      </c>
      <c r="I1102" t="s">
        <v>24</v>
      </c>
      <c r="J1102" t="s">
        <v>25</v>
      </c>
      <c r="K1102">
        <v>24</v>
      </c>
      <c r="L1102" t="s">
        <v>30</v>
      </c>
    </row>
    <row r="1103" spans="1:12" x14ac:dyDescent="0.25">
      <c r="A1103">
        <v>1102</v>
      </c>
      <c r="B1103">
        <v>47</v>
      </c>
      <c r="C1103" t="s">
        <v>12</v>
      </c>
      <c r="D1103" t="s">
        <v>16</v>
      </c>
      <c r="E1103">
        <v>13.3</v>
      </c>
      <c r="F1103">
        <v>2.3199999999999998</v>
      </c>
      <c r="G1103">
        <v>17.600000000000001</v>
      </c>
      <c r="H1103" t="s">
        <v>20</v>
      </c>
      <c r="I1103" t="s">
        <v>22</v>
      </c>
      <c r="J1103" t="s">
        <v>26</v>
      </c>
      <c r="K1103">
        <v>12</v>
      </c>
      <c r="L1103" t="s">
        <v>29</v>
      </c>
    </row>
    <row r="1104" spans="1:12" x14ac:dyDescent="0.25">
      <c r="A1104">
        <v>1103</v>
      </c>
      <c r="B1104">
        <v>72</v>
      </c>
      <c r="C1104" t="s">
        <v>13</v>
      </c>
      <c r="D1104" t="s">
        <v>17</v>
      </c>
      <c r="E1104">
        <v>12.09</v>
      </c>
      <c r="F1104">
        <v>23.76</v>
      </c>
      <c r="G1104">
        <v>18.690000000000001</v>
      </c>
      <c r="H1104" t="s">
        <v>19</v>
      </c>
      <c r="I1104" t="s">
        <v>24</v>
      </c>
      <c r="J1104" t="s">
        <v>25</v>
      </c>
      <c r="K1104">
        <v>28</v>
      </c>
      <c r="L1104" t="s">
        <v>29</v>
      </c>
    </row>
    <row r="1105" spans="1:12" x14ac:dyDescent="0.25">
      <c r="A1105">
        <v>1104</v>
      </c>
      <c r="B1105">
        <v>59</v>
      </c>
      <c r="C1105" t="s">
        <v>12</v>
      </c>
      <c r="D1105" t="s">
        <v>16</v>
      </c>
      <c r="E1105">
        <v>15.41</v>
      </c>
      <c r="F1105">
        <v>6.72</v>
      </c>
      <c r="G1105">
        <v>17.96</v>
      </c>
      <c r="H1105" t="s">
        <v>19</v>
      </c>
      <c r="I1105" t="s">
        <v>22</v>
      </c>
      <c r="J1105" t="s">
        <v>26</v>
      </c>
      <c r="K1105">
        <v>34</v>
      </c>
      <c r="L1105" t="s">
        <v>29</v>
      </c>
    </row>
    <row r="1106" spans="1:12" x14ac:dyDescent="0.25">
      <c r="A1106">
        <v>1105</v>
      </c>
      <c r="B1106">
        <v>68</v>
      </c>
      <c r="C1106" t="s">
        <v>13</v>
      </c>
      <c r="D1106" t="s">
        <v>14</v>
      </c>
      <c r="E1106">
        <v>44.63</v>
      </c>
      <c r="F1106">
        <v>12.23</v>
      </c>
      <c r="G1106">
        <v>12.26</v>
      </c>
      <c r="H1106" t="s">
        <v>21</v>
      </c>
      <c r="I1106" t="s">
        <v>23</v>
      </c>
      <c r="J1106" t="s">
        <v>26</v>
      </c>
      <c r="K1106">
        <v>29</v>
      </c>
      <c r="L1106" t="s">
        <v>30</v>
      </c>
    </row>
    <row r="1107" spans="1:12" x14ac:dyDescent="0.25">
      <c r="A1107">
        <v>1106</v>
      </c>
      <c r="B1107">
        <v>34</v>
      </c>
      <c r="C1107" t="s">
        <v>13</v>
      </c>
      <c r="D1107" t="s">
        <v>17</v>
      </c>
      <c r="E1107">
        <v>12.25</v>
      </c>
      <c r="F1107">
        <v>7.01</v>
      </c>
      <c r="G1107">
        <v>5.65</v>
      </c>
      <c r="H1107" t="s">
        <v>21</v>
      </c>
      <c r="I1107" t="s">
        <v>22</v>
      </c>
      <c r="J1107" t="s">
        <v>27</v>
      </c>
      <c r="K1107">
        <v>14</v>
      </c>
      <c r="L1107" t="s">
        <v>29</v>
      </c>
    </row>
    <row r="1108" spans="1:12" x14ac:dyDescent="0.25">
      <c r="A1108">
        <v>1107</v>
      </c>
      <c r="B1108">
        <v>22</v>
      </c>
      <c r="C1108" t="s">
        <v>13</v>
      </c>
      <c r="D1108" t="s">
        <v>16</v>
      </c>
      <c r="E1108">
        <v>33.76</v>
      </c>
      <c r="F1108">
        <v>13.36</v>
      </c>
      <c r="G1108">
        <v>2.95</v>
      </c>
      <c r="H1108" t="s">
        <v>19</v>
      </c>
      <c r="I1108" t="s">
        <v>23</v>
      </c>
      <c r="J1108" t="s">
        <v>26</v>
      </c>
      <c r="K1108">
        <v>25</v>
      </c>
      <c r="L1108" t="s">
        <v>29</v>
      </c>
    </row>
    <row r="1109" spans="1:12" x14ac:dyDescent="0.25">
      <c r="A1109">
        <v>1108</v>
      </c>
      <c r="B1109">
        <v>46</v>
      </c>
      <c r="C1109" t="s">
        <v>13</v>
      </c>
      <c r="D1109" t="s">
        <v>15</v>
      </c>
      <c r="E1109">
        <v>18.329999999999998</v>
      </c>
      <c r="F1109">
        <v>23.05</v>
      </c>
      <c r="G1109">
        <v>9.91</v>
      </c>
      <c r="H1109" t="s">
        <v>20</v>
      </c>
      <c r="I1109" t="s">
        <v>22</v>
      </c>
      <c r="J1109" t="s">
        <v>28</v>
      </c>
      <c r="K1109">
        <v>16</v>
      </c>
      <c r="L1109" t="s">
        <v>29</v>
      </c>
    </row>
    <row r="1110" spans="1:12" x14ac:dyDescent="0.25">
      <c r="A1110">
        <v>1109</v>
      </c>
      <c r="B1110">
        <v>21</v>
      </c>
      <c r="C1110" t="s">
        <v>12</v>
      </c>
      <c r="D1110" t="s">
        <v>17</v>
      </c>
      <c r="E1110">
        <v>17.77</v>
      </c>
      <c r="F1110">
        <v>16.760000000000002</v>
      </c>
      <c r="G1110">
        <v>9.2799999999999994</v>
      </c>
      <c r="H1110" t="s">
        <v>21</v>
      </c>
      <c r="I1110" t="s">
        <v>22</v>
      </c>
      <c r="J1110" t="s">
        <v>26</v>
      </c>
      <c r="K1110">
        <v>19</v>
      </c>
      <c r="L1110" t="s">
        <v>29</v>
      </c>
    </row>
    <row r="1111" spans="1:12" x14ac:dyDescent="0.25">
      <c r="A1111">
        <v>1110</v>
      </c>
      <c r="B1111">
        <v>27</v>
      </c>
      <c r="C1111" t="s">
        <v>13</v>
      </c>
      <c r="D1111" t="s">
        <v>16</v>
      </c>
      <c r="E1111">
        <v>18.96</v>
      </c>
      <c r="F1111">
        <v>8.07</v>
      </c>
      <c r="G1111">
        <v>17.73</v>
      </c>
      <c r="H1111" t="s">
        <v>20</v>
      </c>
      <c r="I1111" t="s">
        <v>22</v>
      </c>
      <c r="J1111" t="s">
        <v>26</v>
      </c>
      <c r="K1111">
        <v>8</v>
      </c>
      <c r="L1111" t="s">
        <v>30</v>
      </c>
    </row>
    <row r="1112" spans="1:12" x14ac:dyDescent="0.25">
      <c r="A1112">
        <v>1111</v>
      </c>
      <c r="B1112">
        <v>73</v>
      </c>
      <c r="C1112" t="s">
        <v>12</v>
      </c>
      <c r="D1112" t="s">
        <v>15</v>
      </c>
      <c r="E1112">
        <v>22.88</v>
      </c>
      <c r="F1112">
        <v>24.14</v>
      </c>
      <c r="G1112">
        <v>6.37</v>
      </c>
      <c r="H1112" t="s">
        <v>20</v>
      </c>
      <c r="I1112" t="s">
        <v>23</v>
      </c>
      <c r="J1112" t="s">
        <v>26</v>
      </c>
      <c r="K1112">
        <v>29</v>
      </c>
      <c r="L1112" t="s">
        <v>30</v>
      </c>
    </row>
    <row r="1113" spans="1:12" x14ac:dyDescent="0.25">
      <c r="A1113">
        <v>1112</v>
      </c>
      <c r="B1113">
        <v>34</v>
      </c>
      <c r="C1113" t="s">
        <v>12</v>
      </c>
      <c r="D1113" t="s">
        <v>15</v>
      </c>
      <c r="E1113">
        <v>12.93</v>
      </c>
      <c r="F1113">
        <v>32.229999999999997</v>
      </c>
      <c r="G1113">
        <v>12.57</v>
      </c>
      <c r="H1113" t="s">
        <v>19</v>
      </c>
      <c r="I1113" t="s">
        <v>22</v>
      </c>
      <c r="J1113" t="s">
        <v>25</v>
      </c>
      <c r="K1113">
        <v>10</v>
      </c>
      <c r="L1113" t="s">
        <v>29</v>
      </c>
    </row>
    <row r="1114" spans="1:12" x14ac:dyDescent="0.25">
      <c r="A1114">
        <v>1113</v>
      </c>
      <c r="B1114">
        <v>27</v>
      </c>
      <c r="C1114" t="s">
        <v>12</v>
      </c>
      <c r="D1114" t="s">
        <v>15</v>
      </c>
      <c r="E1114">
        <v>32.36</v>
      </c>
      <c r="F1114">
        <v>19.8</v>
      </c>
      <c r="G1114">
        <v>1.63</v>
      </c>
      <c r="H1114" t="s">
        <v>21</v>
      </c>
      <c r="I1114" t="s">
        <v>23</v>
      </c>
      <c r="J1114" t="s">
        <v>26</v>
      </c>
      <c r="K1114">
        <v>35</v>
      </c>
      <c r="L1114" t="s">
        <v>30</v>
      </c>
    </row>
    <row r="1115" spans="1:12" x14ac:dyDescent="0.25">
      <c r="A1115">
        <v>1114</v>
      </c>
      <c r="B1115">
        <v>34</v>
      </c>
      <c r="C1115" t="s">
        <v>13</v>
      </c>
      <c r="D1115" t="s">
        <v>15</v>
      </c>
      <c r="E1115">
        <v>22.92</v>
      </c>
      <c r="F1115">
        <v>7.19</v>
      </c>
      <c r="G1115">
        <v>9.41</v>
      </c>
      <c r="H1115" t="s">
        <v>18</v>
      </c>
      <c r="I1115" t="s">
        <v>22</v>
      </c>
      <c r="J1115" t="s">
        <v>26</v>
      </c>
      <c r="K1115">
        <v>19</v>
      </c>
      <c r="L1115" t="s">
        <v>29</v>
      </c>
    </row>
    <row r="1116" spans="1:12" x14ac:dyDescent="0.25">
      <c r="A1116">
        <v>1115</v>
      </c>
      <c r="B1116">
        <v>77</v>
      </c>
      <c r="C1116" t="s">
        <v>12</v>
      </c>
      <c r="D1116" t="s">
        <v>15</v>
      </c>
      <c r="E1116">
        <v>6.23</v>
      </c>
      <c r="F1116">
        <v>17.899999999999999</v>
      </c>
      <c r="G1116">
        <v>9.5500000000000007</v>
      </c>
      <c r="H1116" t="s">
        <v>19</v>
      </c>
      <c r="I1116" t="s">
        <v>22</v>
      </c>
      <c r="J1116" t="s">
        <v>26</v>
      </c>
      <c r="K1116">
        <v>28</v>
      </c>
      <c r="L1116" t="s">
        <v>29</v>
      </c>
    </row>
    <row r="1117" spans="1:12" x14ac:dyDescent="0.25">
      <c r="A1117">
        <v>1116</v>
      </c>
      <c r="B1117">
        <v>37</v>
      </c>
      <c r="C1117" t="s">
        <v>12</v>
      </c>
      <c r="D1117" t="s">
        <v>17</v>
      </c>
      <c r="E1117">
        <v>2.21</v>
      </c>
      <c r="F1117">
        <v>19.66</v>
      </c>
      <c r="G1117">
        <v>6.23</v>
      </c>
      <c r="H1117" t="s">
        <v>19</v>
      </c>
      <c r="I1117" t="s">
        <v>24</v>
      </c>
      <c r="J1117" t="s">
        <v>25</v>
      </c>
      <c r="K1117">
        <v>9</v>
      </c>
      <c r="L1117" t="s">
        <v>29</v>
      </c>
    </row>
    <row r="1118" spans="1:12" x14ac:dyDescent="0.25">
      <c r="A1118">
        <v>1117</v>
      </c>
      <c r="B1118">
        <v>41</v>
      </c>
      <c r="C1118" t="s">
        <v>12</v>
      </c>
      <c r="D1118" t="s">
        <v>14</v>
      </c>
      <c r="E1118">
        <v>43.81</v>
      </c>
      <c r="F1118">
        <v>8.19</v>
      </c>
      <c r="G1118">
        <v>2.04</v>
      </c>
      <c r="H1118" t="s">
        <v>18</v>
      </c>
      <c r="I1118" t="s">
        <v>23</v>
      </c>
      <c r="J1118" t="s">
        <v>26</v>
      </c>
      <c r="K1118">
        <v>26</v>
      </c>
      <c r="L1118" t="s">
        <v>29</v>
      </c>
    </row>
    <row r="1119" spans="1:12" x14ac:dyDescent="0.25">
      <c r="A1119">
        <v>1118</v>
      </c>
      <c r="B1119">
        <v>22</v>
      </c>
      <c r="C1119" t="s">
        <v>13</v>
      </c>
      <c r="D1119" t="s">
        <v>17</v>
      </c>
      <c r="E1119">
        <v>19.350000000000001</v>
      </c>
      <c r="F1119">
        <v>32.229999999999997</v>
      </c>
      <c r="G1119">
        <v>6</v>
      </c>
      <c r="H1119" t="s">
        <v>21</v>
      </c>
      <c r="I1119" t="s">
        <v>22</v>
      </c>
      <c r="J1119" t="s">
        <v>27</v>
      </c>
      <c r="K1119">
        <v>27</v>
      </c>
      <c r="L1119" t="s">
        <v>29</v>
      </c>
    </row>
    <row r="1120" spans="1:12" x14ac:dyDescent="0.25">
      <c r="A1120">
        <v>1119</v>
      </c>
      <c r="B1120">
        <v>51</v>
      </c>
      <c r="C1120" t="s">
        <v>13</v>
      </c>
      <c r="D1120" t="s">
        <v>15</v>
      </c>
      <c r="E1120">
        <v>5.62</v>
      </c>
      <c r="F1120">
        <v>22.35</v>
      </c>
      <c r="G1120">
        <v>25.88</v>
      </c>
      <c r="H1120" t="s">
        <v>20</v>
      </c>
      <c r="I1120" t="s">
        <v>22</v>
      </c>
      <c r="J1120" t="s">
        <v>26</v>
      </c>
      <c r="K1120">
        <v>28</v>
      </c>
      <c r="L1120" t="s">
        <v>29</v>
      </c>
    </row>
    <row r="1121" spans="1:12" x14ac:dyDescent="0.25">
      <c r="A1121">
        <v>1120</v>
      </c>
      <c r="B1121">
        <v>23</v>
      </c>
      <c r="C1121" t="s">
        <v>12</v>
      </c>
      <c r="D1121" t="s">
        <v>15</v>
      </c>
      <c r="E1121">
        <v>12.24</v>
      </c>
      <c r="F1121">
        <v>8.52</v>
      </c>
      <c r="G1121">
        <v>5.91</v>
      </c>
      <c r="H1121" t="s">
        <v>20</v>
      </c>
      <c r="I1121" t="s">
        <v>24</v>
      </c>
      <c r="J1121" t="s">
        <v>26</v>
      </c>
      <c r="K1121">
        <v>7</v>
      </c>
      <c r="L1121" t="s">
        <v>29</v>
      </c>
    </row>
    <row r="1122" spans="1:12" x14ac:dyDescent="0.25">
      <c r="A1122">
        <v>1121</v>
      </c>
      <c r="B1122">
        <v>70</v>
      </c>
      <c r="C1122" t="s">
        <v>13</v>
      </c>
      <c r="D1122" t="s">
        <v>16</v>
      </c>
      <c r="E1122">
        <v>29.26</v>
      </c>
      <c r="F1122">
        <v>7.18</v>
      </c>
      <c r="G1122">
        <v>32.840000000000003</v>
      </c>
      <c r="H1122" t="s">
        <v>20</v>
      </c>
      <c r="I1122" t="s">
        <v>22</v>
      </c>
      <c r="J1122" t="s">
        <v>26</v>
      </c>
      <c r="K1122">
        <v>32</v>
      </c>
      <c r="L1122" t="s">
        <v>29</v>
      </c>
    </row>
    <row r="1123" spans="1:12" x14ac:dyDescent="0.25">
      <c r="A1123">
        <v>1122</v>
      </c>
      <c r="B1123">
        <v>19</v>
      </c>
      <c r="C1123" t="s">
        <v>13</v>
      </c>
      <c r="D1123" t="s">
        <v>17</v>
      </c>
      <c r="E1123">
        <v>14.79</v>
      </c>
      <c r="F1123">
        <v>19.36</v>
      </c>
      <c r="G1123">
        <v>6.7</v>
      </c>
      <c r="H1123" t="s">
        <v>21</v>
      </c>
      <c r="I1123" t="s">
        <v>23</v>
      </c>
      <c r="J1123" t="s">
        <v>28</v>
      </c>
      <c r="K1123">
        <v>27</v>
      </c>
      <c r="L1123" t="s">
        <v>30</v>
      </c>
    </row>
    <row r="1124" spans="1:12" x14ac:dyDescent="0.25">
      <c r="A1124">
        <v>1123</v>
      </c>
      <c r="B1124">
        <v>30</v>
      </c>
      <c r="C1124" t="s">
        <v>12</v>
      </c>
      <c r="D1124" t="s">
        <v>14</v>
      </c>
      <c r="E1124">
        <v>15.72</v>
      </c>
      <c r="F1124">
        <v>38.020000000000003</v>
      </c>
      <c r="G1124">
        <v>2.79</v>
      </c>
      <c r="H1124" t="s">
        <v>19</v>
      </c>
      <c r="I1124" t="s">
        <v>23</v>
      </c>
      <c r="J1124" t="s">
        <v>26</v>
      </c>
      <c r="K1124">
        <v>26</v>
      </c>
      <c r="L1124" t="s">
        <v>30</v>
      </c>
    </row>
    <row r="1125" spans="1:12" x14ac:dyDescent="0.25">
      <c r="A1125">
        <v>1124</v>
      </c>
      <c r="B1125">
        <v>79</v>
      </c>
      <c r="C1125" t="s">
        <v>12</v>
      </c>
      <c r="D1125" t="s">
        <v>16</v>
      </c>
      <c r="E1125">
        <v>25.98</v>
      </c>
      <c r="F1125">
        <v>3.33</v>
      </c>
      <c r="G1125">
        <v>6.12</v>
      </c>
      <c r="H1125" t="s">
        <v>19</v>
      </c>
      <c r="I1125" t="s">
        <v>22</v>
      </c>
      <c r="J1125" t="s">
        <v>26</v>
      </c>
      <c r="K1125">
        <v>32</v>
      </c>
      <c r="L1125" t="s">
        <v>30</v>
      </c>
    </row>
    <row r="1126" spans="1:12" x14ac:dyDescent="0.25">
      <c r="A1126">
        <v>1125</v>
      </c>
      <c r="B1126">
        <v>60</v>
      </c>
      <c r="C1126" t="s">
        <v>13</v>
      </c>
      <c r="D1126" t="s">
        <v>16</v>
      </c>
      <c r="E1126">
        <v>20.56</v>
      </c>
      <c r="F1126">
        <v>13.83</v>
      </c>
      <c r="G1126">
        <v>6.2</v>
      </c>
      <c r="H1126" t="s">
        <v>19</v>
      </c>
      <c r="I1126" t="s">
        <v>22</v>
      </c>
      <c r="J1126" t="s">
        <v>25</v>
      </c>
      <c r="K1126">
        <v>22</v>
      </c>
      <c r="L1126" t="s">
        <v>30</v>
      </c>
    </row>
    <row r="1127" spans="1:12" x14ac:dyDescent="0.25">
      <c r="A1127">
        <v>1126</v>
      </c>
      <c r="B1127">
        <v>60</v>
      </c>
      <c r="C1127" t="s">
        <v>12</v>
      </c>
      <c r="D1127" t="s">
        <v>15</v>
      </c>
      <c r="E1127">
        <v>23.98</v>
      </c>
      <c r="F1127">
        <v>17.670000000000002</v>
      </c>
      <c r="G1127">
        <v>3.42</v>
      </c>
      <c r="H1127" t="s">
        <v>19</v>
      </c>
      <c r="I1127" t="s">
        <v>24</v>
      </c>
      <c r="J1127" t="s">
        <v>26</v>
      </c>
      <c r="K1127">
        <v>5</v>
      </c>
      <c r="L1127" t="s">
        <v>29</v>
      </c>
    </row>
    <row r="1128" spans="1:12" x14ac:dyDescent="0.25">
      <c r="A1128">
        <v>1127</v>
      </c>
      <c r="B1128">
        <v>65</v>
      </c>
      <c r="C1128" t="s">
        <v>13</v>
      </c>
      <c r="D1128" t="s">
        <v>16</v>
      </c>
      <c r="E1128">
        <v>25.81</v>
      </c>
      <c r="F1128">
        <v>22.9</v>
      </c>
      <c r="G1128">
        <v>8.4</v>
      </c>
      <c r="H1128" t="s">
        <v>19</v>
      </c>
      <c r="I1128" t="s">
        <v>23</v>
      </c>
      <c r="J1128" t="s">
        <v>25</v>
      </c>
      <c r="K1128">
        <v>34</v>
      </c>
      <c r="L1128" t="s">
        <v>29</v>
      </c>
    </row>
    <row r="1129" spans="1:12" x14ac:dyDescent="0.25">
      <c r="A1129">
        <v>1128</v>
      </c>
      <c r="B1129">
        <v>28</v>
      </c>
      <c r="C1129" t="s">
        <v>13</v>
      </c>
      <c r="D1129" t="s">
        <v>15</v>
      </c>
      <c r="E1129">
        <v>9.9499999999999993</v>
      </c>
      <c r="F1129">
        <v>17.79</v>
      </c>
      <c r="G1129">
        <v>4.34</v>
      </c>
      <c r="H1129" t="s">
        <v>18</v>
      </c>
      <c r="I1129" t="s">
        <v>24</v>
      </c>
      <c r="J1129" t="s">
        <v>26</v>
      </c>
      <c r="K1129">
        <v>10</v>
      </c>
      <c r="L1129" t="s">
        <v>29</v>
      </c>
    </row>
    <row r="1130" spans="1:12" x14ac:dyDescent="0.25">
      <c r="A1130">
        <v>1129</v>
      </c>
      <c r="B1130">
        <v>68</v>
      </c>
      <c r="C1130" t="s">
        <v>13</v>
      </c>
      <c r="D1130" t="s">
        <v>14</v>
      </c>
      <c r="E1130">
        <v>10.65</v>
      </c>
      <c r="F1130">
        <v>6.8</v>
      </c>
      <c r="G1130">
        <v>9.86</v>
      </c>
      <c r="H1130" t="s">
        <v>20</v>
      </c>
      <c r="I1130" t="s">
        <v>23</v>
      </c>
      <c r="J1130" t="s">
        <v>26</v>
      </c>
      <c r="K1130">
        <v>25</v>
      </c>
      <c r="L1130" t="s">
        <v>29</v>
      </c>
    </row>
    <row r="1131" spans="1:12" x14ac:dyDescent="0.25">
      <c r="A1131">
        <v>1130</v>
      </c>
      <c r="B1131">
        <v>64</v>
      </c>
      <c r="C1131" t="s">
        <v>13</v>
      </c>
      <c r="D1131" t="s">
        <v>16</v>
      </c>
      <c r="E1131">
        <v>9.08</v>
      </c>
      <c r="F1131">
        <v>2.97</v>
      </c>
      <c r="G1131">
        <v>5.86</v>
      </c>
      <c r="H1131" t="s">
        <v>20</v>
      </c>
      <c r="I1131" t="s">
        <v>24</v>
      </c>
      <c r="J1131" t="s">
        <v>26</v>
      </c>
      <c r="K1131">
        <v>18</v>
      </c>
      <c r="L1131" t="s">
        <v>29</v>
      </c>
    </row>
    <row r="1132" spans="1:12" x14ac:dyDescent="0.25">
      <c r="A1132">
        <v>1131</v>
      </c>
      <c r="B1132">
        <v>74</v>
      </c>
      <c r="C1132" t="s">
        <v>13</v>
      </c>
      <c r="D1132" t="s">
        <v>15</v>
      </c>
      <c r="E1132">
        <v>11.08</v>
      </c>
      <c r="F1132">
        <v>7.84</v>
      </c>
      <c r="G1132">
        <v>25.32</v>
      </c>
      <c r="H1132" t="s">
        <v>21</v>
      </c>
      <c r="I1132" t="s">
        <v>24</v>
      </c>
      <c r="J1132" t="s">
        <v>26</v>
      </c>
      <c r="K1132">
        <v>27</v>
      </c>
      <c r="L1132" t="s">
        <v>30</v>
      </c>
    </row>
    <row r="1133" spans="1:12" x14ac:dyDescent="0.25">
      <c r="A1133">
        <v>1132</v>
      </c>
      <c r="B1133">
        <v>40</v>
      </c>
      <c r="C1133" t="s">
        <v>13</v>
      </c>
      <c r="D1133" t="s">
        <v>15</v>
      </c>
      <c r="E1133">
        <v>15.31</v>
      </c>
      <c r="F1133">
        <v>17.38</v>
      </c>
      <c r="G1133">
        <v>27.32</v>
      </c>
      <c r="H1133" t="s">
        <v>18</v>
      </c>
      <c r="I1133" t="s">
        <v>22</v>
      </c>
      <c r="J1133" t="s">
        <v>25</v>
      </c>
      <c r="K1133">
        <v>17</v>
      </c>
      <c r="L1133" t="s">
        <v>29</v>
      </c>
    </row>
    <row r="1134" spans="1:12" x14ac:dyDescent="0.25">
      <c r="A1134">
        <v>1133</v>
      </c>
      <c r="B1134">
        <v>72</v>
      </c>
      <c r="C1134" t="s">
        <v>12</v>
      </c>
      <c r="D1134" t="s">
        <v>15</v>
      </c>
      <c r="E1134">
        <v>16.07</v>
      </c>
      <c r="F1134">
        <v>6.21</v>
      </c>
      <c r="G1134">
        <v>46.53</v>
      </c>
      <c r="H1134" t="s">
        <v>19</v>
      </c>
      <c r="I1134" t="s">
        <v>22</v>
      </c>
      <c r="J1134" t="s">
        <v>25</v>
      </c>
      <c r="K1134">
        <v>10</v>
      </c>
      <c r="L1134" t="s">
        <v>29</v>
      </c>
    </row>
    <row r="1135" spans="1:12" x14ac:dyDescent="0.25">
      <c r="A1135">
        <v>1134</v>
      </c>
      <c r="B1135">
        <v>33</v>
      </c>
      <c r="C1135" t="s">
        <v>12</v>
      </c>
      <c r="D1135" t="s">
        <v>16</v>
      </c>
      <c r="E1135">
        <v>37.9</v>
      </c>
      <c r="F1135">
        <v>25.36</v>
      </c>
      <c r="G1135">
        <v>13.31</v>
      </c>
      <c r="H1135" t="s">
        <v>19</v>
      </c>
      <c r="I1135" t="s">
        <v>23</v>
      </c>
      <c r="J1135" t="s">
        <v>26</v>
      </c>
      <c r="K1135">
        <v>27</v>
      </c>
      <c r="L1135" t="s">
        <v>29</v>
      </c>
    </row>
    <row r="1136" spans="1:12" x14ac:dyDescent="0.25">
      <c r="A1136">
        <v>1135</v>
      </c>
      <c r="B1136">
        <v>48</v>
      </c>
      <c r="C1136" t="s">
        <v>13</v>
      </c>
      <c r="D1136" t="s">
        <v>15</v>
      </c>
      <c r="E1136">
        <v>19.93</v>
      </c>
      <c r="F1136">
        <v>9.06</v>
      </c>
      <c r="G1136">
        <v>14.82</v>
      </c>
      <c r="H1136" t="s">
        <v>19</v>
      </c>
      <c r="I1136" t="s">
        <v>23</v>
      </c>
      <c r="J1136" t="s">
        <v>27</v>
      </c>
      <c r="K1136">
        <v>21</v>
      </c>
      <c r="L1136" t="s">
        <v>30</v>
      </c>
    </row>
    <row r="1137" spans="1:12" x14ac:dyDescent="0.25">
      <c r="A1137">
        <v>1136</v>
      </c>
      <c r="B1137">
        <v>28</v>
      </c>
      <c r="C1137" t="s">
        <v>13</v>
      </c>
      <c r="D1137" t="s">
        <v>17</v>
      </c>
      <c r="E1137">
        <v>15.51</v>
      </c>
      <c r="F1137">
        <v>5.88</v>
      </c>
      <c r="G1137">
        <v>11.03</v>
      </c>
      <c r="H1137" t="s">
        <v>18</v>
      </c>
      <c r="I1137" t="s">
        <v>23</v>
      </c>
      <c r="J1137" t="s">
        <v>26</v>
      </c>
      <c r="K1137">
        <v>15</v>
      </c>
      <c r="L1137" t="s">
        <v>29</v>
      </c>
    </row>
    <row r="1138" spans="1:12" x14ac:dyDescent="0.25">
      <c r="A1138">
        <v>1137</v>
      </c>
      <c r="B1138">
        <v>71</v>
      </c>
      <c r="C1138" t="s">
        <v>13</v>
      </c>
      <c r="D1138" t="s">
        <v>15</v>
      </c>
      <c r="E1138">
        <v>7.64</v>
      </c>
      <c r="F1138">
        <v>14.95</v>
      </c>
      <c r="G1138">
        <v>6.29</v>
      </c>
      <c r="H1138" t="s">
        <v>21</v>
      </c>
      <c r="I1138" t="s">
        <v>23</v>
      </c>
      <c r="J1138" t="s">
        <v>26</v>
      </c>
      <c r="K1138">
        <v>14</v>
      </c>
      <c r="L1138" t="s">
        <v>29</v>
      </c>
    </row>
    <row r="1139" spans="1:12" x14ac:dyDescent="0.25">
      <c r="A1139">
        <v>1138</v>
      </c>
      <c r="B1139">
        <v>33</v>
      </c>
      <c r="C1139" t="s">
        <v>12</v>
      </c>
      <c r="D1139" t="s">
        <v>16</v>
      </c>
      <c r="E1139">
        <v>13.49</v>
      </c>
      <c r="F1139">
        <v>8.35</v>
      </c>
      <c r="G1139">
        <v>11.66</v>
      </c>
      <c r="H1139" t="s">
        <v>18</v>
      </c>
      <c r="I1139" t="s">
        <v>22</v>
      </c>
      <c r="J1139" t="s">
        <v>25</v>
      </c>
      <c r="K1139">
        <v>17</v>
      </c>
      <c r="L1139" t="s">
        <v>29</v>
      </c>
    </row>
    <row r="1140" spans="1:12" x14ac:dyDescent="0.25">
      <c r="A1140">
        <v>1139</v>
      </c>
      <c r="B1140">
        <v>25</v>
      </c>
      <c r="C1140" t="s">
        <v>13</v>
      </c>
      <c r="D1140" t="s">
        <v>14</v>
      </c>
      <c r="E1140">
        <v>45.8</v>
      </c>
      <c r="F1140">
        <v>7.02</v>
      </c>
      <c r="G1140">
        <v>17.98</v>
      </c>
      <c r="H1140" t="s">
        <v>21</v>
      </c>
      <c r="I1140" t="s">
        <v>23</v>
      </c>
      <c r="J1140" t="s">
        <v>25</v>
      </c>
      <c r="K1140">
        <v>25</v>
      </c>
      <c r="L1140" t="s">
        <v>30</v>
      </c>
    </row>
    <row r="1141" spans="1:12" x14ac:dyDescent="0.25">
      <c r="A1141">
        <v>1140</v>
      </c>
      <c r="B1141">
        <v>21</v>
      </c>
      <c r="C1141" t="s">
        <v>12</v>
      </c>
      <c r="D1141" t="s">
        <v>16</v>
      </c>
      <c r="E1141">
        <v>45.37</v>
      </c>
      <c r="F1141">
        <v>35.020000000000003</v>
      </c>
      <c r="G1141">
        <v>15.97</v>
      </c>
      <c r="H1141" t="s">
        <v>20</v>
      </c>
      <c r="I1141" t="s">
        <v>24</v>
      </c>
      <c r="J1141" t="s">
        <v>26</v>
      </c>
      <c r="K1141">
        <v>4</v>
      </c>
      <c r="L1141" t="s">
        <v>29</v>
      </c>
    </row>
    <row r="1142" spans="1:12" x14ac:dyDescent="0.25">
      <c r="A1142">
        <v>1141</v>
      </c>
      <c r="B1142">
        <v>57</v>
      </c>
      <c r="C1142" t="s">
        <v>13</v>
      </c>
      <c r="D1142" t="s">
        <v>16</v>
      </c>
      <c r="E1142">
        <v>13.38</v>
      </c>
      <c r="F1142">
        <v>6.18</v>
      </c>
      <c r="G1142">
        <v>9.83</v>
      </c>
      <c r="H1142" t="s">
        <v>21</v>
      </c>
      <c r="I1142" t="s">
        <v>23</v>
      </c>
      <c r="J1142" t="s">
        <v>25</v>
      </c>
      <c r="K1142">
        <v>25</v>
      </c>
      <c r="L1142" t="s">
        <v>29</v>
      </c>
    </row>
    <row r="1143" spans="1:12" x14ac:dyDescent="0.25">
      <c r="A1143">
        <v>1142</v>
      </c>
      <c r="B1143">
        <v>21</v>
      </c>
      <c r="C1143" t="s">
        <v>13</v>
      </c>
      <c r="D1143" t="s">
        <v>15</v>
      </c>
      <c r="E1143">
        <v>4.16</v>
      </c>
      <c r="F1143">
        <v>7.62</v>
      </c>
      <c r="G1143">
        <v>10.79</v>
      </c>
      <c r="H1143" t="s">
        <v>20</v>
      </c>
      <c r="I1143" t="s">
        <v>22</v>
      </c>
      <c r="J1143" t="s">
        <v>26</v>
      </c>
      <c r="K1143">
        <v>7</v>
      </c>
      <c r="L1143" t="s">
        <v>29</v>
      </c>
    </row>
    <row r="1144" spans="1:12" x14ac:dyDescent="0.25">
      <c r="A1144">
        <v>1143</v>
      </c>
      <c r="B1144">
        <v>73</v>
      </c>
      <c r="C1144" t="s">
        <v>12</v>
      </c>
      <c r="D1144" t="s">
        <v>15</v>
      </c>
      <c r="E1144">
        <v>12.16</v>
      </c>
      <c r="F1144">
        <v>15.11</v>
      </c>
      <c r="G1144">
        <v>3.73</v>
      </c>
      <c r="H1144" t="s">
        <v>21</v>
      </c>
      <c r="I1144" t="s">
        <v>22</v>
      </c>
      <c r="J1144" t="s">
        <v>25</v>
      </c>
      <c r="K1144">
        <v>12</v>
      </c>
      <c r="L1144" t="s">
        <v>29</v>
      </c>
    </row>
    <row r="1145" spans="1:12" x14ac:dyDescent="0.25">
      <c r="A1145">
        <v>1144</v>
      </c>
      <c r="B1145">
        <v>42</v>
      </c>
      <c r="C1145" t="s">
        <v>12</v>
      </c>
      <c r="D1145" t="s">
        <v>16</v>
      </c>
      <c r="E1145">
        <v>38.15</v>
      </c>
      <c r="F1145">
        <v>25.1</v>
      </c>
      <c r="G1145">
        <v>10.54</v>
      </c>
      <c r="H1145" t="s">
        <v>20</v>
      </c>
      <c r="I1145" t="s">
        <v>23</v>
      </c>
      <c r="J1145" t="s">
        <v>27</v>
      </c>
      <c r="K1145">
        <v>29</v>
      </c>
      <c r="L1145" t="s">
        <v>29</v>
      </c>
    </row>
    <row r="1146" spans="1:12" x14ac:dyDescent="0.25">
      <c r="A1146">
        <v>1145</v>
      </c>
      <c r="B1146">
        <v>20</v>
      </c>
      <c r="C1146" t="s">
        <v>13</v>
      </c>
      <c r="D1146" t="s">
        <v>17</v>
      </c>
      <c r="E1146">
        <v>15.38</v>
      </c>
      <c r="F1146">
        <v>14.1</v>
      </c>
      <c r="G1146">
        <v>4.72</v>
      </c>
      <c r="H1146" t="s">
        <v>20</v>
      </c>
      <c r="I1146" t="s">
        <v>23</v>
      </c>
      <c r="J1146" t="s">
        <v>25</v>
      </c>
      <c r="K1146">
        <v>6</v>
      </c>
      <c r="L1146" t="s">
        <v>29</v>
      </c>
    </row>
    <row r="1147" spans="1:12" x14ac:dyDescent="0.25">
      <c r="A1147">
        <v>1146</v>
      </c>
      <c r="B1147">
        <v>49</v>
      </c>
      <c r="C1147" t="s">
        <v>13</v>
      </c>
      <c r="D1147" t="s">
        <v>17</v>
      </c>
      <c r="E1147">
        <v>25.99</v>
      </c>
      <c r="F1147">
        <v>10.82</v>
      </c>
      <c r="G1147">
        <v>15.62</v>
      </c>
      <c r="H1147" t="s">
        <v>19</v>
      </c>
      <c r="I1147" t="s">
        <v>23</v>
      </c>
      <c r="J1147" t="s">
        <v>26</v>
      </c>
      <c r="K1147">
        <v>6</v>
      </c>
      <c r="L1147" t="s">
        <v>29</v>
      </c>
    </row>
    <row r="1148" spans="1:12" x14ac:dyDescent="0.25">
      <c r="A1148">
        <v>1147</v>
      </c>
      <c r="B1148">
        <v>20</v>
      </c>
      <c r="C1148" t="s">
        <v>13</v>
      </c>
      <c r="D1148" t="s">
        <v>15</v>
      </c>
      <c r="E1148">
        <v>16.600000000000001</v>
      </c>
      <c r="F1148">
        <v>37.729999999999997</v>
      </c>
      <c r="G1148">
        <v>15.36</v>
      </c>
      <c r="H1148" t="s">
        <v>21</v>
      </c>
      <c r="I1148" t="s">
        <v>22</v>
      </c>
      <c r="J1148" t="s">
        <v>25</v>
      </c>
      <c r="K1148">
        <v>10</v>
      </c>
      <c r="L1148" t="s">
        <v>29</v>
      </c>
    </row>
    <row r="1149" spans="1:12" x14ac:dyDescent="0.25">
      <c r="A1149">
        <v>1148</v>
      </c>
      <c r="B1149">
        <v>44</v>
      </c>
      <c r="C1149" t="s">
        <v>12</v>
      </c>
      <c r="D1149" t="s">
        <v>15</v>
      </c>
      <c r="E1149">
        <v>5.25</v>
      </c>
      <c r="F1149">
        <v>7.33</v>
      </c>
      <c r="G1149">
        <v>22.35</v>
      </c>
      <c r="H1149" t="s">
        <v>19</v>
      </c>
      <c r="I1149" t="s">
        <v>22</v>
      </c>
      <c r="J1149" t="s">
        <v>25</v>
      </c>
      <c r="K1149">
        <v>8</v>
      </c>
      <c r="L1149" t="s">
        <v>30</v>
      </c>
    </row>
    <row r="1150" spans="1:12" x14ac:dyDescent="0.25">
      <c r="A1150">
        <v>1149</v>
      </c>
      <c r="B1150">
        <v>46</v>
      </c>
      <c r="C1150" t="s">
        <v>12</v>
      </c>
      <c r="D1150" t="s">
        <v>15</v>
      </c>
      <c r="E1150">
        <v>16.989999999999998</v>
      </c>
      <c r="F1150">
        <v>7.36</v>
      </c>
      <c r="G1150">
        <v>6.42</v>
      </c>
      <c r="H1150" t="s">
        <v>20</v>
      </c>
      <c r="I1150" t="s">
        <v>23</v>
      </c>
      <c r="J1150" t="s">
        <v>26</v>
      </c>
      <c r="K1150">
        <v>27</v>
      </c>
      <c r="L1150" t="s">
        <v>30</v>
      </c>
    </row>
    <row r="1151" spans="1:12" x14ac:dyDescent="0.25">
      <c r="A1151">
        <v>1150</v>
      </c>
      <c r="B1151">
        <v>49</v>
      </c>
      <c r="C1151" t="s">
        <v>12</v>
      </c>
      <c r="D1151" t="s">
        <v>14</v>
      </c>
      <c r="E1151">
        <v>28.16</v>
      </c>
      <c r="F1151">
        <v>6.25</v>
      </c>
      <c r="G1151">
        <v>1.39</v>
      </c>
      <c r="H1151" t="s">
        <v>19</v>
      </c>
      <c r="I1151" t="s">
        <v>24</v>
      </c>
      <c r="J1151" t="s">
        <v>26</v>
      </c>
      <c r="K1151">
        <v>29</v>
      </c>
      <c r="L1151" t="s">
        <v>30</v>
      </c>
    </row>
    <row r="1152" spans="1:12" x14ac:dyDescent="0.25">
      <c r="A1152">
        <v>1151</v>
      </c>
      <c r="B1152">
        <v>67</v>
      </c>
      <c r="C1152" t="s">
        <v>12</v>
      </c>
      <c r="D1152" t="s">
        <v>15</v>
      </c>
      <c r="E1152">
        <v>10.97</v>
      </c>
      <c r="F1152">
        <v>13.48</v>
      </c>
      <c r="G1152">
        <v>12.06</v>
      </c>
      <c r="H1152" t="s">
        <v>18</v>
      </c>
      <c r="I1152" t="s">
        <v>23</v>
      </c>
      <c r="J1152" t="s">
        <v>28</v>
      </c>
      <c r="K1152">
        <v>22</v>
      </c>
      <c r="L1152" t="s">
        <v>30</v>
      </c>
    </row>
    <row r="1153" spans="1:12" x14ac:dyDescent="0.25">
      <c r="A1153">
        <v>1152</v>
      </c>
      <c r="B1153">
        <v>78</v>
      </c>
      <c r="C1153" t="s">
        <v>12</v>
      </c>
      <c r="D1153" t="s">
        <v>17</v>
      </c>
      <c r="E1153">
        <v>27.7</v>
      </c>
      <c r="F1153">
        <v>4.78</v>
      </c>
      <c r="G1153">
        <v>14.11</v>
      </c>
      <c r="H1153" t="s">
        <v>19</v>
      </c>
      <c r="I1153" t="s">
        <v>22</v>
      </c>
      <c r="J1153" t="s">
        <v>26</v>
      </c>
      <c r="K1153">
        <v>29</v>
      </c>
      <c r="L1153" t="s">
        <v>29</v>
      </c>
    </row>
    <row r="1154" spans="1:12" x14ac:dyDescent="0.25">
      <c r="A1154">
        <v>1153</v>
      </c>
      <c r="B1154">
        <v>75</v>
      </c>
      <c r="C1154" t="s">
        <v>12</v>
      </c>
      <c r="D1154" t="s">
        <v>15</v>
      </c>
      <c r="E1154">
        <v>17.71</v>
      </c>
      <c r="F1154">
        <v>3.74</v>
      </c>
      <c r="G1154">
        <v>13.44</v>
      </c>
      <c r="H1154" t="s">
        <v>21</v>
      </c>
      <c r="I1154" t="s">
        <v>23</v>
      </c>
      <c r="J1154" t="s">
        <v>26</v>
      </c>
      <c r="K1154">
        <v>9</v>
      </c>
      <c r="L1154" t="s">
        <v>29</v>
      </c>
    </row>
    <row r="1155" spans="1:12" x14ac:dyDescent="0.25">
      <c r="A1155">
        <v>1154</v>
      </c>
      <c r="B1155">
        <v>68</v>
      </c>
      <c r="C1155" t="s">
        <v>13</v>
      </c>
      <c r="D1155" t="s">
        <v>16</v>
      </c>
      <c r="E1155">
        <v>26.8</v>
      </c>
      <c r="F1155">
        <v>7.6</v>
      </c>
      <c r="G1155">
        <v>2.4700000000000002</v>
      </c>
      <c r="H1155" t="s">
        <v>19</v>
      </c>
      <c r="I1155" t="s">
        <v>22</v>
      </c>
      <c r="J1155" t="s">
        <v>26</v>
      </c>
      <c r="K1155">
        <v>25</v>
      </c>
      <c r="L1155" t="s">
        <v>29</v>
      </c>
    </row>
    <row r="1156" spans="1:12" x14ac:dyDescent="0.25">
      <c r="A1156">
        <v>1155</v>
      </c>
      <c r="B1156">
        <v>36</v>
      </c>
      <c r="C1156" t="s">
        <v>13</v>
      </c>
      <c r="D1156" t="s">
        <v>15</v>
      </c>
      <c r="E1156">
        <v>20.75</v>
      </c>
      <c r="F1156">
        <v>2.21</v>
      </c>
      <c r="G1156">
        <v>29.1</v>
      </c>
      <c r="H1156" t="s">
        <v>18</v>
      </c>
      <c r="I1156" t="s">
        <v>24</v>
      </c>
      <c r="J1156" t="s">
        <v>25</v>
      </c>
      <c r="K1156">
        <v>22</v>
      </c>
      <c r="L1156" t="s">
        <v>29</v>
      </c>
    </row>
    <row r="1157" spans="1:12" x14ac:dyDescent="0.25">
      <c r="A1157">
        <v>1156</v>
      </c>
      <c r="B1157">
        <v>38</v>
      </c>
      <c r="C1157" t="s">
        <v>12</v>
      </c>
      <c r="D1157" t="s">
        <v>14</v>
      </c>
      <c r="E1157">
        <v>8.0399999999999991</v>
      </c>
      <c r="F1157">
        <v>12.23</v>
      </c>
      <c r="G1157">
        <v>16.12</v>
      </c>
      <c r="H1157" t="s">
        <v>19</v>
      </c>
      <c r="I1157" t="s">
        <v>22</v>
      </c>
      <c r="J1157" t="s">
        <v>27</v>
      </c>
      <c r="K1157">
        <v>31</v>
      </c>
      <c r="L1157" t="s">
        <v>29</v>
      </c>
    </row>
    <row r="1158" spans="1:12" x14ac:dyDescent="0.25">
      <c r="A1158">
        <v>1157</v>
      </c>
      <c r="B1158">
        <v>22</v>
      </c>
      <c r="C1158" t="s">
        <v>13</v>
      </c>
      <c r="D1158" t="s">
        <v>14</v>
      </c>
      <c r="E1158">
        <v>13.59</v>
      </c>
      <c r="F1158">
        <v>13.5</v>
      </c>
      <c r="G1158">
        <v>15.84</v>
      </c>
      <c r="H1158" t="s">
        <v>20</v>
      </c>
      <c r="I1158" t="s">
        <v>23</v>
      </c>
      <c r="J1158" t="s">
        <v>25</v>
      </c>
      <c r="K1158">
        <v>7</v>
      </c>
      <c r="L1158" t="s">
        <v>29</v>
      </c>
    </row>
    <row r="1159" spans="1:12" x14ac:dyDescent="0.25">
      <c r="A1159">
        <v>1158</v>
      </c>
      <c r="B1159">
        <v>35</v>
      </c>
      <c r="C1159" t="s">
        <v>13</v>
      </c>
      <c r="D1159" t="s">
        <v>15</v>
      </c>
      <c r="E1159">
        <v>13.29</v>
      </c>
      <c r="F1159">
        <v>15.21</v>
      </c>
      <c r="G1159">
        <v>16.260000000000002</v>
      </c>
      <c r="H1159" t="s">
        <v>20</v>
      </c>
      <c r="I1159" t="s">
        <v>23</v>
      </c>
      <c r="J1159" t="s">
        <v>26</v>
      </c>
      <c r="K1159">
        <v>29</v>
      </c>
      <c r="L1159" t="s">
        <v>29</v>
      </c>
    </row>
    <row r="1160" spans="1:12" x14ac:dyDescent="0.25">
      <c r="A1160">
        <v>1159</v>
      </c>
      <c r="B1160">
        <v>45</v>
      </c>
      <c r="C1160" t="s">
        <v>12</v>
      </c>
      <c r="D1160" t="s">
        <v>14</v>
      </c>
      <c r="E1160">
        <v>10.6</v>
      </c>
      <c r="F1160">
        <v>18.440000000000001</v>
      </c>
      <c r="G1160">
        <v>7.81</v>
      </c>
      <c r="H1160" t="s">
        <v>20</v>
      </c>
      <c r="I1160" t="s">
        <v>24</v>
      </c>
      <c r="J1160" t="s">
        <v>25</v>
      </c>
      <c r="K1160">
        <v>14</v>
      </c>
      <c r="L1160" t="s">
        <v>29</v>
      </c>
    </row>
    <row r="1161" spans="1:12" x14ac:dyDescent="0.25">
      <c r="A1161">
        <v>1160</v>
      </c>
      <c r="B1161">
        <v>59</v>
      </c>
      <c r="C1161" t="s">
        <v>13</v>
      </c>
      <c r="D1161" t="s">
        <v>14</v>
      </c>
      <c r="E1161">
        <v>19.71</v>
      </c>
      <c r="F1161">
        <v>7.77</v>
      </c>
      <c r="G1161">
        <v>1.43</v>
      </c>
      <c r="H1161" t="s">
        <v>21</v>
      </c>
      <c r="I1161" t="s">
        <v>22</v>
      </c>
      <c r="J1161" t="s">
        <v>25</v>
      </c>
      <c r="K1161">
        <v>19</v>
      </c>
      <c r="L1161" t="s">
        <v>29</v>
      </c>
    </row>
    <row r="1162" spans="1:12" x14ac:dyDescent="0.25">
      <c r="A1162">
        <v>1161</v>
      </c>
      <c r="B1162">
        <v>78</v>
      </c>
      <c r="C1162" t="s">
        <v>12</v>
      </c>
      <c r="D1162" t="s">
        <v>14</v>
      </c>
      <c r="E1162">
        <v>50.72</v>
      </c>
      <c r="F1162">
        <v>23.18</v>
      </c>
      <c r="G1162">
        <v>13.53</v>
      </c>
      <c r="H1162" t="s">
        <v>19</v>
      </c>
      <c r="I1162" t="s">
        <v>23</v>
      </c>
      <c r="J1162" t="s">
        <v>25</v>
      </c>
      <c r="K1162">
        <v>32</v>
      </c>
      <c r="L1162" t="s">
        <v>29</v>
      </c>
    </row>
    <row r="1163" spans="1:12" x14ac:dyDescent="0.25">
      <c r="A1163">
        <v>1162</v>
      </c>
      <c r="B1163">
        <v>39</v>
      </c>
      <c r="C1163" t="s">
        <v>12</v>
      </c>
      <c r="D1163" t="s">
        <v>14</v>
      </c>
      <c r="E1163">
        <v>32.39</v>
      </c>
      <c r="F1163">
        <v>21.64</v>
      </c>
      <c r="G1163">
        <v>9.86</v>
      </c>
      <c r="H1163" t="s">
        <v>20</v>
      </c>
      <c r="I1163" t="s">
        <v>22</v>
      </c>
      <c r="J1163" t="s">
        <v>26</v>
      </c>
      <c r="K1163">
        <v>8</v>
      </c>
      <c r="L1163" t="s">
        <v>30</v>
      </c>
    </row>
    <row r="1164" spans="1:12" x14ac:dyDescent="0.25">
      <c r="A1164">
        <v>1163</v>
      </c>
      <c r="B1164">
        <v>38</v>
      </c>
      <c r="C1164" t="s">
        <v>13</v>
      </c>
      <c r="D1164" t="s">
        <v>15</v>
      </c>
      <c r="E1164">
        <v>35.04</v>
      </c>
      <c r="F1164">
        <v>4.2</v>
      </c>
      <c r="G1164">
        <v>19.690000000000001</v>
      </c>
      <c r="H1164" t="s">
        <v>19</v>
      </c>
      <c r="I1164" t="s">
        <v>23</v>
      </c>
      <c r="J1164" t="s">
        <v>25</v>
      </c>
      <c r="K1164">
        <v>34</v>
      </c>
      <c r="L1164" t="s">
        <v>29</v>
      </c>
    </row>
    <row r="1165" spans="1:12" x14ac:dyDescent="0.25">
      <c r="A1165">
        <v>1164</v>
      </c>
      <c r="B1165">
        <v>23</v>
      </c>
      <c r="C1165" t="s">
        <v>12</v>
      </c>
      <c r="D1165" t="s">
        <v>17</v>
      </c>
      <c r="E1165">
        <v>10.130000000000001</v>
      </c>
      <c r="F1165">
        <v>9.7100000000000009</v>
      </c>
      <c r="G1165">
        <v>12.68</v>
      </c>
      <c r="H1165" t="s">
        <v>18</v>
      </c>
      <c r="I1165" t="s">
        <v>23</v>
      </c>
      <c r="J1165" t="s">
        <v>26</v>
      </c>
      <c r="K1165">
        <v>34</v>
      </c>
      <c r="L1165" t="s">
        <v>29</v>
      </c>
    </row>
    <row r="1166" spans="1:12" x14ac:dyDescent="0.25">
      <c r="A1166">
        <v>1165</v>
      </c>
      <c r="B1166">
        <v>18</v>
      </c>
      <c r="C1166" t="s">
        <v>12</v>
      </c>
      <c r="D1166" t="s">
        <v>15</v>
      </c>
      <c r="E1166">
        <v>35.39</v>
      </c>
      <c r="F1166">
        <v>0.81</v>
      </c>
      <c r="G1166">
        <v>0.49</v>
      </c>
      <c r="H1166" t="s">
        <v>18</v>
      </c>
      <c r="I1166" t="s">
        <v>24</v>
      </c>
      <c r="J1166" t="s">
        <v>26</v>
      </c>
      <c r="K1166">
        <v>11</v>
      </c>
      <c r="L1166" t="s">
        <v>30</v>
      </c>
    </row>
    <row r="1167" spans="1:12" x14ac:dyDescent="0.25">
      <c r="A1167">
        <v>1166</v>
      </c>
      <c r="B1167">
        <v>22</v>
      </c>
      <c r="C1167" t="s">
        <v>12</v>
      </c>
      <c r="D1167" t="s">
        <v>15</v>
      </c>
      <c r="E1167">
        <v>42.53</v>
      </c>
      <c r="F1167">
        <v>23.4</v>
      </c>
      <c r="G1167">
        <v>6</v>
      </c>
      <c r="H1167" t="s">
        <v>21</v>
      </c>
      <c r="I1167" t="s">
        <v>22</v>
      </c>
      <c r="J1167" t="s">
        <v>26</v>
      </c>
      <c r="K1167">
        <v>24</v>
      </c>
      <c r="L1167" t="s">
        <v>29</v>
      </c>
    </row>
    <row r="1168" spans="1:12" x14ac:dyDescent="0.25">
      <c r="A1168">
        <v>1167</v>
      </c>
      <c r="B1168">
        <v>58</v>
      </c>
      <c r="C1168" t="s">
        <v>12</v>
      </c>
      <c r="D1168" t="s">
        <v>14</v>
      </c>
      <c r="E1168">
        <v>9.89</v>
      </c>
      <c r="F1168">
        <v>18.22</v>
      </c>
      <c r="G1168">
        <v>2.98</v>
      </c>
      <c r="H1168" t="s">
        <v>19</v>
      </c>
      <c r="I1168" t="s">
        <v>23</v>
      </c>
      <c r="J1168" t="s">
        <v>28</v>
      </c>
      <c r="K1168">
        <v>12</v>
      </c>
      <c r="L1168" t="s">
        <v>30</v>
      </c>
    </row>
    <row r="1169" spans="1:12" x14ac:dyDescent="0.25">
      <c r="A1169">
        <v>1168</v>
      </c>
      <c r="B1169">
        <v>29</v>
      </c>
      <c r="C1169" t="s">
        <v>12</v>
      </c>
      <c r="D1169" t="s">
        <v>15</v>
      </c>
      <c r="E1169">
        <v>22.24</v>
      </c>
      <c r="F1169">
        <v>27.07</v>
      </c>
      <c r="G1169">
        <v>5.64</v>
      </c>
      <c r="H1169" t="s">
        <v>18</v>
      </c>
      <c r="I1169" t="s">
        <v>22</v>
      </c>
      <c r="J1169" t="s">
        <v>26</v>
      </c>
      <c r="K1169">
        <v>31</v>
      </c>
      <c r="L1169" t="s">
        <v>29</v>
      </c>
    </row>
    <row r="1170" spans="1:12" x14ac:dyDescent="0.25">
      <c r="A1170">
        <v>1169</v>
      </c>
      <c r="B1170">
        <v>43</v>
      </c>
      <c r="C1170" t="s">
        <v>12</v>
      </c>
      <c r="D1170" t="s">
        <v>16</v>
      </c>
      <c r="E1170">
        <v>22.62</v>
      </c>
      <c r="F1170">
        <v>2.52</v>
      </c>
      <c r="G1170">
        <v>18.57</v>
      </c>
      <c r="H1170" t="s">
        <v>21</v>
      </c>
      <c r="I1170" t="s">
        <v>24</v>
      </c>
      <c r="J1170" t="s">
        <v>28</v>
      </c>
      <c r="K1170">
        <v>13</v>
      </c>
      <c r="L1170" t="s">
        <v>29</v>
      </c>
    </row>
    <row r="1171" spans="1:12" x14ac:dyDescent="0.25">
      <c r="A1171">
        <v>1170</v>
      </c>
      <c r="B1171">
        <v>63</v>
      </c>
      <c r="C1171" t="s">
        <v>12</v>
      </c>
      <c r="D1171" t="s">
        <v>14</v>
      </c>
      <c r="E1171">
        <v>14.28</v>
      </c>
      <c r="F1171">
        <v>14.39</v>
      </c>
      <c r="G1171">
        <v>15.63</v>
      </c>
      <c r="H1171" t="s">
        <v>21</v>
      </c>
      <c r="I1171" t="s">
        <v>23</v>
      </c>
      <c r="J1171" t="s">
        <v>26</v>
      </c>
      <c r="K1171">
        <v>30</v>
      </c>
      <c r="L1171" t="s">
        <v>29</v>
      </c>
    </row>
    <row r="1172" spans="1:12" x14ac:dyDescent="0.25">
      <c r="A1172">
        <v>1171</v>
      </c>
      <c r="B1172">
        <v>51</v>
      </c>
      <c r="C1172" t="s">
        <v>12</v>
      </c>
      <c r="D1172" t="s">
        <v>14</v>
      </c>
      <c r="E1172">
        <v>18.7</v>
      </c>
      <c r="F1172">
        <v>6.61</v>
      </c>
      <c r="G1172">
        <v>4.2699999999999996</v>
      </c>
      <c r="H1172" t="s">
        <v>20</v>
      </c>
      <c r="I1172" t="s">
        <v>22</v>
      </c>
      <c r="J1172" t="s">
        <v>25</v>
      </c>
      <c r="K1172">
        <v>4</v>
      </c>
      <c r="L1172" t="s">
        <v>29</v>
      </c>
    </row>
    <row r="1173" spans="1:12" x14ac:dyDescent="0.25">
      <c r="A1173">
        <v>1172</v>
      </c>
      <c r="B1173">
        <v>66</v>
      </c>
      <c r="C1173" t="s">
        <v>13</v>
      </c>
      <c r="D1173" t="s">
        <v>14</v>
      </c>
      <c r="E1173">
        <v>23.32</v>
      </c>
      <c r="F1173">
        <v>1.38</v>
      </c>
      <c r="G1173">
        <v>5.83</v>
      </c>
      <c r="H1173" t="s">
        <v>18</v>
      </c>
      <c r="I1173" t="s">
        <v>22</v>
      </c>
      <c r="J1173" t="s">
        <v>26</v>
      </c>
      <c r="K1173">
        <v>23</v>
      </c>
      <c r="L1173" t="s">
        <v>29</v>
      </c>
    </row>
    <row r="1174" spans="1:12" x14ac:dyDescent="0.25">
      <c r="A1174">
        <v>1173</v>
      </c>
      <c r="B1174">
        <v>31</v>
      </c>
      <c r="C1174" t="s">
        <v>13</v>
      </c>
      <c r="D1174" t="s">
        <v>15</v>
      </c>
      <c r="E1174">
        <v>14.93</v>
      </c>
      <c r="F1174">
        <v>20.11</v>
      </c>
      <c r="G1174">
        <v>15.15</v>
      </c>
      <c r="H1174" t="s">
        <v>19</v>
      </c>
      <c r="I1174" t="s">
        <v>23</v>
      </c>
      <c r="J1174" t="s">
        <v>26</v>
      </c>
      <c r="K1174">
        <v>33</v>
      </c>
      <c r="L1174" t="s">
        <v>29</v>
      </c>
    </row>
    <row r="1175" spans="1:12" x14ac:dyDescent="0.25">
      <c r="A1175">
        <v>1174</v>
      </c>
      <c r="B1175">
        <v>43</v>
      </c>
      <c r="C1175" t="s">
        <v>13</v>
      </c>
      <c r="D1175" t="s">
        <v>15</v>
      </c>
      <c r="E1175">
        <v>31.45</v>
      </c>
      <c r="F1175">
        <v>3.39</v>
      </c>
      <c r="G1175">
        <v>17.489999999999998</v>
      </c>
      <c r="H1175" t="s">
        <v>18</v>
      </c>
      <c r="I1175" t="s">
        <v>22</v>
      </c>
      <c r="J1175" t="s">
        <v>25</v>
      </c>
      <c r="K1175">
        <v>19</v>
      </c>
      <c r="L1175" t="s">
        <v>29</v>
      </c>
    </row>
    <row r="1176" spans="1:12" x14ac:dyDescent="0.25">
      <c r="A1176">
        <v>1175</v>
      </c>
      <c r="B1176">
        <v>62</v>
      </c>
      <c r="C1176" t="s">
        <v>12</v>
      </c>
      <c r="D1176" t="s">
        <v>17</v>
      </c>
      <c r="E1176">
        <v>6.26</v>
      </c>
      <c r="F1176">
        <v>13.08</v>
      </c>
      <c r="G1176">
        <v>11.36</v>
      </c>
      <c r="H1176" t="s">
        <v>18</v>
      </c>
      <c r="I1176" t="s">
        <v>23</v>
      </c>
      <c r="J1176" t="s">
        <v>25</v>
      </c>
      <c r="K1176">
        <v>29</v>
      </c>
      <c r="L1176" t="s">
        <v>29</v>
      </c>
    </row>
    <row r="1177" spans="1:12" x14ac:dyDescent="0.25">
      <c r="A1177">
        <v>1176</v>
      </c>
      <c r="B1177">
        <v>44</v>
      </c>
      <c r="C1177" t="s">
        <v>12</v>
      </c>
      <c r="D1177" t="s">
        <v>15</v>
      </c>
      <c r="E1177">
        <v>13.25</v>
      </c>
      <c r="F1177">
        <v>6.55</v>
      </c>
      <c r="G1177">
        <v>6.81</v>
      </c>
      <c r="H1177" t="s">
        <v>19</v>
      </c>
      <c r="I1177" t="s">
        <v>22</v>
      </c>
      <c r="J1177" t="s">
        <v>25</v>
      </c>
      <c r="K1177">
        <v>32</v>
      </c>
      <c r="L1177" t="s">
        <v>29</v>
      </c>
    </row>
    <row r="1178" spans="1:12" x14ac:dyDescent="0.25">
      <c r="A1178">
        <v>1177</v>
      </c>
      <c r="B1178">
        <v>26</v>
      </c>
      <c r="C1178" t="s">
        <v>13</v>
      </c>
      <c r="D1178" t="s">
        <v>15</v>
      </c>
      <c r="E1178">
        <v>26.32</v>
      </c>
      <c r="F1178">
        <v>11.48</v>
      </c>
      <c r="G1178">
        <v>24.5</v>
      </c>
      <c r="H1178" t="s">
        <v>19</v>
      </c>
      <c r="I1178" t="s">
        <v>24</v>
      </c>
      <c r="J1178" t="s">
        <v>25</v>
      </c>
      <c r="K1178">
        <v>10</v>
      </c>
      <c r="L1178" t="s">
        <v>29</v>
      </c>
    </row>
    <row r="1179" spans="1:12" x14ac:dyDescent="0.25">
      <c r="A1179">
        <v>1178</v>
      </c>
      <c r="B1179">
        <v>43</v>
      </c>
      <c r="C1179" t="s">
        <v>13</v>
      </c>
      <c r="D1179" t="s">
        <v>17</v>
      </c>
      <c r="E1179">
        <v>47.57</v>
      </c>
      <c r="F1179">
        <v>18.62</v>
      </c>
      <c r="G1179">
        <v>14.32</v>
      </c>
      <c r="H1179" t="s">
        <v>20</v>
      </c>
      <c r="I1179" t="s">
        <v>23</v>
      </c>
      <c r="J1179" t="s">
        <v>25</v>
      </c>
      <c r="K1179">
        <v>7</v>
      </c>
      <c r="L1179" t="s">
        <v>29</v>
      </c>
    </row>
    <row r="1180" spans="1:12" x14ac:dyDescent="0.25">
      <c r="A1180">
        <v>1179</v>
      </c>
      <c r="B1180">
        <v>74</v>
      </c>
      <c r="C1180" t="s">
        <v>13</v>
      </c>
      <c r="D1180" t="s">
        <v>16</v>
      </c>
      <c r="E1180">
        <v>32.67</v>
      </c>
      <c r="F1180">
        <v>11.5</v>
      </c>
      <c r="G1180">
        <v>2.04</v>
      </c>
      <c r="H1180" t="s">
        <v>21</v>
      </c>
      <c r="I1180" t="s">
        <v>24</v>
      </c>
      <c r="J1180" t="s">
        <v>27</v>
      </c>
      <c r="K1180">
        <v>28</v>
      </c>
      <c r="L1180" t="s">
        <v>29</v>
      </c>
    </row>
    <row r="1181" spans="1:12" x14ac:dyDescent="0.25">
      <c r="A1181">
        <v>1180</v>
      </c>
      <c r="B1181">
        <v>64</v>
      </c>
      <c r="C1181" t="s">
        <v>12</v>
      </c>
      <c r="D1181" t="s">
        <v>17</v>
      </c>
      <c r="E1181">
        <v>18.45</v>
      </c>
      <c r="F1181">
        <v>4.6900000000000004</v>
      </c>
      <c r="G1181">
        <v>31.98</v>
      </c>
      <c r="H1181" t="s">
        <v>19</v>
      </c>
      <c r="I1181" t="s">
        <v>22</v>
      </c>
      <c r="J1181" t="s">
        <v>26</v>
      </c>
      <c r="K1181">
        <v>8</v>
      </c>
      <c r="L1181" t="s">
        <v>29</v>
      </c>
    </row>
    <row r="1182" spans="1:12" x14ac:dyDescent="0.25">
      <c r="A1182">
        <v>1181</v>
      </c>
      <c r="B1182">
        <v>74</v>
      </c>
      <c r="C1182" t="s">
        <v>13</v>
      </c>
      <c r="D1182" t="s">
        <v>15</v>
      </c>
      <c r="E1182">
        <v>15.43</v>
      </c>
      <c r="F1182">
        <v>35.590000000000003</v>
      </c>
      <c r="G1182">
        <v>16.399999999999999</v>
      </c>
      <c r="H1182" t="s">
        <v>19</v>
      </c>
      <c r="I1182" t="s">
        <v>23</v>
      </c>
      <c r="J1182" t="s">
        <v>26</v>
      </c>
      <c r="K1182">
        <v>18</v>
      </c>
      <c r="L1182" t="s">
        <v>29</v>
      </c>
    </row>
    <row r="1183" spans="1:12" x14ac:dyDescent="0.25">
      <c r="A1183">
        <v>1182</v>
      </c>
      <c r="B1183">
        <v>39</v>
      </c>
      <c r="C1183" t="s">
        <v>13</v>
      </c>
      <c r="D1183" t="s">
        <v>16</v>
      </c>
      <c r="E1183">
        <v>13.77</v>
      </c>
      <c r="F1183">
        <v>7.86</v>
      </c>
      <c r="G1183">
        <v>11</v>
      </c>
      <c r="H1183" t="s">
        <v>18</v>
      </c>
      <c r="I1183" t="s">
        <v>22</v>
      </c>
      <c r="J1183" t="s">
        <v>26</v>
      </c>
      <c r="K1183">
        <v>3</v>
      </c>
      <c r="L1183" t="s">
        <v>29</v>
      </c>
    </row>
    <row r="1184" spans="1:12" x14ac:dyDescent="0.25">
      <c r="A1184">
        <v>1183</v>
      </c>
      <c r="B1184">
        <v>64</v>
      </c>
      <c r="C1184" t="s">
        <v>12</v>
      </c>
      <c r="D1184" t="s">
        <v>15</v>
      </c>
      <c r="E1184">
        <v>13.83</v>
      </c>
      <c r="F1184">
        <v>5.54</v>
      </c>
      <c r="G1184">
        <v>9.36</v>
      </c>
      <c r="H1184" t="s">
        <v>19</v>
      </c>
      <c r="I1184" t="s">
        <v>23</v>
      </c>
      <c r="J1184" t="s">
        <v>26</v>
      </c>
      <c r="K1184">
        <v>11</v>
      </c>
      <c r="L1184" t="s">
        <v>30</v>
      </c>
    </row>
    <row r="1185" spans="1:12" x14ac:dyDescent="0.25">
      <c r="A1185">
        <v>1184</v>
      </c>
      <c r="B1185">
        <v>73</v>
      </c>
      <c r="C1185" t="s">
        <v>13</v>
      </c>
      <c r="D1185" t="s">
        <v>15</v>
      </c>
      <c r="E1185">
        <v>3.69</v>
      </c>
      <c r="F1185">
        <v>9.48</v>
      </c>
      <c r="G1185">
        <v>6.34</v>
      </c>
      <c r="H1185" t="s">
        <v>19</v>
      </c>
      <c r="I1185" t="s">
        <v>24</v>
      </c>
      <c r="J1185" t="s">
        <v>25</v>
      </c>
      <c r="K1185">
        <v>23</v>
      </c>
      <c r="L1185" t="s">
        <v>29</v>
      </c>
    </row>
    <row r="1186" spans="1:12" x14ac:dyDescent="0.25">
      <c r="A1186">
        <v>1185</v>
      </c>
      <c r="B1186">
        <v>47</v>
      </c>
      <c r="C1186" t="s">
        <v>12</v>
      </c>
      <c r="D1186" t="s">
        <v>16</v>
      </c>
      <c r="E1186">
        <v>46.41</v>
      </c>
      <c r="F1186">
        <v>2.58</v>
      </c>
      <c r="G1186">
        <v>16.579999999999998</v>
      </c>
      <c r="H1186" t="s">
        <v>18</v>
      </c>
      <c r="I1186" t="s">
        <v>22</v>
      </c>
      <c r="J1186" t="s">
        <v>26</v>
      </c>
      <c r="K1186">
        <v>9</v>
      </c>
      <c r="L1186" t="s">
        <v>29</v>
      </c>
    </row>
    <row r="1187" spans="1:12" x14ac:dyDescent="0.25">
      <c r="A1187">
        <v>1186</v>
      </c>
      <c r="B1187">
        <v>60</v>
      </c>
      <c r="C1187" t="s">
        <v>12</v>
      </c>
      <c r="D1187" t="s">
        <v>16</v>
      </c>
      <c r="E1187">
        <v>16.21</v>
      </c>
      <c r="F1187">
        <v>5.97</v>
      </c>
      <c r="G1187">
        <v>5.34</v>
      </c>
      <c r="H1187" t="s">
        <v>18</v>
      </c>
      <c r="I1187" t="s">
        <v>22</v>
      </c>
      <c r="J1187" t="s">
        <v>26</v>
      </c>
      <c r="K1187">
        <v>17</v>
      </c>
      <c r="L1187" t="s">
        <v>29</v>
      </c>
    </row>
    <row r="1188" spans="1:12" x14ac:dyDescent="0.25">
      <c r="A1188">
        <v>1187</v>
      </c>
      <c r="B1188">
        <v>65</v>
      </c>
      <c r="C1188" t="s">
        <v>12</v>
      </c>
      <c r="D1188" t="s">
        <v>16</v>
      </c>
      <c r="E1188">
        <v>9.43</v>
      </c>
      <c r="F1188">
        <v>8.25</v>
      </c>
      <c r="G1188">
        <v>3.5</v>
      </c>
      <c r="H1188" t="s">
        <v>18</v>
      </c>
      <c r="I1188" t="s">
        <v>22</v>
      </c>
      <c r="J1188" t="s">
        <v>26</v>
      </c>
      <c r="K1188">
        <v>26</v>
      </c>
      <c r="L1188" t="s">
        <v>29</v>
      </c>
    </row>
    <row r="1189" spans="1:12" x14ac:dyDescent="0.25">
      <c r="A1189">
        <v>1188</v>
      </c>
      <c r="B1189">
        <v>78</v>
      </c>
      <c r="C1189" t="s">
        <v>13</v>
      </c>
      <c r="D1189" t="s">
        <v>15</v>
      </c>
      <c r="E1189">
        <v>22.02</v>
      </c>
      <c r="F1189">
        <v>12.19</v>
      </c>
      <c r="G1189">
        <v>12.19</v>
      </c>
      <c r="H1189" t="s">
        <v>20</v>
      </c>
      <c r="I1189" t="s">
        <v>22</v>
      </c>
      <c r="J1189" t="s">
        <v>25</v>
      </c>
      <c r="K1189">
        <v>7</v>
      </c>
      <c r="L1189" t="s">
        <v>29</v>
      </c>
    </row>
    <row r="1190" spans="1:12" x14ac:dyDescent="0.25">
      <c r="A1190">
        <v>1189</v>
      </c>
      <c r="B1190">
        <v>34</v>
      </c>
      <c r="C1190" t="s">
        <v>13</v>
      </c>
      <c r="D1190" t="s">
        <v>14</v>
      </c>
      <c r="E1190">
        <v>9.99</v>
      </c>
      <c r="F1190">
        <v>10.5</v>
      </c>
      <c r="G1190">
        <v>4.8</v>
      </c>
      <c r="H1190" t="s">
        <v>21</v>
      </c>
      <c r="I1190" t="s">
        <v>24</v>
      </c>
      <c r="J1190" t="s">
        <v>26</v>
      </c>
      <c r="K1190">
        <v>31</v>
      </c>
      <c r="L1190" t="s">
        <v>30</v>
      </c>
    </row>
    <row r="1191" spans="1:12" x14ac:dyDescent="0.25">
      <c r="A1191">
        <v>1190</v>
      </c>
      <c r="B1191">
        <v>43</v>
      </c>
      <c r="C1191" t="s">
        <v>12</v>
      </c>
      <c r="D1191" t="s">
        <v>16</v>
      </c>
      <c r="E1191">
        <v>29.64</v>
      </c>
      <c r="F1191">
        <v>14.41</v>
      </c>
      <c r="G1191">
        <v>5.6</v>
      </c>
      <c r="H1191" t="s">
        <v>19</v>
      </c>
      <c r="I1191" t="s">
        <v>22</v>
      </c>
      <c r="J1191" t="s">
        <v>26</v>
      </c>
      <c r="K1191">
        <v>13</v>
      </c>
      <c r="L1191" t="s">
        <v>30</v>
      </c>
    </row>
    <row r="1192" spans="1:12" x14ac:dyDescent="0.25">
      <c r="A1192">
        <v>1191</v>
      </c>
      <c r="B1192">
        <v>53</v>
      </c>
      <c r="C1192" t="s">
        <v>13</v>
      </c>
      <c r="D1192" t="s">
        <v>17</v>
      </c>
      <c r="E1192">
        <v>9.65</v>
      </c>
      <c r="F1192">
        <v>9.7799999999999994</v>
      </c>
      <c r="G1192">
        <v>17.899999999999999</v>
      </c>
      <c r="H1192" t="s">
        <v>18</v>
      </c>
      <c r="I1192" t="s">
        <v>24</v>
      </c>
      <c r="J1192" t="s">
        <v>25</v>
      </c>
      <c r="K1192">
        <v>6</v>
      </c>
      <c r="L1192" t="s">
        <v>30</v>
      </c>
    </row>
    <row r="1193" spans="1:12" x14ac:dyDescent="0.25">
      <c r="A1193">
        <v>1192</v>
      </c>
      <c r="B1193">
        <v>18</v>
      </c>
      <c r="C1193" t="s">
        <v>13</v>
      </c>
      <c r="D1193" t="s">
        <v>16</v>
      </c>
      <c r="E1193">
        <v>27.06</v>
      </c>
      <c r="F1193">
        <v>21.47</v>
      </c>
      <c r="G1193">
        <v>14.59</v>
      </c>
      <c r="H1193" t="s">
        <v>18</v>
      </c>
      <c r="I1193" t="s">
        <v>22</v>
      </c>
      <c r="J1193" t="s">
        <v>25</v>
      </c>
      <c r="K1193">
        <v>12</v>
      </c>
      <c r="L1193" t="s">
        <v>29</v>
      </c>
    </row>
    <row r="1194" spans="1:12" x14ac:dyDescent="0.25">
      <c r="A1194">
        <v>1193</v>
      </c>
      <c r="B1194">
        <v>25</v>
      </c>
      <c r="C1194" t="s">
        <v>13</v>
      </c>
      <c r="D1194" t="s">
        <v>14</v>
      </c>
      <c r="E1194">
        <v>13.63</v>
      </c>
      <c r="F1194">
        <v>16.21</v>
      </c>
      <c r="G1194">
        <v>5.16</v>
      </c>
      <c r="H1194" t="s">
        <v>21</v>
      </c>
      <c r="I1194" t="s">
        <v>23</v>
      </c>
      <c r="J1194" t="s">
        <v>26</v>
      </c>
      <c r="K1194">
        <v>6</v>
      </c>
      <c r="L1194" t="s">
        <v>30</v>
      </c>
    </row>
    <row r="1195" spans="1:12" x14ac:dyDescent="0.25">
      <c r="A1195">
        <v>1194</v>
      </c>
      <c r="B1195">
        <v>66</v>
      </c>
      <c r="C1195" t="s">
        <v>13</v>
      </c>
      <c r="D1195" t="s">
        <v>17</v>
      </c>
      <c r="E1195">
        <v>20.21</v>
      </c>
      <c r="F1195">
        <v>13.62</v>
      </c>
      <c r="G1195">
        <v>29.88</v>
      </c>
      <c r="H1195" t="s">
        <v>20</v>
      </c>
      <c r="I1195" t="s">
        <v>24</v>
      </c>
      <c r="J1195" t="s">
        <v>25</v>
      </c>
      <c r="K1195">
        <v>12</v>
      </c>
      <c r="L1195" t="s">
        <v>30</v>
      </c>
    </row>
    <row r="1196" spans="1:12" x14ac:dyDescent="0.25">
      <c r="A1196">
        <v>1195</v>
      </c>
      <c r="B1196">
        <v>52</v>
      </c>
      <c r="C1196" t="s">
        <v>12</v>
      </c>
      <c r="D1196" t="s">
        <v>17</v>
      </c>
      <c r="E1196">
        <v>28.34</v>
      </c>
      <c r="F1196">
        <v>23.9</v>
      </c>
      <c r="G1196">
        <v>11.19</v>
      </c>
      <c r="H1196" t="s">
        <v>19</v>
      </c>
      <c r="I1196" t="s">
        <v>22</v>
      </c>
      <c r="J1196" t="s">
        <v>26</v>
      </c>
      <c r="K1196">
        <v>35</v>
      </c>
      <c r="L1196" t="s">
        <v>30</v>
      </c>
    </row>
    <row r="1197" spans="1:12" x14ac:dyDescent="0.25">
      <c r="A1197">
        <v>1196</v>
      </c>
      <c r="B1197">
        <v>78</v>
      </c>
      <c r="C1197" t="s">
        <v>13</v>
      </c>
      <c r="D1197" t="s">
        <v>14</v>
      </c>
      <c r="E1197">
        <v>11.54</v>
      </c>
      <c r="F1197">
        <v>23.89</v>
      </c>
      <c r="G1197">
        <v>7.13</v>
      </c>
      <c r="H1197" t="s">
        <v>20</v>
      </c>
      <c r="I1197" t="s">
        <v>22</v>
      </c>
      <c r="J1197" t="s">
        <v>27</v>
      </c>
      <c r="K1197">
        <v>20</v>
      </c>
      <c r="L1197" t="s">
        <v>29</v>
      </c>
    </row>
    <row r="1198" spans="1:12" x14ac:dyDescent="0.25">
      <c r="A1198">
        <v>1197</v>
      </c>
      <c r="B1198">
        <v>69</v>
      </c>
      <c r="C1198" t="s">
        <v>12</v>
      </c>
      <c r="D1198" t="s">
        <v>16</v>
      </c>
      <c r="E1198">
        <v>27.92</v>
      </c>
      <c r="F1198">
        <v>11.08</v>
      </c>
      <c r="G1198">
        <v>6.42</v>
      </c>
      <c r="H1198" t="s">
        <v>20</v>
      </c>
      <c r="I1198" t="s">
        <v>24</v>
      </c>
      <c r="J1198" t="s">
        <v>26</v>
      </c>
      <c r="K1198">
        <v>14</v>
      </c>
      <c r="L1198" t="s">
        <v>29</v>
      </c>
    </row>
    <row r="1199" spans="1:12" x14ac:dyDescent="0.25">
      <c r="A1199">
        <v>1198</v>
      </c>
      <c r="B1199">
        <v>32</v>
      </c>
      <c r="C1199" t="s">
        <v>12</v>
      </c>
      <c r="D1199" t="s">
        <v>17</v>
      </c>
      <c r="E1199">
        <v>3.84</v>
      </c>
      <c r="F1199">
        <v>7.56</v>
      </c>
      <c r="G1199">
        <v>5.26</v>
      </c>
      <c r="H1199" t="s">
        <v>20</v>
      </c>
      <c r="I1199" t="s">
        <v>23</v>
      </c>
      <c r="J1199" t="s">
        <v>28</v>
      </c>
      <c r="K1199">
        <v>25</v>
      </c>
      <c r="L1199" t="s">
        <v>29</v>
      </c>
    </row>
    <row r="1200" spans="1:12" x14ac:dyDescent="0.25">
      <c r="A1200">
        <v>1199</v>
      </c>
      <c r="B1200">
        <v>64</v>
      </c>
      <c r="C1200" t="s">
        <v>13</v>
      </c>
      <c r="D1200" t="s">
        <v>16</v>
      </c>
      <c r="E1200">
        <v>40.58</v>
      </c>
      <c r="F1200">
        <v>11.86</v>
      </c>
      <c r="G1200">
        <v>14.69</v>
      </c>
      <c r="H1200" t="s">
        <v>18</v>
      </c>
      <c r="I1200" t="s">
        <v>23</v>
      </c>
      <c r="J1200" t="s">
        <v>28</v>
      </c>
      <c r="K1200">
        <v>27</v>
      </c>
      <c r="L1200" t="s">
        <v>29</v>
      </c>
    </row>
    <row r="1201" spans="1:12" x14ac:dyDescent="0.25">
      <c r="A1201">
        <v>1200</v>
      </c>
      <c r="B1201">
        <v>73</v>
      </c>
      <c r="C1201" t="s">
        <v>12</v>
      </c>
      <c r="D1201" t="s">
        <v>17</v>
      </c>
      <c r="E1201">
        <v>30.9</v>
      </c>
      <c r="F1201">
        <v>9.15</v>
      </c>
      <c r="G1201">
        <v>5.82</v>
      </c>
      <c r="H1201" t="s">
        <v>21</v>
      </c>
      <c r="I1201" t="s">
        <v>23</v>
      </c>
      <c r="J1201" t="s">
        <v>25</v>
      </c>
      <c r="K1201">
        <v>6</v>
      </c>
      <c r="L1201" t="s">
        <v>30</v>
      </c>
    </row>
    <row r="1202" spans="1:12" x14ac:dyDescent="0.25">
      <c r="A1202">
        <v>1201</v>
      </c>
      <c r="B1202">
        <v>39</v>
      </c>
      <c r="C1202" t="s">
        <v>13</v>
      </c>
      <c r="D1202" t="s">
        <v>15</v>
      </c>
      <c r="E1202">
        <v>15.84</v>
      </c>
      <c r="F1202">
        <v>7.32</v>
      </c>
      <c r="G1202">
        <v>9.5</v>
      </c>
      <c r="H1202" t="s">
        <v>21</v>
      </c>
      <c r="I1202" t="s">
        <v>22</v>
      </c>
      <c r="J1202" t="s">
        <v>26</v>
      </c>
      <c r="K1202">
        <v>15</v>
      </c>
      <c r="L1202" t="s">
        <v>29</v>
      </c>
    </row>
    <row r="1203" spans="1:12" x14ac:dyDescent="0.25">
      <c r="A1203">
        <v>1202</v>
      </c>
      <c r="B1203">
        <v>31</v>
      </c>
      <c r="C1203" t="s">
        <v>13</v>
      </c>
      <c r="D1203" t="s">
        <v>17</v>
      </c>
      <c r="E1203">
        <v>34.299999999999997</v>
      </c>
      <c r="F1203">
        <v>11.52</v>
      </c>
      <c r="G1203">
        <v>9.2200000000000006</v>
      </c>
      <c r="H1203" t="s">
        <v>21</v>
      </c>
      <c r="I1203" t="s">
        <v>24</v>
      </c>
      <c r="J1203" t="s">
        <v>26</v>
      </c>
      <c r="K1203">
        <v>20</v>
      </c>
      <c r="L1203" t="s">
        <v>30</v>
      </c>
    </row>
    <row r="1204" spans="1:12" x14ac:dyDescent="0.25">
      <c r="A1204">
        <v>1203</v>
      </c>
      <c r="B1204">
        <v>43</v>
      </c>
      <c r="C1204" t="s">
        <v>12</v>
      </c>
      <c r="D1204" t="s">
        <v>14</v>
      </c>
      <c r="E1204">
        <v>32.159999999999997</v>
      </c>
      <c r="F1204">
        <v>13.32</v>
      </c>
      <c r="G1204">
        <v>5.57</v>
      </c>
      <c r="H1204" t="s">
        <v>20</v>
      </c>
      <c r="I1204" t="s">
        <v>24</v>
      </c>
      <c r="J1204" t="s">
        <v>26</v>
      </c>
      <c r="K1204">
        <v>31</v>
      </c>
      <c r="L1204" t="s">
        <v>29</v>
      </c>
    </row>
    <row r="1205" spans="1:12" x14ac:dyDescent="0.25">
      <c r="A1205">
        <v>1204</v>
      </c>
      <c r="B1205">
        <v>45</v>
      </c>
      <c r="C1205" t="s">
        <v>12</v>
      </c>
      <c r="D1205" t="s">
        <v>14</v>
      </c>
      <c r="E1205">
        <v>16.82</v>
      </c>
      <c r="F1205">
        <v>15.67</v>
      </c>
      <c r="G1205">
        <v>5.72</v>
      </c>
      <c r="H1205" t="s">
        <v>19</v>
      </c>
      <c r="I1205" t="s">
        <v>22</v>
      </c>
      <c r="J1205" t="s">
        <v>27</v>
      </c>
      <c r="K1205">
        <v>32</v>
      </c>
      <c r="L1205" t="s">
        <v>30</v>
      </c>
    </row>
    <row r="1206" spans="1:12" x14ac:dyDescent="0.25">
      <c r="A1206">
        <v>1205</v>
      </c>
      <c r="B1206">
        <v>40</v>
      </c>
      <c r="C1206" t="s">
        <v>12</v>
      </c>
      <c r="D1206" t="s">
        <v>15</v>
      </c>
      <c r="E1206">
        <v>16.7</v>
      </c>
      <c r="F1206">
        <v>26.47</v>
      </c>
      <c r="G1206">
        <v>3.49</v>
      </c>
      <c r="H1206" t="s">
        <v>20</v>
      </c>
      <c r="I1206" t="s">
        <v>22</v>
      </c>
      <c r="J1206" t="s">
        <v>25</v>
      </c>
      <c r="K1206">
        <v>30</v>
      </c>
      <c r="L1206" t="s">
        <v>30</v>
      </c>
    </row>
    <row r="1207" spans="1:12" x14ac:dyDescent="0.25">
      <c r="A1207">
        <v>1206</v>
      </c>
      <c r="B1207">
        <v>31</v>
      </c>
      <c r="C1207" t="s">
        <v>12</v>
      </c>
      <c r="D1207" t="s">
        <v>17</v>
      </c>
      <c r="E1207">
        <v>8.58</v>
      </c>
      <c r="F1207">
        <v>12.36</v>
      </c>
      <c r="G1207">
        <v>16.93</v>
      </c>
      <c r="H1207" t="s">
        <v>21</v>
      </c>
      <c r="I1207" t="s">
        <v>24</v>
      </c>
      <c r="J1207" t="s">
        <v>28</v>
      </c>
      <c r="K1207">
        <v>9</v>
      </c>
      <c r="L1207" t="s">
        <v>29</v>
      </c>
    </row>
    <row r="1208" spans="1:12" x14ac:dyDescent="0.25">
      <c r="A1208">
        <v>1207</v>
      </c>
      <c r="B1208">
        <v>41</v>
      </c>
      <c r="C1208" t="s">
        <v>13</v>
      </c>
      <c r="D1208" t="s">
        <v>15</v>
      </c>
      <c r="E1208">
        <v>17.420000000000002</v>
      </c>
      <c r="F1208">
        <v>9.9499999999999993</v>
      </c>
      <c r="G1208">
        <v>13.44</v>
      </c>
      <c r="H1208" t="s">
        <v>18</v>
      </c>
      <c r="I1208" t="s">
        <v>22</v>
      </c>
      <c r="J1208" t="s">
        <v>25</v>
      </c>
      <c r="K1208">
        <v>26</v>
      </c>
      <c r="L1208" t="s">
        <v>29</v>
      </c>
    </row>
    <row r="1209" spans="1:12" x14ac:dyDescent="0.25">
      <c r="A1209">
        <v>1208</v>
      </c>
      <c r="B1209">
        <v>19</v>
      </c>
      <c r="C1209" t="s">
        <v>13</v>
      </c>
      <c r="D1209" t="s">
        <v>14</v>
      </c>
      <c r="E1209">
        <v>5.0999999999999996</v>
      </c>
      <c r="F1209">
        <v>19.77</v>
      </c>
      <c r="G1209">
        <v>9.18</v>
      </c>
      <c r="H1209" t="s">
        <v>20</v>
      </c>
      <c r="I1209" t="s">
        <v>23</v>
      </c>
      <c r="J1209" t="s">
        <v>26</v>
      </c>
      <c r="K1209">
        <v>12</v>
      </c>
      <c r="L1209" t="s">
        <v>30</v>
      </c>
    </row>
    <row r="1210" spans="1:12" x14ac:dyDescent="0.25">
      <c r="A1210">
        <v>1209</v>
      </c>
      <c r="B1210">
        <v>62</v>
      </c>
      <c r="C1210" t="s">
        <v>13</v>
      </c>
      <c r="D1210" t="s">
        <v>14</v>
      </c>
      <c r="E1210">
        <v>26.86</v>
      </c>
      <c r="F1210">
        <v>5.1100000000000003</v>
      </c>
      <c r="G1210">
        <v>4.95</v>
      </c>
      <c r="H1210" t="s">
        <v>18</v>
      </c>
      <c r="I1210" t="s">
        <v>22</v>
      </c>
      <c r="J1210" t="s">
        <v>26</v>
      </c>
      <c r="K1210">
        <v>29</v>
      </c>
      <c r="L1210" t="s">
        <v>29</v>
      </c>
    </row>
    <row r="1211" spans="1:12" x14ac:dyDescent="0.25">
      <c r="A1211">
        <v>1210</v>
      </c>
      <c r="B1211">
        <v>43</v>
      </c>
      <c r="C1211" t="s">
        <v>12</v>
      </c>
      <c r="D1211" t="s">
        <v>16</v>
      </c>
      <c r="E1211">
        <v>27.22</v>
      </c>
      <c r="F1211">
        <v>2.23</v>
      </c>
      <c r="G1211">
        <v>15.11</v>
      </c>
      <c r="H1211" t="s">
        <v>21</v>
      </c>
      <c r="I1211" t="s">
        <v>24</v>
      </c>
      <c r="J1211" t="s">
        <v>26</v>
      </c>
      <c r="K1211">
        <v>23</v>
      </c>
      <c r="L1211" t="s">
        <v>29</v>
      </c>
    </row>
    <row r="1212" spans="1:12" x14ac:dyDescent="0.25">
      <c r="A1212">
        <v>1211</v>
      </c>
      <c r="B1212">
        <v>31</v>
      </c>
      <c r="C1212" t="s">
        <v>12</v>
      </c>
      <c r="D1212" t="s">
        <v>14</v>
      </c>
      <c r="E1212">
        <v>3.9</v>
      </c>
      <c r="F1212">
        <v>14.24</v>
      </c>
      <c r="G1212">
        <v>13.98</v>
      </c>
      <c r="H1212" t="s">
        <v>20</v>
      </c>
      <c r="I1212" t="s">
        <v>24</v>
      </c>
      <c r="J1212" t="s">
        <v>26</v>
      </c>
      <c r="K1212">
        <v>31</v>
      </c>
      <c r="L1212" t="s">
        <v>29</v>
      </c>
    </row>
    <row r="1213" spans="1:12" x14ac:dyDescent="0.25">
      <c r="A1213">
        <v>1212</v>
      </c>
      <c r="B1213">
        <v>76</v>
      </c>
      <c r="C1213" t="s">
        <v>12</v>
      </c>
      <c r="D1213" t="s">
        <v>16</v>
      </c>
      <c r="E1213">
        <v>38.26</v>
      </c>
      <c r="F1213">
        <v>7.84</v>
      </c>
      <c r="G1213">
        <v>21.46</v>
      </c>
      <c r="H1213" t="s">
        <v>18</v>
      </c>
      <c r="I1213" t="s">
        <v>22</v>
      </c>
      <c r="J1213" t="s">
        <v>25</v>
      </c>
      <c r="K1213">
        <v>9</v>
      </c>
      <c r="L1213" t="s">
        <v>29</v>
      </c>
    </row>
    <row r="1214" spans="1:12" x14ac:dyDescent="0.25">
      <c r="A1214">
        <v>1213</v>
      </c>
      <c r="B1214">
        <v>73</v>
      </c>
      <c r="C1214" t="s">
        <v>13</v>
      </c>
      <c r="D1214" t="s">
        <v>17</v>
      </c>
      <c r="E1214">
        <v>10.83</v>
      </c>
      <c r="F1214">
        <v>8.32</v>
      </c>
      <c r="G1214">
        <v>15.65</v>
      </c>
      <c r="H1214" t="s">
        <v>20</v>
      </c>
      <c r="I1214" t="s">
        <v>24</v>
      </c>
      <c r="J1214" t="s">
        <v>27</v>
      </c>
      <c r="K1214">
        <v>15</v>
      </c>
      <c r="L1214" t="s">
        <v>29</v>
      </c>
    </row>
    <row r="1215" spans="1:12" x14ac:dyDescent="0.25">
      <c r="A1215">
        <v>1214</v>
      </c>
      <c r="B1215">
        <v>68</v>
      </c>
      <c r="C1215" t="s">
        <v>12</v>
      </c>
      <c r="D1215" t="s">
        <v>15</v>
      </c>
      <c r="E1215">
        <v>76.400000000000006</v>
      </c>
      <c r="F1215">
        <v>5.01</v>
      </c>
      <c r="G1215">
        <v>4.8499999999999996</v>
      </c>
      <c r="H1215" t="s">
        <v>21</v>
      </c>
      <c r="I1215" t="s">
        <v>23</v>
      </c>
      <c r="J1215" t="s">
        <v>25</v>
      </c>
      <c r="K1215">
        <v>25</v>
      </c>
      <c r="L1215" t="s">
        <v>29</v>
      </c>
    </row>
    <row r="1216" spans="1:12" x14ac:dyDescent="0.25">
      <c r="A1216">
        <v>1215</v>
      </c>
      <c r="B1216">
        <v>24</v>
      </c>
      <c r="C1216" t="s">
        <v>13</v>
      </c>
      <c r="D1216" t="s">
        <v>17</v>
      </c>
      <c r="E1216">
        <v>19.54</v>
      </c>
      <c r="F1216">
        <v>22.52</v>
      </c>
      <c r="G1216">
        <v>6.62</v>
      </c>
      <c r="H1216" t="s">
        <v>19</v>
      </c>
      <c r="I1216" t="s">
        <v>23</v>
      </c>
      <c r="J1216" t="s">
        <v>27</v>
      </c>
      <c r="K1216">
        <v>27</v>
      </c>
      <c r="L1216" t="s">
        <v>29</v>
      </c>
    </row>
    <row r="1217" spans="1:12" x14ac:dyDescent="0.25">
      <c r="A1217">
        <v>1216</v>
      </c>
      <c r="B1217">
        <v>20</v>
      </c>
      <c r="C1217" t="s">
        <v>12</v>
      </c>
      <c r="D1217" t="s">
        <v>16</v>
      </c>
      <c r="E1217">
        <v>38.49</v>
      </c>
      <c r="F1217">
        <v>2.33</v>
      </c>
      <c r="G1217">
        <v>22.14</v>
      </c>
      <c r="H1217" t="s">
        <v>21</v>
      </c>
      <c r="I1217" t="s">
        <v>24</v>
      </c>
      <c r="J1217" t="s">
        <v>27</v>
      </c>
      <c r="K1217">
        <v>15</v>
      </c>
      <c r="L1217" t="s">
        <v>30</v>
      </c>
    </row>
    <row r="1218" spans="1:12" x14ac:dyDescent="0.25">
      <c r="A1218">
        <v>1217</v>
      </c>
      <c r="B1218">
        <v>64</v>
      </c>
      <c r="C1218" t="s">
        <v>13</v>
      </c>
      <c r="D1218" t="s">
        <v>16</v>
      </c>
      <c r="E1218">
        <v>8.3699999999999992</v>
      </c>
      <c r="F1218">
        <v>15.27</v>
      </c>
      <c r="G1218">
        <v>3.91</v>
      </c>
      <c r="H1218" t="s">
        <v>19</v>
      </c>
      <c r="I1218" t="s">
        <v>23</v>
      </c>
      <c r="J1218" t="s">
        <v>26</v>
      </c>
      <c r="K1218">
        <v>32</v>
      </c>
      <c r="L1218" t="s">
        <v>29</v>
      </c>
    </row>
    <row r="1219" spans="1:12" x14ac:dyDescent="0.25">
      <c r="A1219">
        <v>1218</v>
      </c>
      <c r="B1219">
        <v>40</v>
      </c>
      <c r="C1219" t="s">
        <v>13</v>
      </c>
      <c r="D1219" t="s">
        <v>17</v>
      </c>
      <c r="E1219">
        <v>13.61</v>
      </c>
      <c r="F1219">
        <v>10.050000000000001</v>
      </c>
      <c r="G1219">
        <v>12.53</v>
      </c>
      <c r="H1219" t="s">
        <v>19</v>
      </c>
      <c r="I1219" t="s">
        <v>23</v>
      </c>
      <c r="J1219" t="s">
        <v>26</v>
      </c>
      <c r="K1219">
        <v>28</v>
      </c>
      <c r="L1219" t="s">
        <v>29</v>
      </c>
    </row>
    <row r="1220" spans="1:12" x14ac:dyDescent="0.25">
      <c r="A1220">
        <v>1219</v>
      </c>
      <c r="B1220">
        <v>63</v>
      </c>
      <c r="C1220" t="s">
        <v>12</v>
      </c>
      <c r="D1220" t="s">
        <v>14</v>
      </c>
      <c r="E1220">
        <v>11.5</v>
      </c>
      <c r="F1220">
        <v>27.57</v>
      </c>
      <c r="G1220">
        <v>15.49</v>
      </c>
      <c r="H1220" t="s">
        <v>21</v>
      </c>
      <c r="I1220" t="s">
        <v>23</v>
      </c>
      <c r="J1220" t="s">
        <v>25</v>
      </c>
      <c r="K1220">
        <v>14</v>
      </c>
      <c r="L1220" t="s">
        <v>29</v>
      </c>
    </row>
    <row r="1221" spans="1:12" x14ac:dyDescent="0.25">
      <c r="A1221">
        <v>1220</v>
      </c>
      <c r="B1221">
        <v>60</v>
      </c>
      <c r="C1221" t="s">
        <v>12</v>
      </c>
      <c r="D1221" t="s">
        <v>15</v>
      </c>
      <c r="E1221">
        <v>5.0199999999999996</v>
      </c>
      <c r="F1221">
        <v>19.829999999999998</v>
      </c>
      <c r="G1221">
        <v>15.2</v>
      </c>
      <c r="H1221" t="s">
        <v>18</v>
      </c>
      <c r="I1221" t="s">
        <v>22</v>
      </c>
      <c r="J1221" t="s">
        <v>26</v>
      </c>
      <c r="K1221">
        <v>3</v>
      </c>
      <c r="L1221" t="s">
        <v>29</v>
      </c>
    </row>
    <row r="1222" spans="1:12" x14ac:dyDescent="0.25">
      <c r="A1222">
        <v>1221</v>
      </c>
      <c r="B1222">
        <v>64</v>
      </c>
      <c r="C1222" t="s">
        <v>13</v>
      </c>
      <c r="D1222" t="s">
        <v>17</v>
      </c>
      <c r="E1222">
        <v>6.28</v>
      </c>
      <c r="F1222">
        <v>3.89</v>
      </c>
      <c r="G1222">
        <v>4.04</v>
      </c>
      <c r="H1222" t="s">
        <v>20</v>
      </c>
      <c r="I1222" t="s">
        <v>22</v>
      </c>
      <c r="J1222" t="s">
        <v>26</v>
      </c>
      <c r="K1222">
        <v>20</v>
      </c>
      <c r="L1222" t="s">
        <v>29</v>
      </c>
    </row>
    <row r="1223" spans="1:12" x14ac:dyDescent="0.25">
      <c r="A1223">
        <v>1222</v>
      </c>
      <c r="B1223">
        <v>77</v>
      </c>
      <c r="C1223" t="s">
        <v>13</v>
      </c>
      <c r="D1223" t="s">
        <v>16</v>
      </c>
      <c r="E1223">
        <v>15.43</v>
      </c>
      <c r="F1223">
        <v>16.22</v>
      </c>
      <c r="G1223">
        <v>9.15</v>
      </c>
      <c r="H1223" t="s">
        <v>20</v>
      </c>
      <c r="I1223" t="s">
        <v>23</v>
      </c>
      <c r="J1223" t="s">
        <v>26</v>
      </c>
      <c r="K1223">
        <v>23</v>
      </c>
      <c r="L1223" t="s">
        <v>29</v>
      </c>
    </row>
    <row r="1224" spans="1:12" x14ac:dyDescent="0.25">
      <c r="A1224">
        <v>1223</v>
      </c>
      <c r="B1224">
        <v>62</v>
      </c>
      <c r="C1224" t="s">
        <v>12</v>
      </c>
      <c r="D1224" t="s">
        <v>16</v>
      </c>
      <c r="E1224">
        <v>21.54</v>
      </c>
      <c r="F1224">
        <v>13.95</v>
      </c>
      <c r="G1224">
        <v>4.0199999999999996</v>
      </c>
      <c r="H1224" t="s">
        <v>20</v>
      </c>
      <c r="I1224" t="s">
        <v>24</v>
      </c>
      <c r="J1224" t="s">
        <v>28</v>
      </c>
      <c r="K1224">
        <v>26</v>
      </c>
      <c r="L1224" t="s">
        <v>29</v>
      </c>
    </row>
    <row r="1225" spans="1:12" x14ac:dyDescent="0.25">
      <c r="A1225">
        <v>1224</v>
      </c>
      <c r="B1225">
        <v>35</v>
      </c>
      <c r="C1225" t="s">
        <v>12</v>
      </c>
      <c r="D1225" t="s">
        <v>16</v>
      </c>
      <c r="E1225">
        <v>7.7</v>
      </c>
      <c r="F1225">
        <v>9.5</v>
      </c>
      <c r="G1225">
        <v>6.59</v>
      </c>
      <c r="H1225" t="s">
        <v>19</v>
      </c>
      <c r="I1225" t="s">
        <v>24</v>
      </c>
      <c r="J1225" t="s">
        <v>26</v>
      </c>
      <c r="K1225">
        <v>19</v>
      </c>
      <c r="L1225" t="s">
        <v>29</v>
      </c>
    </row>
    <row r="1226" spans="1:12" x14ac:dyDescent="0.25">
      <c r="A1226">
        <v>1225</v>
      </c>
      <c r="B1226">
        <v>75</v>
      </c>
      <c r="C1226" t="s">
        <v>13</v>
      </c>
      <c r="D1226" t="s">
        <v>15</v>
      </c>
      <c r="E1226">
        <v>13.04</v>
      </c>
      <c r="F1226">
        <v>15.35</v>
      </c>
      <c r="G1226">
        <v>9.75</v>
      </c>
      <c r="H1226" t="s">
        <v>19</v>
      </c>
      <c r="I1226" t="s">
        <v>23</v>
      </c>
      <c r="J1226" t="s">
        <v>25</v>
      </c>
      <c r="K1226">
        <v>11</v>
      </c>
      <c r="L1226" t="s">
        <v>29</v>
      </c>
    </row>
    <row r="1227" spans="1:12" x14ac:dyDescent="0.25">
      <c r="A1227">
        <v>1226</v>
      </c>
      <c r="B1227">
        <v>55</v>
      </c>
      <c r="C1227" t="s">
        <v>12</v>
      </c>
      <c r="D1227" t="s">
        <v>15</v>
      </c>
      <c r="E1227">
        <v>9.9600000000000009</v>
      </c>
      <c r="F1227">
        <v>5.96</v>
      </c>
      <c r="G1227">
        <v>16.2</v>
      </c>
      <c r="H1227" t="s">
        <v>21</v>
      </c>
      <c r="I1227" t="s">
        <v>23</v>
      </c>
      <c r="J1227" t="s">
        <v>27</v>
      </c>
      <c r="K1227">
        <v>30</v>
      </c>
      <c r="L1227" t="s">
        <v>30</v>
      </c>
    </row>
    <row r="1228" spans="1:12" x14ac:dyDescent="0.25">
      <c r="A1228">
        <v>1227</v>
      </c>
      <c r="B1228">
        <v>52</v>
      </c>
      <c r="C1228" t="s">
        <v>13</v>
      </c>
      <c r="D1228" t="s">
        <v>16</v>
      </c>
      <c r="E1228">
        <v>16.13</v>
      </c>
      <c r="F1228">
        <v>10.82</v>
      </c>
      <c r="G1228">
        <v>14.78</v>
      </c>
      <c r="H1228" t="s">
        <v>18</v>
      </c>
      <c r="I1228" t="s">
        <v>22</v>
      </c>
      <c r="J1228" t="s">
        <v>25</v>
      </c>
      <c r="K1228">
        <v>17</v>
      </c>
      <c r="L1228" t="s">
        <v>29</v>
      </c>
    </row>
    <row r="1229" spans="1:12" x14ac:dyDescent="0.25">
      <c r="A1229">
        <v>1228</v>
      </c>
      <c r="B1229">
        <v>68</v>
      </c>
      <c r="C1229" t="s">
        <v>13</v>
      </c>
      <c r="D1229" t="s">
        <v>17</v>
      </c>
      <c r="E1229">
        <v>25.6</v>
      </c>
      <c r="F1229">
        <v>10.19</v>
      </c>
      <c r="G1229">
        <v>10.81</v>
      </c>
      <c r="H1229" t="s">
        <v>21</v>
      </c>
      <c r="I1229" t="s">
        <v>22</v>
      </c>
      <c r="J1229" t="s">
        <v>25</v>
      </c>
      <c r="K1229">
        <v>15</v>
      </c>
      <c r="L1229" t="s">
        <v>30</v>
      </c>
    </row>
    <row r="1230" spans="1:12" x14ac:dyDescent="0.25">
      <c r="A1230">
        <v>1229</v>
      </c>
      <c r="B1230">
        <v>32</v>
      </c>
      <c r="C1230" t="s">
        <v>12</v>
      </c>
      <c r="D1230" t="s">
        <v>15</v>
      </c>
      <c r="E1230">
        <v>18.03</v>
      </c>
      <c r="F1230">
        <v>5.24</v>
      </c>
      <c r="G1230">
        <v>8.91</v>
      </c>
      <c r="H1230" t="s">
        <v>21</v>
      </c>
      <c r="I1230" t="s">
        <v>23</v>
      </c>
      <c r="J1230" t="s">
        <v>25</v>
      </c>
      <c r="K1230">
        <v>30</v>
      </c>
      <c r="L1230" t="s">
        <v>29</v>
      </c>
    </row>
    <row r="1231" spans="1:12" x14ac:dyDescent="0.25">
      <c r="A1231">
        <v>1230</v>
      </c>
      <c r="B1231">
        <v>42</v>
      </c>
      <c r="C1231" t="s">
        <v>12</v>
      </c>
      <c r="D1231" t="s">
        <v>16</v>
      </c>
      <c r="E1231">
        <v>11.15</v>
      </c>
      <c r="F1231">
        <v>7.85</v>
      </c>
      <c r="G1231">
        <v>11</v>
      </c>
      <c r="H1231" t="s">
        <v>18</v>
      </c>
      <c r="I1231" t="s">
        <v>23</v>
      </c>
      <c r="J1231" t="s">
        <v>26</v>
      </c>
      <c r="K1231">
        <v>19</v>
      </c>
      <c r="L1231" t="s">
        <v>29</v>
      </c>
    </row>
    <row r="1232" spans="1:12" x14ac:dyDescent="0.25">
      <c r="A1232">
        <v>1231</v>
      </c>
      <c r="B1232">
        <v>72</v>
      </c>
      <c r="C1232" t="s">
        <v>12</v>
      </c>
      <c r="D1232" t="s">
        <v>17</v>
      </c>
      <c r="E1232">
        <v>31.51</v>
      </c>
      <c r="F1232">
        <v>6.83</v>
      </c>
      <c r="G1232">
        <v>12.16</v>
      </c>
      <c r="H1232" t="s">
        <v>19</v>
      </c>
      <c r="I1232" t="s">
        <v>23</v>
      </c>
      <c r="J1232" t="s">
        <v>26</v>
      </c>
      <c r="K1232">
        <v>11</v>
      </c>
      <c r="L1232" t="s">
        <v>29</v>
      </c>
    </row>
    <row r="1233" spans="1:12" x14ac:dyDescent="0.25">
      <c r="A1233">
        <v>1232</v>
      </c>
      <c r="B1233">
        <v>54</v>
      </c>
      <c r="C1233" t="s">
        <v>12</v>
      </c>
      <c r="D1233" t="s">
        <v>16</v>
      </c>
      <c r="E1233">
        <v>21.1</v>
      </c>
      <c r="F1233">
        <v>13.31</v>
      </c>
      <c r="G1233">
        <v>8.0500000000000007</v>
      </c>
      <c r="H1233" t="s">
        <v>21</v>
      </c>
      <c r="I1233" t="s">
        <v>23</v>
      </c>
      <c r="J1233" t="s">
        <v>28</v>
      </c>
      <c r="K1233">
        <v>23</v>
      </c>
      <c r="L1233" t="s">
        <v>29</v>
      </c>
    </row>
    <row r="1234" spans="1:12" x14ac:dyDescent="0.25">
      <c r="A1234">
        <v>1233</v>
      </c>
      <c r="B1234">
        <v>45</v>
      </c>
      <c r="C1234" t="s">
        <v>12</v>
      </c>
      <c r="D1234" t="s">
        <v>14</v>
      </c>
      <c r="E1234">
        <v>18.38</v>
      </c>
      <c r="F1234">
        <v>23.41</v>
      </c>
      <c r="G1234">
        <v>0.53</v>
      </c>
      <c r="H1234" t="s">
        <v>21</v>
      </c>
      <c r="I1234" t="s">
        <v>22</v>
      </c>
      <c r="J1234" t="s">
        <v>26</v>
      </c>
      <c r="K1234">
        <v>32</v>
      </c>
      <c r="L1234" t="s">
        <v>29</v>
      </c>
    </row>
    <row r="1235" spans="1:12" x14ac:dyDescent="0.25">
      <c r="A1235">
        <v>1234</v>
      </c>
      <c r="B1235">
        <v>27</v>
      </c>
      <c r="C1235" t="s">
        <v>13</v>
      </c>
      <c r="D1235" t="s">
        <v>15</v>
      </c>
      <c r="E1235">
        <v>7.77</v>
      </c>
      <c r="F1235">
        <v>3.12</v>
      </c>
      <c r="G1235">
        <v>6.34</v>
      </c>
      <c r="H1235" t="s">
        <v>19</v>
      </c>
      <c r="I1235" t="s">
        <v>22</v>
      </c>
      <c r="J1235" t="s">
        <v>25</v>
      </c>
      <c r="K1235">
        <v>13</v>
      </c>
      <c r="L1235" t="s">
        <v>29</v>
      </c>
    </row>
    <row r="1236" spans="1:12" x14ac:dyDescent="0.25">
      <c r="A1236">
        <v>1235</v>
      </c>
      <c r="B1236">
        <v>56</v>
      </c>
      <c r="C1236" t="s">
        <v>13</v>
      </c>
      <c r="D1236" t="s">
        <v>15</v>
      </c>
      <c r="E1236">
        <v>29.51</v>
      </c>
      <c r="F1236">
        <v>13.6</v>
      </c>
      <c r="G1236">
        <v>9.74</v>
      </c>
      <c r="H1236" t="s">
        <v>20</v>
      </c>
      <c r="I1236" t="s">
        <v>22</v>
      </c>
      <c r="J1236" t="s">
        <v>26</v>
      </c>
      <c r="K1236">
        <v>32</v>
      </c>
      <c r="L1236" t="s">
        <v>29</v>
      </c>
    </row>
    <row r="1237" spans="1:12" x14ac:dyDescent="0.25">
      <c r="A1237">
        <v>1236</v>
      </c>
      <c r="B1237">
        <v>74</v>
      </c>
      <c r="C1237" t="s">
        <v>12</v>
      </c>
      <c r="D1237" t="s">
        <v>16</v>
      </c>
      <c r="E1237">
        <v>22.46</v>
      </c>
      <c r="F1237">
        <v>6.63</v>
      </c>
      <c r="G1237">
        <v>15.37</v>
      </c>
      <c r="H1237" t="s">
        <v>18</v>
      </c>
      <c r="I1237" t="s">
        <v>22</v>
      </c>
      <c r="J1237" t="s">
        <v>26</v>
      </c>
      <c r="K1237">
        <v>27</v>
      </c>
      <c r="L1237" t="s">
        <v>29</v>
      </c>
    </row>
    <row r="1238" spans="1:12" x14ac:dyDescent="0.25">
      <c r="A1238">
        <v>1237</v>
      </c>
      <c r="B1238">
        <v>34</v>
      </c>
      <c r="C1238" t="s">
        <v>12</v>
      </c>
      <c r="D1238" t="s">
        <v>16</v>
      </c>
      <c r="E1238">
        <v>23.2</v>
      </c>
      <c r="F1238">
        <v>18.989999999999998</v>
      </c>
      <c r="G1238">
        <v>6.77</v>
      </c>
      <c r="H1238" t="s">
        <v>18</v>
      </c>
      <c r="I1238" t="s">
        <v>23</v>
      </c>
      <c r="J1238" t="s">
        <v>28</v>
      </c>
      <c r="K1238">
        <v>9</v>
      </c>
      <c r="L1238" t="s">
        <v>29</v>
      </c>
    </row>
    <row r="1239" spans="1:12" x14ac:dyDescent="0.25">
      <c r="A1239">
        <v>1238</v>
      </c>
      <c r="B1239">
        <v>56</v>
      </c>
      <c r="C1239" t="s">
        <v>12</v>
      </c>
      <c r="D1239" t="s">
        <v>16</v>
      </c>
      <c r="E1239">
        <v>14.43</v>
      </c>
      <c r="F1239">
        <v>13.49</v>
      </c>
      <c r="G1239">
        <v>6.09</v>
      </c>
      <c r="H1239" t="s">
        <v>20</v>
      </c>
      <c r="I1239" t="s">
        <v>22</v>
      </c>
      <c r="J1239" t="s">
        <v>25</v>
      </c>
      <c r="K1239">
        <v>22</v>
      </c>
      <c r="L1239" t="s">
        <v>29</v>
      </c>
    </row>
    <row r="1240" spans="1:12" x14ac:dyDescent="0.25">
      <c r="A1240">
        <v>1239</v>
      </c>
      <c r="B1240">
        <v>39</v>
      </c>
      <c r="C1240" t="s">
        <v>13</v>
      </c>
      <c r="D1240" t="s">
        <v>14</v>
      </c>
      <c r="E1240">
        <v>12.71</v>
      </c>
      <c r="F1240">
        <v>2.42</v>
      </c>
      <c r="G1240">
        <v>1.22</v>
      </c>
      <c r="H1240" t="s">
        <v>18</v>
      </c>
      <c r="I1240" t="s">
        <v>23</v>
      </c>
      <c r="J1240" t="s">
        <v>26</v>
      </c>
      <c r="K1240">
        <v>12</v>
      </c>
      <c r="L1240" t="s">
        <v>29</v>
      </c>
    </row>
    <row r="1241" spans="1:12" x14ac:dyDescent="0.25">
      <c r="A1241">
        <v>1240</v>
      </c>
      <c r="B1241">
        <v>43</v>
      </c>
      <c r="C1241" t="s">
        <v>12</v>
      </c>
      <c r="D1241" t="s">
        <v>14</v>
      </c>
      <c r="E1241">
        <v>46.55</v>
      </c>
      <c r="F1241">
        <v>11.53</v>
      </c>
      <c r="G1241">
        <v>10.34</v>
      </c>
      <c r="H1241" t="s">
        <v>20</v>
      </c>
      <c r="I1241" t="s">
        <v>22</v>
      </c>
      <c r="J1241" t="s">
        <v>28</v>
      </c>
      <c r="K1241">
        <v>3</v>
      </c>
      <c r="L1241" t="s">
        <v>30</v>
      </c>
    </row>
    <row r="1242" spans="1:12" x14ac:dyDescent="0.25">
      <c r="A1242">
        <v>1241</v>
      </c>
      <c r="B1242">
        <v>79</v>
      </c>
      <c r="C1242" t="s">
        <v>12</v>
      </c>
      <c r="D1242" t="s">
        <v>14</v>
      </c>
      <c r="E1242">
        <v>12.58</v>
      </c>
      <c r="F1242">
        <v>9.11</v>
      </c>
      <c r="G1242">
        <v>10.35</v>
      </c>
      <c r="H1242" t="s">
        <v>21</v>
      </c>
      <c r="I1242" t="s">
        <v>22</v>
      </c>
      <c r="J1242" t="s">
        <v>25</v>
      </c>
      <c r="K1242">
        <v>16</v>
      </c>
      <c r="L1242" t="s">
        <v>29</v>
      </c>
    </row>
    <row r="1243" spans="1:12" x14ac:dyDescent="0.25">
      <c r="A1243">
        <v>1242</v>
      </c>
      <c r="B1243">
        <v>61</v>
      </c>
      <c r="C1243" t="s">
        <v>13</v>
      </c>
      <c r="D1243" t="s">
        <v>17</v>
      </c>
      <c r="E1243">
        <v>6.6</v>
      </c>
      <c r="F1243">
        <v>3.45</v>
      </c>
      <c r="G1243">
        <v>3.28</v>
      </c>
      <c r="H1243" t="s">
        <v>18</v>
      </c>
      <c r="I1243" t="s">
        <v>22</v>
      </c>
      <c r="J1243" t="s">
        <v>26</v>
      </c>
      <c r="K1243">
        <v>7</v>
      </c>
      <c r="L1243" t="s">
        <v>29</v>
      </c>
    </row>
    <row r="1244" spans="1:12" x14ac:dyDescent="0.25">
      <c r="A1244">
        <v>1243</v>
      </c>
      <c r="B1244">
        <v>42</v>
      </c>
      <c r="C1244" t="s">
        <v>13</v>
      </c>
      <c r="D1244" t="s">
        <v>17</v>
      </c>
      <c r="E1244">
        <v>18.98</v>
      </c>
      <c r="F1244">
        <v>6.7</v>
      </c>
      <c r="G1244">
        <v>14.65</v>
      </c>
      <c r="H1244" t="s">
        <v>18</v>
      </c>
      <c r="I1244" t="s">
        <v>22</v>
      </c>
      <c r="J1244" t="s">
        <v>25</v>
      </c>
      <c r="K1244">
        <v>26</v>
      </c>
      <c r="L1244" t="s">
        <v>30</v>
      </c>
    </row>
    <row r="1245" spans="1:12" x14ac:dyDescent="0.25">
      <c r="A1245">
        <v>1244</v>
      </c>
      <c r="B1245">
        <v>34</v>
      </c>
      <c r="C1245" t="s">
        <v>12</v>
      </c>
      <c r="D1245" t="s">
        <v>17</v>
      </c>
      <c r="E1245">
        <v>16.72</v>
      </c>
      <c r="F1245">
        <v>11.15</v>
      </c>
      <c r="G1245">
        <v>9.6199999999999992</v>
      </c>
      <c r="H1245" t="s">
        <v>21</v>
      </c>
      <c r="I1245" t="s">
        <v>22</v>
      </c>
      <c r="J1245" t="s">
        <v>26</v>
      </c>
      <c r="K1245">
        <v>6</v>
      </c>
      <c r="L1245" t="s">
        <v>29</v>
      </c>
    </row>
    <row r="1246" spans="1:12" x14ac:dyDescent="0.25">
      <c r="A1246">
        <v>1245</v>
      </c>
      <c r="B1246">
        <v>30</v>
      </c>
      <c r="C1246" t="s">
        <v>12</v>
      </c>
      <c r="D1246" t="s">
        <v>15</v>
      </c>
      <c r="E1246">
        <v>32.380000000000003</v>
      </c>
      <c r="F1246">
        <v>6.86</v>
      </c>
      <c r="G1246">
        <v>3.88</v>
      </c>
      <c r="H1246" t="s">
        <v>19</v>
      </c>
      <c r="I1246" t="s">
        <v>24</v>
      </c>
      <c r="J1246" t="s">
        <v>25</v>
      </c>
      <c r="K1246">
        <v>29</v>
      </c>
      <c r="L1246" t="s">
        <v>29</v>
      </c>
    </row>
    <row r="1247" spans="1:12" x14ac:dyDescent="0.25">
      <c r="A1247">
        <v>1246</v>
      </c>
      <c r="B1247">
        <v>37</v>
      </c>
      <c r="C1247" t="s">
        <v>12</v>
      </c>
      <c r="D1247" t="s">
        <v>17</v>
      </c>
      <c r="E1247">
        <v>15.19</v>
      </c>
      <c r="F1247">
        <v>20.5</v>
      </c>
      <c r="G1247">
        <v>7.27</v>
      </c>
      <c r="H1247" t="s">
        <v>19</v>
      </c>
      <c r="I1247" t="s">
        <v>22</v>
      </c>
      <c r="J1247" t="s">
        <v>26</v>
      </c>
      <c r="K1247">
        <v>7</v>
      </c>
      <c r="L1247" t="s">
        <v>29</v>
      </c>
    </row>
    <row r="1248" spans="1:12" x14ac:dyDescent="0.25">
      <c r="A1248">
        <v>1247</v>
      </c>
      <c r="B1248">
        <v>42</v>
      </c>
      <c r="C1248" t="s">
        <v>13</v>
      </c>
      <c r="D1248" t="s">
        <v>15</v>
      </c>
      <c r="E1248">
        <v>25.09</v>
      </c>
      <c r="F1248">
        <v>9.0500000000000007</v>
      </c>
      <c r="G1248">
        <v>8.92</v>
      </c>
      <c r="H1248" t="s">
        <v>21</v>
      </c>
      <c r="I1248" t="s">
        <v>22</v>
      </c>
      <c r="J1248" t="s">
        <v>26</v>
      </c>
      <c r="K1248">
        <v>15</v>
      </c>
      <c r="L1248" t="s">
        <v>29</v>
      </c>
    </row>
    <row r="1249" spans="1:12" x14ac:dyDescent="0.25">
      <c r="A1249">
        <v>1248</v>
      </c>
      <c r="B1249">
        <v>21</v>
      </c>
      <c r="C1249" t="s">
        <v>12</v>
      </c>
      <c r="D1249" t="s">
        <v>14</v>
      </c>
      <c r="E1249">
        <v>39.840000000000003</v>
      </c>
      <c r="F1249">
        <v>6.31</v>
      </c>
      <c r="G1249">
        <v>5.09</v>
      </c>
      <c r="H1249" t="s">
        <v>18</v>
      </c>
      <c r="I1249" t="s">
        <v>24</v>
      </c>
      <c r="J1249" t="s">
        <v>25</v>
      </c>
      <c r="K1249">
        <v>23</v>
      </c>
      <c r="L1249" t="s">
        <v>29</v>
      </c>
    </row>
    <row r="1250" spans="1:12" x14ac:dyDescent="0.25">
      <c r="A1250">
        <v>1249</v>
      </c>
      <c r="B1250">
        <v>27</v>
      </c>
      <c r="C1250" t="s">
        <v>12</v>
      </c>
      <c r="D1250" t="s">
        <v>17</v>
      </c>
      <c r="E1250">
        <v>21.63</v>
      </c>
      <c r="F1250">
        <v>11.62</v>
      </c>
      <c r="G1250">
        <v>20.79</v>
      </c>
      <c r="H1250" t="s">
        <v>18</v>
      </c>
      <c r="I1250" t="s">
        <v>22</v>
      </c>
      <c r="J1250" t="s">
        <v>27</v>
      </c>
      <c r="K1250">
        <v>34</v>
      </c>
      <c r="L1250" t="s">
        <v>29</v>
      </c>
    </row>
    <row r="1251" spans="1:12" x14ac:dyDescent="0.25">
      <c r="A1251">
        <v>1250</v>
      </c>
      <c r="B1251">
        <v>20</v>
      </c>
      <c r="C1251" t="s">
        <v>12</v>
      </c>
      <c r="D1251" t="s">
        <v>17</v>
      </c>
      <c r="E1251">
        <v>8.08</v>
      </c>
      <c r="F1251">
        <v>12.74</v>
      </c>
      <c r="G1251">
        <v>5.81</v>
      </c>
      <c r="H1251" t="s">
        <v>18</v>
      </c>
      <c r="I1251" t="s">
        <v>22</v>
      </c>
      <c r="J1251" t="s">
        <v>25</v>
      </c>
      <c r="K1251">
        <v>33</v>
      </c>
      <c r="L1251" t="s">
        <v>29</v>
      </c>
    </row>
    <row r="1252" spans="1:12" x14ac:dyDescent="0.25">
      <c r="A1252">
        <v>1251</v>
      </c>
      <c r="B1252">
        <v>58</v>
      </c>
      <c r="C1252" t="s">
        <v>13</v>
      </c>
      <c r="D1252" t="s">
        <v>17</v>
      </c>
      <c r="E1252">
        <v>22.02</v>
      </c>
      <c r="F1252">
        <v>19.11</v>
      </c>
      <c r="G1252">
        <v>2.13</v>
      </c>
      <c r="H1252" t="s">
        <v>20</v>
      </c>
      <c r="I1252" t="s">
        <v>23</v>
      </c>
      <c r="J1252" t="s">
        <v>26</v>
      </c>
      <c r="K1252">
        <v>34</v>
      </c>
      <c r="L1252" t="s">
        <v>30</v>
      </c>
    </row>
    <row r="1253" spans="1:12" x14ac:dyDescent="0.25">
      <c r="A1253">
        <v>1252</v>
      </c>
      <c r="B1253">
        <v>62</v>
      </c>
      <c r="C1253" t="s">
        <v>13</v>
      </c>
      <c r="D1253" t="s">
        <v>15</v>
      </c>
      <c r="E1253">
        <v>13.19</v>
      </c>
      <c r="F1253">
        <v>10.5</v>
      </c>
      <c r="G1253">
        <v>3.55</v>
      </c>
      <c r="H1253" t="s">
        <v>19</v>
      </c>
      <c r="I1253" t="s">
        <v>23</v>
      </c>
      <c r="J1253" t="s">
        <v>27</v>
      </c>
      <c r="K1253">
        <v>17</v>
      </c>
      <c r="L1253" t="s">
        <v>30</v>
      </c>
    </row>
    <row r="1254" spans="1:12" x14ac:dyDescent="0.25">
      <c r="A1254">
        <v>1253</v>
      </c>
      <c r="B1254">
        <v>35</v>
      </c>
      <c r="C1254" t="s">
        <v>12</v>
      </c>
      <c r="D1254" t="s">
        <v>15</v>
      </c>
      <c r="E1254">
        <v>19.829999999999998</v>
      </c>
      <c r="F1254">
        <v>12.36</v>
      </c>
      <c r="G1254">
        <v>11.79</v>
      </c>
      <c r="H1254" t="s">
        <v>18</v>
      </c>
      <c r="I1254" t="s">
        <v>22</v>
      </c>
      <c r="J1254" t="s">
        <v>25</v>
      </c>
      <c r="K1254">
        <v>32</v>
      </c>
      <c r="L1254" t="s">
        <v>30</v>
      </c>
    </row>
    <row r="1255" spans="1:12" x14ac:dyDescent="0.25">
      <c r="A1255">
        <v>1254</v>
      </c>
      <c r="B1255">
        <v>64</v>
      </c>
      <c r="C1255" t="s">
        <v>12</v>
      </c>
      <c r="D1255" t="s">
        <v>17</v>
      </c>
      <c r="E1255">
        <v>16.809999999999999</v>
      </c>
      <c r="F1255">
        <v>15.97</v>
      </c>
      <c r="G1255">
        <v>14.78</v>
      </c>
      <c r="H1255" t="s">
        <v>19</v>
      </c>
      <c r="I1255" t="s">
        <v>22</v>
      </c>
      <c r="J1255" t="s">
        <v>25</v>
      </c>
      <c r="K1255">
        <v>9</v>
      </c>
      <c r="L1255" t="s">
        <v>29</v>
      </c>
    </row>
    <row r="1256" spans="1:12" x14ac:dyDescent="0.25">
      <c r="A1256">
        <v>1255</v>
      </c>
      <c r="B1256">
        <v>53</v>
      </c>
      <c r="C1256" t="s">
        <v>13</v>
      </c>
      <c r="D1256" t="s">
        <v>15</v>
      </c>
      <c r="E1256">
        <v>6.49</v>
      </c>
      <c r="F1256">
        <v>5.23</v>
      </c>
      <c r="G1256">
        <v>11.73</v>
      </c>
      <c r="H1256" t="s">
        <v>19</v>
      </c>
      <c r="I1256" t="s">
        <v>23</v>
      </c>
      <c r="J1256" t="s">
        <v>26</v>
      </c>
      <c r="K1256">
        <v>33</v>
      </c>
      <c r="L1256" t="s">
        <v>29</v>
      </c>
    </row>
    <row r="1257" spans="1:12" x14ac:dyDescent="0.25">
      <c r="A1257">
        <v>1256</v>
      </c>
      <c r="B1257">
        <v>64</v>
      </c>
      <c r="C1257" t="s">
        <v>13</v>
      </c>
      <c r="D1257" t="s">
        <v>16</v>
      </c>
      <c r="E1257">
        <v>15.13</v>
      </c>
      <c r="F1257">
        <v>18.309999999999999</v>
      </c>
      <c r="G1257">
        <v>14.38</v>
      </c>
      <c r="H1257" t="s">
        <v>18</v>
      </c>
      <c r="I1257" t="s">
        <v>24</v>
      </c>
      <c r="J1257" t="s">
        <v>27</v>
      </c>
      <c r="K1257">
        <v>28</v>
      </c>
      <c r="L1257" t="s">
        <v>29</v>
      </c>
    </row>
    <row r="1258" spans="1:12" x14ac:dyDescent="0.25">
      <c r="A1258">
        <v>1257</v>
      </c>
      <c r="B1258">
        <v>39</v>
      </c>
      <c r="C1258" t="s">
        <v>13</v>
      </c>
      <c r="D1258" t="s">
        <v>14</v>
      </c>
      <c r="E1258">
        <v>7.73</v>
      </c>
      <c r="F1258">
        <v>3.54</v>
      </c>
      <c r="G1258">
        <v>6.71</v>
      </c>
      <c r="H1258" t="s">
        <v>21</v>
      </c>
      <c r="I1258" t="s">
        <v>23</v>
      </c>
      <c r="J1258" t="s">
        <v>27</v>
      </c>
      <c r="K1258">
        <v>28</v>
      </c>
      <c r="L1258" t="s">
        <v>29</v>
      </c>
    </row>
    <row r="1259" spans="1:12" x14ac:dyDescent="0.25">
      <c r="A1259">
        <v>1258</v>
      </c>
      <c r="B1259">
        <v>51</v>
      </c>
      <c r="C1259" t="s">
        <v>13</v>
      </c>
      <c r="D1259" t="s">
        <v>14</v>
      </c>
      <c r="E1259">
        <v>11.91</v>
      </c>
      <c r="F1259">
        <v>11.06</v>
      </c>
      <c r="G1259">
        <v>1.55</v>
      </c>
      <c r="H1259" t="s">
        <v>21</v>
      </c>
      <c r="I1259" t="s">
        <v>22</v>
      </c>
      <c r="J1259" t="s">
        <v>25</v>
      </c>
      <c r="K1259">
        <v>4</v>
      </c>
      <c r="L1259" t="s">
        <v>30</v>
      </c>
    </row>
    <row r="1260" spans="1:12" x14ac:dyDescent="0.25">
      <c r="A1260">
        <v>1259</v>
      </c>
      <c r="B1260">
        <v>64</v>
      </c>
      <c r="C1260" t="s">
        <v>13</v>
      </c>
      <c r="D1260" t="s">
        <v>16</v>
      </c>
      <c r="E1260">
        <v>29.45</v>
      </c>
      <c r="F1260">
        <v>11.2</v>
      </c>
      <c r="G1260">
        <v>31.82</v>
      </c>
      <c r="H1260" t="s">
        <v>19</v>
      </c>
      <c r="I1260" t="s">
        <v>23</v>
      </c>
      <c r="J1260" t="s">
        <v>27</v>
      </c>
      <c r="K1260">
        <v>11</v>
      </c>
      <c r="L1260" t="s">
        <v>30</v>
      </c>
    </row>
    <row r="1261" spans="1:12" x14ac:dyDescent="0.25">
      <c r="A1261">
        <v>1260</v>
      </c>
      <c r="B1261">
        <v>25</v>
      </c>
      <c r="C1261" t="s">
        <v>13</v>
      </c>
      <c r="D1261" t="s">
        <v>15</v>
      </c>
      <c r="E1261">
        <v>17.68</v>
      </c>
      <c r="F1261">
        <v>11</v>
      </c>
      <c r="G1261">
        <v>12.16</v>
      </c>
      <c r="H1261" t="s">
        <v>20</v>
      </c>
      <c r="I1261" t="s">
        <v>22</v>
      </c>
      <c r="J1261" t="s">
        <v>26</v>
      </c>
      <c r="K1261">
        <v>7</v>
      </c>
      <c r="L1261" t="s">
        <v>29</v>
      </c>
    </row>
    <row r="1262" spans="1:12" x14ac:dyDescent="0.25">
      <c r="A1262">
        <v>1261</v>
      </c>
      <c r="B1262">
        <v>57</v>
      </c>
      <c r="C1262" t="s">
        <v>13</v>
      </c>
      <c r="D1262" t="s">
        <v>14</v>
      </c>
      <c r="E1262">
        <v>24.16</v>
      </c>
      <c r="F1262">
        <v>3.25</v>
      </c>
      <c r="G1262">
        <v>8.02</v>
      </c>
      <c r="H1262" t="s">
        <v>19</v>
      </c>
      <c r="I1262" t="s">
        <v>24</v>
      </c>
      <c r="J1262" t="s">
        <v>27</v>
      </c>
      <c r="K1262">
        <v>29</v>
      </c>
      <c r="L1262" t="s">
        <v>30</v>
      </c>
    </row>
    <row r="1263" spans="1:12" x14ac:dyDescent="0.25">
      <c r="A1263">
        <v>1262</v>
      </c>
      <c r="B1263">
        <v>66</v>
      </c>
      <c r="C1263" t="s">
        <v>13</v>
      </c>
      <c r="D1263" t="s">
        <v>14</v>
      </c>
      <c r="E1263">
        <v>18.63</v>
      </c>
      <c r="F1263">
        <v>0.47</v>
      </c>
      <c r="G1263">
        <v>9.76</v>
      </c>
      <c r="H1263" t="s">
        <v>19</v>
      </c>
      <c r="I1263" t="s">
        <v>23</v>
      </c>
      <c r="J1263" t="s">
        <v>26</v>
      </c>
      <c r="K1263">
        <v>14</v>
      </c>
      <c r="L1263" t="s">
        <v>30</v>
      </c>
    </row>
    <row r="1264" spans="1:12" x14ac:dyDescent="0.25">
      <c r="A1264">
        <v>1263</v>
      </c>
      <c r="B1264">
        <v>61</v>
      </c>
      <c r="C1264" t="s">
        <v>13</v>
      </c>
      <c r="D1264" t="s">
        <v>15</v>
      </c>
      <c r="E1264">
        <v>13.84</v>
      </c>
      <c r="F1264">
        <v>8.06</v>
      </c>
      <c r="G1264">
        <v>30.91</v>
      </c>
      <c r="H1264" t="s">
        <v>21</v>
      </c>
      <c r="I1264" t="s">
        <v>23</v>
      </c>
      <c r="J1264" t="s">
        <v>26</v>
      </c>
      <c r="K1264">
        <v>31</v>
      </c>
      <c r="L1264" t="s">
        <v>29</v>
      </c>
    </row>
    <row r="1265" spans="1:12" x14ac:dyDescent="0.25">
      <c r="A1265">
        <v>1264</v>
      </c>
      <c r="B1265">
        <v>36</v>
      </c>
      <c r="C1265" t="s">
        <v>12</v>
      </c>
      <c r="D1265" t="s">
        <v>16</v>
      </c>
      <c r="E1265">
        <v>19.86</v>
      </c>
      <c r="F1265">
        <v>13.02</v>
      </c>
      <c r="G1265">
        <v>5.23</v>
      </c>
      <c r="H1265" t="s">
        <v>18</v>
      </c>
      <c r="I1265" t="s">
        <v>22</v>
      </c>
      <c r="J1265" t="s">
        <v>25</v>
      </c>
      <c r="K1265">
        <v>18</v>
      </c>
      <c r="L1265" t="s">
        <v>29</v>
      </c>
    </row>
    <row r="1266" spans="1:12" x14ac:dyDescent="0.25">
      <c r="A1266">
        <v>1265</v>
      </c>
      <c r="B1266">
        <v>59</v>
      </c>
      <c r="C1266" t="s">
        <v>12</v>
      </c>
      <c r="D1266" t="s">
        <v>15</v>
      </c>
      <c r="E1266">
        <v>4.38</v>
      </c>
      <c r="F1266">
        <v>25.63</v>
      </c>
      <c r="G1266">
        <v>8.23</v>
      </c>
      <c r="H1266" t="s">
        <v>18</v>
      </c>
      <c r="I1266" t="s">
        <v>22</v>
      </c>
      <c r="J1266" t="s">
        <v>25</v>
      </c>
      <c r="K1266">
        <v>21</v>
      </c>
      <c r="L1266" t="s">
        <v>30</v>
      </c>
    </row>
    <row r="1267" spans="1:12" x14ac:dyDescent="0.25">
      <c r="A1267">
        <v>1266</v>
      </c>
      <c r="B1267">
        <v>58</v>
      </c>
      <c r="C1267" t="s">
        <v>12</v>
      </c>
      <c r="D1267" t="s">
        <v>14</v>
      </c>
      <c r="E1267">
        <v>26.91</v>
      </c>
      <c r="F1267">
        <v>13.16</v>
      </c>
      <c r="G1267">
        <v>15.41</v>
      </c>
      <c r="H1267" t="s">
        <v>20</v>
      </c>
      <c r="I1267" t="s">
        <v>22</v>
      </c>
      <c r="J1267" t="s">
        <v>26</v>
      </c>
      <c r="K1267">
        <v>29</v>
      </c>
      <c r="L1267" t="s">
        <v>29</v>
      </c>
    </row>
    <row r="1268" spans="1:12" x14ac:dyDescent="0.25">
      <c r="A1268">
        <v>1267</v>
      </c>
      <c r="B1268">
        <v>54</v>
      </c>
      <c r="C1268" t="s">
        <v>13</v>
      </c>
      <c r="D1268" t="s">
        <v>14</v>
      </c>
      <c r="E1268">
        <v>9.23</v>
      </c>
      <c r="F1268">
        <v>3.49</v>
      </c>
      <c r="G1268">
        <v>9.83</v>
      </c>
      <c r="H1268" t="s">
        <v>21</v>
      </c>
      <c r="I1268" t="s">
        <v>24</v>
      </c>
      <c r="J1268" t="s">
        <v>26</v>
      </c>
      <c r="K1268">
        <v>20</v>
      </c>
      <c r="L1268" t="s">
        <v>29</v>
      </c>
    </row>
    <row r="1269" spans="1:12" x14ac:dyDescent="0.25">
      <c r="A1269">
        <v>1268</v>
      </c>
      <c r="B1269">
        <v>23</v>
      </c>
      <c r="C1269" t="s">
        <v>12</v>
      </c>
      <c r="D1269" t="s">
        <v>15</v>
      </c>
      <c r="E1269">
        <v>23.22</v>
      </c>
      <c r="F1269">
        <v>8.42</v>
      </c>
      <c r="G1269">
        <v>2.17</v>
      </c>
      <c r="H1269" t="s">
        <v>21</v>
      </c>
      <c r="I1269" t="s">
        <v>23</v>
      </c>
      <c r="J1269" t="s">
        <v>26</v>
      </c>
      <c r="K1269">
        <v>15</v>
      </c>
      <c r="L1269" t="s">
        <v>30</v>
      </c>
    </row>
    <row r="1270" spans="1:12" x14ac:dyDescent="0.25">
      <c r="A1270">
        <v>1269</v>
      </c>
      <c r="B1270">
        <v>69</v>
      </c>
      <c r="C1270" t="s">
        <v>13</v>
      </c>
      <c r="D1270" t="s">
        <v>14</v>
      </c>
      <c r="E1270">
        <v>13.47</v>
      </c>
      <c r="F1270">
        <v>8.84</v>
      </c>
      <c r="G1270">
        <v>26.24</v>
      </c>
      <c r="H1270" t="s">
        <v>19</v>
      </c>
      <c r="I1270" t="s">
        <v>22</v>
      </c>
      <c r="J1270" t="s">
        <v>26</v>
      </c>
      <c r="K1270">
        <v>32</v>
      </c>
      <c r="L1270" t="s">
        <v>29</v>
      </c>
    </row>
    <row r="1271" spans="1:12" x14ac:dyDescent="0.25">
      <c r="A1271">
        <v>1270</v>
      </c>
      <c r="B1271">
        <v>43</v>
      </c>
      <c r="C1271" t="s">
        <v>13</v>
      </c>
      <c r="D1271" t="s">
        <v>16</v>
      </c>
      <c r="E1271">
        <v>6.49</v>
      </c>
      <c r="F1271">
        <v>23.24</v>
      </c>
      <c r="G1271">
        <v>26.65</v>
      </c>
      <c r="H1271" t="s">
        <v>21</v>
      </c>
      <c r="I1271" t="s">
        <v>22</v>
      </c>
      <c r="J1271" t="s">
        <v>26</v>
      </c>
      <c r="K1271">
        <v>28</v>
      </c>
      <c r="L1271" t="s">
        <v>29</v>
      </c>
    </row>
    <row r="1272" spans="1:12" x14ac:dyDescent="0.25">
      <c r="A1272">
        <v>1271</v>
      </c>
      <c r="B1272">
        <v>51</v>
      </c>
      <c r="C1272" t="s">
        <v>12</v>
      </c>
      <c r="D1272" t="s">
        <v>14</v>
      </c>
      <c r="E1272">
        <v>10.46</v>
      </c>
      <c r="F1272">
        <v>13.42</v>
      </c>
      <c r="G1272">
        <v>12.54</v>
      </c>
      <c r="H1272" t="s">
        <v>19</v>
      </c>
      <c r="I1272" t="s">
        <v>24</v>
      </c>
      <c r="J1272" t="s">
        <v>26</v>
      </c>
      <c r="K1272">
        <v>8</v>
      </c>
      <c r="L1272" t="s">
        <v>30</v>
      </c>
    </row>
    <row r="1273" spans="1:12" x14ac:dyDescent="0.25">
      <c r="A1273">
        <v>1272</v>
      </c>
      <c r="B1273">
        <v>76</v>
      </c>
      <c r="C1273" t="s">
        <v>13</v>
      </c>
      <c r="D1273" t="s">
        <v>17</v>
      </c>
      <c r="E1273">
        <v>23.3</v>
      </c>
      <c r="F1273">
        <v>4.03</v>
      </c>
      <c r="G1273">
        <v>34.369999999999997</v>
      </c>
      <c r="H1273" t="s">
        <v>20</v>
      </c>
      <c r="I1273" t="s">
        <v>24</v>
      </c>
      <c r="J1273" t="s">
        <v>26</v>
      </c>
      <c r="K1273">
        <v>5</v>
      </c>
      <c r="L1273" t="s">
        <v>29</v>
      </c>
    </row>
    <row r="1274" spans="1:12" x14ac:dyDescent="0.25">
      <c r="A1274">
        <v>1273</v>
      </c>
      <c r="B1274">
        <v>73</v>
      </c>
      <c r="C1274" t="s">
        <v>12</v>
      </c>
      <c r="D1274" t="s">
        <v>14</v>
      </c>
      <c r="E1274">
        <v>55.64</v>
      </c>
      <c r="F1274">
        <v>6.4</v>
      </c>
      <c r="G1274">
        <v>10.29</v>
      </c>
      <c r="H1274" t="s">
        <v>21</v>
      </c>
      <c r="I1274" t="s">
        <v>22</v>
      </c>
      <c r="J1274" t="s">
        <v>28</v>
      </c>
      <c r="K1274">
        <v>25</v>
      </c>
      <c r="L1274" t="s">
        <v>29</v>
      </c>
    </row>
    <row r="1275" spans="1:12" x14ac:dyDescent="0.25">
      <c r="A1275">
        <v>1274</v>
      </c>
      <c r="B1275">
        <v>76</v>
      </c>
      <c r="C1275" t="s">
        <v>12</v>
      </c>
      <c r="D1275" t="s">
        <v>15</v>
      </c>
      <c r="E1275">
        <v>16.100000000000001</v>
      </c>
      <c r="F1275">
        <v>17.07</v>
      </c>
      <c r="G1275">
        <v>11.54</v>
      </c>
      <c r="H1275" t="s">
        <v>21</v>
      </c>
      <c r="I1275" t="s">
        <v>22</v>
      </c>
      <c r="J1275" t="s">
        <v>25</v>
      </c>
      <c r="K1275">
        <v>14</v>
      </c>
      <c r="L1275" t="s">
        <v>29</v>
      </c>
    </row>
    <row r="1276" spans="1:12" x14ac:dyDescent="0.25">
      <c r="A1276">
        <v>1275</v>
      </c>
      <c r="B1276">
        <v>62</v>
      </c>
      <c r="C1276" t="s">
        <v>12</v>
      </c>
      <c r="D1276" t="s">
        <v>15</v>
      </c>
      <c r="E1276">
        <v>51.74</v>
      </c>
      <c r="F1276">
        <v>11.71</v>
      </c>
      <c r="G1276">
        <v>0.88</v>
      </c>
      <c r="H1276" t="s">
        <v>19</v>
      </c>
      <c r="I1276" t="s">
        <v>23</v>
      </c>
      <c r="J1276" t="s">
        <v>26</v>
      </c>
      <c r="K1276">
        <v>17</v>
      </c>
      <c r="L1276" t="s">
        <v>29</v>
      </c>
    </row>
    <row r="1277" spans="1:12" x14ac:dyDescent="0.25">
      <c r="A1277">
        <v>1276</v>
      </c>
      <c r="B1277">
        <v>23</v>
      </c>
      <c r="C1277" t="s">
        <v>13</v>
      </c>
      <c r="D1277" t="s">
        <v>15</v>
      </c>
      <c r="E1277">
        <v>4.37</v>
      </c>
      <c r="F1277">
        <v>10.029999999999999</v>
      </c>
      <c r="G1277">
        <v>9.2200000000000006</v>
      </c>
      <c r="H1277" t="s">
        <v>21</v>
      </c>
      <c r="I1277" t="s">
        <v>23</v>
      </c>
      <c r="J1277" t="s">
        <v>28</v>
      </c>
      <c r="K1277">
        <v>3</v>
      </c>
      <c r="L1277" t="s">
        <v>29</v>
      </c>
    </row>
    <row r="1278" spans="1:12" x14ac:dyDescent="0.25">
      <c r="A1278">
        <v>1277</v>
      </c>
      <c r="B1278">
        <v>54</v>
      </c>
      <c r="C1278" t="s">
        <v>12</v>
      </c>
      <c r="D1278" t="s">
        <v>14</v>
      </c>
      <c r="E1278">
        <v>14.19</v>
      </c>
      <c r="F1278">
        <v>8.39</v>
      </c>
      <c r="G1278">
        <v>10.69</v>
      </c>
      <c r="H1278" t="s">
        <v>18</v>
      </c>
      <c r="I1278" t="s">
        <v>22</v>
      </c>
      <c r="J1278" t="s">
        <v>25</v>
      </c>
      <c r="K1278">
        <v>10</v>
      </c>
      <c r="L1278" t="s">
        <v>30</v>
      </c>
    </row>
    <row r="1279" spans="1:12" x14ac:dyDescent="0.25">
      <c r="A1279">
        <v>1278</v>
      </c>
      <c r="B1279">
        <v>74</v>
      </c>
      <c r="C1279" t="s">
        <v>13</v>
      </c>
      <c r="D1279" t="s">
        <v>14</v>
      </c>
      <c r="E1279">
        <v>16.11</v>
      </c>
      <c r="F1279">
        <v>16.79</v>
      </c>
      <c r="G1279">
        <v>19.72</v>
      </c>
      <c r="H1279" t="s">
        <v>20</v>
      </c>
      <c r="I1279" t="s">
        <v>22</v>
      </c>
      <c r="J1279" t="s">
        <v>26</v>
      </c>
      <c r="K1279">
        <v>33</v>
      </c>
      <c r="L1279" t="s">
        <v>29</v>
      </c>
    </row>
    <row r="1280" spans="1:12" x14ac:dyDescent="0.25">
      <c r="A1280">
        <v>1279</v>
      </c>
      <c r="B1280">
        <v>50</v>
      </c>
      <c r="C1280" t="s">
        <v>12</v>
      </c>
      <c r="D1280" t="s">
        <v>14</v>
      </c>
      <c r="E1280">
        <v>24.06</v>
      </c>
      <c r="F1280">
        <v>7.39</v>
      </c>
      <c r="G1280">
        <v>9.1999999999999993</v>
      </c>
      <c r="H1280" t="s">
        <v>18</v>
      </c>
      <c r="I1280" t="s">
        <v>22</v>
      </c>
      <c r="J1280" t="s">
        <v>26</v>
      </c>
      <c r="K1280">
        <v>13</v>
      </c>
      <c r="L1280" t="s">
        <v>29</v>
      </c>
    </row>
    <row r="1281" spans="1:12" x14ac:dyDescent="0.25">
      <c r="A1281">
        <v>1280</v>
      </c>
      <c r="B1281">
        <v>70</v>
      </c>
      <c r="C1281" t="s">
        <v>12</v>
      </c>
      <c r="D1281" t="s">
        <v>14</v>
      </c>
      <c r="E1281">
        <v>10.76</v>
      </c>
      <c r="F1281">
        <v>6.19</v>
      </c>
      <c r="G1281">
        <v>7.8</v>
      </c>
      <c r="H1281" t="s">
        <v>19</v>
      </c>
      <c r="I1281" t="s">
        <v>22</v>
      </c>
      <c r="J1281" t="s">
        <v>26</v>
      </c>
      <c r="K1281">
        <v>19</v>
      </c>
      <c r="L1281" t="s">
        <v>30</v>
      </c>
    </row>
    <row r="1282" spans="1:12" x14ac:dyDescent="0.25">
      <c r="A1282">
        <v>1281</v>
      </c>
      <c r="B1282">
        <v>39</v>
      </c>
      <c r="C1282" t="s">
        <v>12</v>
      </c>
      <c r="D1282" t="s">
        <v>15</v>
      </c>
      <c r="E1282">
        <v>21.05</v>
      </c>
      <c r="F1282">
        <v>18.84</v>
      </c>
      <c r="G1282">
        <v>4.53</v>
      </c>
      <c r="H1282" t="s">
        <v>19</v>
      </c>
      <c r="I1282" t="s">
        <v>23</v>
      </c>
      <c r="J1282" t="s">
        <v>26</v>
      </c>
      <c r="K1282">
        <v>29</v>
      </c>
      <c r="L1282" t="s">
        <v>29</v>
      </c>
    </row>
    <row r="1283" spans="1:12" x14ac:dyDescent="0.25">
      <c r="A1283">
        <v>1282</v>
      </c>
      <c r="B1283">
        <v>38</v>
      </c>
      <c r="C1283" t="s">
        <v>13</v>
      </c>
      <c r="D1283" t="s">
        <v>17</v>
      </c>
      <c r="E1283">
        <v>14.68</v>
      </c>
      <c r="F1283">
        <v>0.46</v>
      </c>
      <c r="G1283">
        <v>5.09</v>
      </c>
      <c r="H1283" t="s">
        <v>19</v>
      </c>
      <c r="I1283" t="s">
        <v>22</v>
      </c>
      <c r="J1283" t="s">
        <v>26</v>
      </c>
      <c r="K1283">
        <v>33</v>
      </c>
      <c r="L1283" t="s">
        <v>30</v>
      </c>
    </row>
    <row r="1284" spans="1:12" x14ac:dyDescent="0.25">
      <c r="A1284">
        <v>1283</v>
      </c>
      <c r="B1284">
        <v>23</v>
      </c>
      <c r="C1284" t="s">
        <v>13</v>
      </c>
      <c r="D1284" t="s">
        <v>15</v>
      </c>
      <c r="E1284">
        <v>35.22</v>
      </c>
      <c r="F1284">
        <v>3.92</v>
      </c>
      <c r="G1284">
        <v>3.02</v>
      </c>
      <c r="H1284" t="s">
        <v>20</v>
      </c>
      <c r="I1284" t="s">
        <v>23</v>
      </c>
      <c r="J1284" t="s">
        <v>26</v>
      </c>
      <c r="K1284">
        <v>29</v>
      </c>
      <c r="L1284" t="s">
        <v>29</v>
      </c>
    </row>
    <row r="1285" spans="1:12" x14ac:dyDescent="0.25">
      <c r="A1285">
        <v>1284</v>
      </c>
      <c r="B1285">
        <v>23</v>
      </c>
      <c r="C1285" t="s">
        <v>13</v>
      </c>
      <c r="D1285" t="s">
        <v>15</v>
      </c>
      <c r="E1285">
        <v>18.989999999999998</v>
      </c>
      <c r="F1285">
        <v>5.38</v>
      </c>
      <c r="G1285">
        <v>10.14</v>
      </c>
      <c r="H1285" t="s">
        <v>21</v>
      </c>
      <c r="I1285" t="s">
        <v>23</v>
      </c>
      <c r="J1285" t="s">
        <v>26</v>
      </c>
      <c r="K1285">
        <v>16</v>
      </c>
      <c r="L1285" t="s">
        <v>29</v>
      </c>
    </row>
    <row r="1286" spans="1:12" x14ac:dyDescent="0.25">
      <c r="A1286">
        <v>1285</v>
      </c>
      <c r="B1286">
        <v>72</v>
      </c>
      <c r="C1286" t="s">
        <v>12</v>
      </c>
      <c r="D1286" t="s">
        <v>15</v>
      </c>
      <c r="E1286">
        <v>72.62</v>
      </c>
      <c r="F1286">
        <v>19.71</v>
      </c>
      <c r="G1286">
        <v>12.12</v>
      </c>
      <c r="H1286" t="s">
        <v>18</v>
      </c>
      <c r="I1286" t="s">
        <v>23</v>
      </c>
      <c r="J1286" t="s">
        <v>25</v>
      </c>
      <c r="K1286">
        <v>25</v>
      </c>
      <c r="L1286" t="s">
        <v>29</v>
      </c>
    </row>
    <row r="1287" spans="1:12" x14ac:dyDescent="0.25">
      <c r="A1287">
        <v>1286</v>
      </c>
      <c r="B1287">
        <v>65</v>
      </c>
      <c r="C1287" t="s">
        <v>12</v>
      </c>
      <c r="D1287" t="s">
        <v>17</v>
      </c>
      <c r="E1287">
        <v>14.76</v>
      </c>
      <c r="F1287">
        <v>11.25</v>
      </c>
      <c r="G1287">
        <v>11.05</v>
      </c>
      <c r="H1287" t="s">
        <v>21</v>
      </c>
      <c r="I1287" t="s">
        <v>24</v>
      </c>
      <c r="J1287" t="s">
        <v>26</v>
      </c>
      <c r="K1287">
        <v>7</v>
      </c>
      <c r="L1287" t="s">
        <v>29</v>
      </c>
    </row>
    <row r="1288" spans="1:12" x14ac:dyDescent="0.25">
      <c r="A1288">
        <v>1287</v>
      </c>
      <c r="B1288">
        <v>21</v>
      </c>
      <c r="C1288" t="s">
        <v>13</v>
      </c>
      <c r="D1288" t="s">
        <v>15</v>
      </c>
      <c r="E1288">
        <v>33.840000000000003</v>
      </c>
      <c r="F1288">
        <v>3.66</v>
      </c>
      <c r="G1288">
        <v>6.72</v>
      </c>
      <c r="H1288" t="s">
        <v>19</v>
      </c>
      <c r="I1288" t="s">
        <v>23</v>
      </c>
      <c r="J1288" t="s">
        <v>25</v>
      </c>
      <c r="K1288">
        <v>32</v>
      </c>
      <c r="L1288" t="s">
        <v>29</v>
      </c>
    </row>
    <row r="1289" spans="1:12" x14ac:dyDescent="0.25">
      <c r="A1289">
        <v>1288</v>
      </c>
      <c r="B1289">
        <v>47</v>
      </c>
      <c r="C1289" t="s">
        <v>13</v>
      </c>
      <c r="D1289" t="s">
        <v>15</v>
      </c>
      <c r="E1289">
        <v>40.46</v>
      </c>
      <c r="F1289">
        <v>3.41</v>
      </c>
      <c r="G1289">
        <v>10.53</v>
      </c>
      <c r="H1289" t="s">
        <v>21</v>
      </c>
      <c r="I1289" t="s">
        <v>24</v>
      </c>
      <c r="J1289" t="s">
        <v>25</v>
      </c>
      <c r="K1289">
        <v>21</v>
      </c>
      <c r="L1289" t="s">
        <v>29</v>
      </c>
    </row>
    <row r="1290" spans="1:12" x14ac:dyDescent="0.25">
      <c r="A1290">
        <v>1289</v>
      </c>
      <c r="B1290">
        <v>28</v>
      </c>
      <c r="C1290" t="s">
        <v>13</v>
      </c>
      <c r="D1290" t="s">
        <v>15</v>
      </c>
      <c r="E1290">
        <v>1.56</v>
      </c>
      <c r="F1290">
        <v>20.09</v>
      </c>
      <c r="G1290">
        <v>11.04</v>
      </c>
      <c r="H1290" t="s">
        <v>20</v>
      </c>
      <c r="I1290" t="s">
        <v>23</v>
      </c>
      <c r="J1290" t="s">
        <v>28</v>
      </c>
      <c r="K1290">
        <v>33</v>
      </c>
      <c r="L1290" t="s">
        <v>29</v>
      </c>
    </row>
    <row r="1291" spans="1:12" x14ac:dyDescent="0.25">
      <c r="A1291">
        <v>1290</v>
      </c>
      <c r="B1291">
        <v>79</v>
      </c>
      <c r="C1291" t="s">
        <v>13</v>
      </c>
      <c r="D1291" t="s">
        <v>15</v>
      </c>
      <c r="E1291">
        <v>26.7</v>
      </c>
      <c r="F1291">
        <v>3.42</v>
      </c>
      <c r="G1291">
        <v>9.52</v>
      </c>
      <c r="H1291" t="s">
        <v>19</v>
      </c>
      <c r="I1291" t="s">
        <v>22</v>
      </c>
      <c r="J1291" t="s">
        <v>26</v>
      </c>
      <c r="K1291">
        <v>18</v>
      </c>
      <c r="L1291" t="s">
        <v>30</v>
      </c>
    </row>
    <row r="1292" spans="1:12" x14ac:dyDescent="0.25">
      <c r="A1292">
        <v>1291</v>
      </c>
      <c r="B1292">
        <v>79</v>
      </c>
      <c r="C1292" t="s">
        <v>13</v>
      </c>
      <c r="D1292" t="s">
        <v>14</v>
      </c>
      <c r="E1292">
        <v>14.39</v>
      </c>
      <c r="F1292">
        <v>5.98</v>
      </c>
      <c r="G1292">
        <v>10.49</v>
      </c>
      <c r="H1292" t="s">
        <v>21</v>
      </c>
      <c r="I1292" t="s">
        <v>24</v>
      </c>
      <c r="J1292" t="s">
        <v>27</v>
      </c>
      <c r="K1292">
        <v>29</v>
      </c>
      <c r="L1292" t="s">
        <v>29</v>
      </c>
    </row>
    <row r="1293" spans="1:12" x14ac:dyDescent="0.25">
      <c r="A1293">
        <v>1292</v>
      </c>
      <c r="B1293">
        <v>47</v>
      </c>
      <c r="C1293" t="s">
        <v>13</v>
      </c>
      <c r="D1293" t="s">
        <v>16</v>
      </c>
      <c r="E1293">
        <v>7.24</v>
      </c>
      <c r="F1293">
        <v>7.21</v>
      </c>
      <c r="G1293">
        <v>9.39</v>
      </c>
      <c r="H1293" t="s">
        <v>18</v>
      </c>
      <c r="I1293" t="s">
        <v>22</v>
      </c>
      <c r="J1293" t="s">
        <v>27</v>
      </c>
      <c r="K1293">
        <v>28</v>
      </c>
      <c r="L1293" t="s">
        <v>30</v>
      </c>
    </row>
    <row r="1294" spans="1:12" x14ac:dyDescent="0.25">
      <c r="A1294">
        <v>1293</v>
      </c>
      <c r="B1294">
        <v>48</v>
      </c>
      <c r="C1294" t="s">
        <v>12</v>
      </c>
      <c r="D1294" t="s">
        <v>14</v>
      </c>
      <c r="E1294">
        <v>35.590000000000003</v>
      </c>
      <c r="F1294">
        <v>14.44</v>
      </c>
      <c r="G1294">
        <v>27.22</v>
      </c>
      <c r="H1294" t="s">
        <v>19</v>
      </c>
      <c r="I1294" t="s">
        <v>23</v>
      </c>
      <c r="J1294" t="s">
        <v>25</v>
      </c>
      <c r="K1294">
        <v>31</v>
      </c>
      <c r="L1294" t="s">
        <v>29</v>
      </c>
    </row>
    <row r="1295" spans="1:12" x14ac:dyDescent="0.25">
      <c r="A1295">
        <v>1294</v>
      </c>
      <c r="B1295">
        <v>41</v>
      </c>
      <c r="C1295" t="s">
        <v>13</v>
      </c>
      <c r="D1295" t="s">
        <v>17</v>
      </c>
      <c r="E1295">
        <v>11.21</v>
      </c>
      <c r="F1295">
        <v>6.7</v>
      </c>
      <c r="G1295">
        <v>4.47</v>
      </c>
      <c r="H1295" t="s">
        <v>19</v>
      </c>
      <c r="I1295" t="s">
        <v>23</v>
      </c>
      <c r="J1295" t="s">
        <v>25</v>
      </c>
      <c r="K1295">
        <v>31</v>
      </c>
      <c r="L1295" t="s">
        <v>29</v>
      </c>
    </row>
    <row r="1296" spans="1:12" x14ac:dyDescent="0.25">
      <c r="A1296">
        <v>1295</v>
      </c>
      <c r="B1296">
        <v>72</v>
      </c>
      <c r="C1296" t="s">
        <v>12</v>
      </c>
      <c r="D1296" t="s">
        <v>15</v>
      </c>
      <c r="E1296">
        <v>4.1500000000000004</v>
      </c>
      <c r="F1296">
        <v>2.9</v>
      </c>
      <c r="G1296">
        <v>19.68</v>
      </c>
      <c r="H1296" t="s">
        <v>20</v>
      </c>
      <c r="I1296" t="s">
        <v>24</v>
      </c>
      <c r="J1296" t="s">
        <v>26</v>
      </c>
      <c r="K1296">
        <v>33</v>
      </c>
      <c r="L1296" t="s">
        <v>30</v>
      </c>
    </row>
    <row r="1297" spans="1:12" x14ac:dyDescent="0.25">
      <c r="A1297">
        <v>1296</v>
      </c>
      <c r="B1297">
        <v>26</v>
      </c>
      <c r="C1297" t="s">
        <v>12</v>
      </c>
      <c r="D1297" t="s">
        <v>16</v>
      </c>
      <c r="E1297">
        <v>19.29</v>
      </c>
      <c r="F1297">
        <v>15.32</v>
      </c>
      <c r="G1297">
        <v>1.22</v>
      </c>
      <c r="H1297" t="s">
        <v>20</v>
      </c>
      <c r="I1297" t="s">
        <v>23</v>
      </c>
      <c r="J1297" t="s">
        <v>28</v>
      </c>
      <c r="K1297">
        <v>4</v>
      </c>
      <c r="L1297" t="s">
        <v>29</v>
      </c>
    </row>
    <row r="1298" spans="1:12" x14ac:dyDescent="0.25">
      <c r="A1298">
        <v>1297</v>
      </c>
      <c r="B1298">
        <v>72</v>
      </c>
      <c r="C1298" t="s">
        <v>13</v>
      </c>
      <c r="D1298" t="s">
        <v>15</v>
      </c>
      <c r="E1298">
        <v>38.83</v>
      </c>
      <c r="F1298">
        <v>15.09</v>
      </c>
      <c r="G1298">
        <v>16.579999999999998</v>
      </c>
      <c r="H1298" t="s">
        <v>18</v>
      </c>
      <c r="I1298" t="s">
        <v>22</v>
      </c>
      <c r="J1298" t="s">
        <v>26</v>
      </c>
      <c r="K1298">
        <v>8</v>
      </c>
      <c r="L1298" t="s">
        <v>29</v>
      </c>
    </row>
    <row r="1299" spans="1:12" x14ac:dyDescent="0.25">
      <c r="A1299">
        <v>1298</v>
      </c>
      <c r="B1299">
        <v>20</v>
      </c>
      <c r="C1299" t="s">
        <v>13</v>
      </c>
      <c r="D1299" t="s">
        <v>15</v>
      </c>
      <c r="E1299">
        <v>7.32</v>
      </c>
      <c r="F1299">
        <v>27.55</v>
      </c>
      <c r="G1299">
        <v>5.62</v>
      </c>
      <c r="H1299" t="s">
        <v>21</v>
      </c>
      <c r="I1299" t="s">
        <v>22</v>
      </c>
      <c r="J1299" t="s">
        <v>25</v>
      </c>
      <c r="K1299">
        <v>11</v>
      </c>
      <c r="L1299" t="s">
        <v>29</v>
      </c>
    </row>
    <row r="1300" spans="1:12" x14ac:dyDescent="0.25">
      <c r="A1300">
        <v>1299</v>
      </c>
      <c r="B1300">
        <v>68</v>
      </c>
      <c r="C1300" t="s">
        <v>12</v>
      </c>
      <c r="D1300" t="s">
        <v>15</v>
      </c>
      <c r="E1300">
        <v>28.9</v>
      </c>
      <c r="F1300">
        <v>12.04</v>
      </c>
      <c r="G1300">
        <v>14.93</v>
      </c>
      <c r="H1300" t="s">
        <v>21</v>
      </c>
      <c r="I1300" t="s">
        <v>23</v>
      </c>
      <c r="J1300" t="s">
        <v>26</v>
      </c>
      <c r="K1300">
        <v>17</v>
      </c>
      <c r="L1300" t="s">
        <v>29</v>
      </c>
    </row>
    <row r="1301" spans="1:12" x14ac:dyDescent="0.25">
      <c r="A1301">
        <v>1300</v>
      </c>
      <c r="B1301">
        <v>48</v>
      </c>
      <c r="C1301" t="s">
        <v>13</v>
      </c>
      <c r="D1301" t="s">
        <v>15</v>
      </c>
      <c r="E1301">
        <v>3.19</v>
      </c>
      <c r="F1301">
        <v>3.28</v>
      </c>
      <c r="G1301">
        <v>4.5199999999999996</v>
      </c>
      <c r="H1301" t="s">
        <v>19</v>
      </c>
      <c r="I1301" t="s">
        <v>23</v>
      </c>
      <c r="J1301" t="s">
        <v>26</v>
      </c>
      <c r="K1301">
        <v>22</v>
      </c>
      <c r="L1301" t="s">
        <v>30</v>
      </c>
    </row>
    <row r="1302" spans="1:12" x14ac:dyDescent="0.25">
      <c r="A1302">
        <v>1301</v>
      </c>
      <c r="B1302">
        <v>57</v>
      </c>
      <c r="C1302" t="s">
        <v>13</v>
      </c>
      <c r="D1302" t="s">
        <v>15</v>
      </c>
      <c r="E1302">
        <v>40.51</v>
      </c>
      <c r="F1302">
        <v>26.69</v>
      </c>
      <c r="G1302">
        <v>13.85</v>
      </c>
      <c r="H1302" t="s">
        <v>19</v>
      </c>
      <c r="I1302" t="s">
        <v>22</v>
      </c>
      <c r="J1302" t="s">
        <v>25</v>
      </c>
      <c r="K1302">
        <v>4</v>
      </c>
      <c r="L1302" t="s">
        <v>30</v>
      </c>
    </row>
    <row r="1303" spans="1:12" x14ac:dyDescent="0.25">
      <c r="A1303">
        <v>1302</v>
      </c>
      <c r="B1303">
        <v>54</v>
      </c>
      <c r="C1303" t="s">
        <v>12</v>
      </c>
      <c r="D1303" t="s">
        <v>17</v>
      </c>
      <c r="E1303">
        <v>21.9</v>
      </c>
      <c r="F1303">
        <v>7.19</v>
      </c>
      <c r="G1303">
        <v>5.36</v>
      </c>
      <c r="H1303" t="s">
        <v>21</v>
      </c>
      <c r="I1303" t="s">
        <v>22</v>
      </c>
      <c r="J1303" t="s">
        <v>27</v>
      </c>
      <c r="K1303">
        <v>5</v>
      </c>
      <c r="L1303" t="s">
        <v>29</v>
      </c>
    </row>
    <row r="1304" spans="1:12" x14ac:dyDescent="0.25">
      <c r="A1304">
        <v>1303</v>
      </c>
      <c r="B1304">
        <v>53</v>
      </c>
      <c r="C1304" t="s">
        <v>12</v>
      </c>
      <c r="D1304" t="s">
        <v>16</v>
      </c>
      <c r="E1304">
        <v>6.72</v>
      </c>
      <c r="F1304">
        <v>17.809999999999999</v>
      </c>
      <c r="G1304">
        <v>19.14</v>
      </c>
      <c r="H1304" t="s">
        <v>21</v>
      </c>
      <c r="I1304" t="s">
        <v>23</v>
      </c>
      <c r="J1304" t="s">
        <v>26</v>
      </c>
      <c r="K1304">
        <v>32</v>
      </c>
      <c r="L1304" t="s">
        <v>29</v>
      </c>
    </row>
    <row r="1305" spans="1:12" x14ac:dyDescent="0.25">
      <c r="A1305">
        <v>1304</v>
      </c>
      <c r="B1305">
        <v>41</v>
      </c>
      <c r="C1305" t="s">
        <v>12</v>
      </c>
      <c r="D1305" t="s">
        <v>15</v>
      </c>
      <c r="E1305">
        <v>27.29</v>
      </c>
      <c r="F1305">
        <v>26.08</v>
      </c>
      <c r="G1305">
        <v>6.91</v>
      </c>
      <c r="H1305" t="s">
        <v>21</v>
      </c>
      <c r="I1305" t="s">
        <v>22</v>
      </c>
      <c r="J1305" t="s">
        <v>28</v>
      </c>
      <c r="K1305">
        <v>10</v>
      </c>
      <c r="L1305" t="s">
        <v>29</v>
      </c>
    </row>
    <row r="1306" spans="1:12" x14ac:dyDescent="0.25">
      <c r="A1306">
        <v>1305</v>
      </c>
      <c r="B1306">
        <v>48</v>
      </c>
      <c r="C1306" t="s">
        <v>13</v>
      </c>
      <c r="D1306" t="s">
        <v>15</v>
      </c>
      <c r="E1306">
        <v>11.67</v>
      </c>
      <c r="F1306">
        <v>10.64</v>
      </c>
      <c r="G1306">
        <v>9.3699999999999992</v>
      </c>
      <c r="H1306" t="s">
        <v>19</v>
      </c>
      <c r="I1306" t="s">
        <v>24</v>
      </c>
      <c r="J1306" t="s">
        <v>25</v>
      </c>
      <c r="K1306">
        <v>23</v>
      </c>
      <c r="L1306" t="s">
        <v>30</v>
      </c>
    </row>
    <row r="1307" spans="1:12" x14ac:dyDescent="0.25">
      <c r="A1307">
        <v>1306</v>
      </c>
      <c r="B1307">
        <v>23</v>
      </c>
      <c r="C1307" t="s">
        <v>12</v>
      </c>
      <c r="D1307" t="s">
        <v>14</v>
      </c>
      <c r="E1307">
        <v>8.59</v>
      </c>
      <c r="F1307">
        <v>9.7100000000000009</v>
      </c>
      <c r="G1307">
        <v>0.49</v>
      </c>
      <c r="H1307" t="s">
        <v>20</v>
      </c>
      <c r="I1307" t="s">
        <v>24</v>
      </c>
      <c r="J1307" t="s">
        <v>26</v>
      </c>
      <c r="K1307">
        <v>15</v>
      </c>
      <c r="L1307" t="s">
        <v>29</v>
      </c>
    </row>
    <row r="1308" spans="1:12" x14ac:dyDescent="0.25">
      <c r="A1308">
        <v>1307</v>
      </c>
      <c r="B1308">
        <v>19</v>
      </c>
      <c r="C1308" t="s">
        <v>13</v>
      </c>
      <c r="D1308" t="s">
        <v>15</v>
      </c>
      <c r="E1308">
        <v>11.49</v>
      </c>
      <c r="F1308">
        <v>12.07</v>
      </c>
      <c r="G1308">
        <v>4.8099999999999996</v>
      </c>
      <c r="H1308" t="s">
        <v>20</v>
      </c>
      <c r="I1308" t="s">
        <v>23</v>
      </c>
      <c r="J1308" t="s">
        <v>26</v>
      </c>
      <c r="K1308">
        <v>34</v>
      </c>
      <c r="L1308" t="s">
        <v>29</v>
      </c>
    </row>
    <row r="1309" spans="1:12" x14ac:dyDescent="0.25">
      <c r="A1309">
        <v>1308</v>
      </c>
      <c r="B1309">
        <v>37</v>
      </c>
      <c r="C1309" t="s">
        <v>12</v>
      </c>
      <c r="D1309" t="s">
        <v>15</v>
      </c>
      <c r="E1309">
        <v>25.59</v>
      </c>
      <c r="F1309">
        <v>13.72</v>
      </c>
      <c r="G1309">
        <v>21.25</v>
      </c>
      <c r="H1309" t="s">
        <v>18</v>
      </c>
      <c r="I1309" t="s">
        <v>23</v>
      </c>
      <c r="J1309" t="s">
        <v>25</v>
      </c>
      <c r="K1309">
        <v>16</v>
      </c>
      <c r="L1309" t="s">
        <v>29</v>
      </c>
    </row>
    <row r="1310" spans="1:12" x14ac:dyDescent="0.25">
      <c r="A1310">
        <v>1309</v>
      </c>
      <c r="B1310">
        <v>45</v>
      </c>
      <c r="C1310" t="s">
        <v>12</v>
      </c>
      <c r="D1310" t="s">
        <v>14</v>
      </c>
      <c r="E1310">
        <v>8.17</v>
      </c>
      <c r="F1310">
        <v>19.84</v>
      </c>
      <c r="G1310">
        <v>5.33</v>
      </c>
      <c r="H1310" t="s">
        <v>21</v>
      </c>
      <c r="I1310" t="s">
        <v>24</v>
      </c>
      <c r="J1310" t="s">
        <v>26</v>
      </c>
      <c r="K1310">
        <v>3</v>
      </c>
      <c r="L1310" t="s">
        <v>29</v>
      </c>
    </row>
    <row r="1311" spans="1:12" x14ac:dyDescent="0.25">
      <c r="A1311">
        <v>1310</v>
      </c>
      <c r="B1311">
        <v>28</v>
      </c>
      <c r="C1311" t="s">
        <v>12</v>
      </c>
      <c r="D1311" t="s">
        <v>15</v>
      </c>
      <c r="E1311">
        <v>2.12</v>
      </c>
      <c r="F1311">
        <v>8.68</v>
      </c>
      <c r="G1311">
        <v>3.63</v>
      </c>
      <c r="H1311" t="s">
        <v>21</v>
      </c>
      <c r="I1311" t="s">
        <v>23</v>
      </c>
      <c r="J1311" t="s">
        <v>26</v>
      </c>
      <c r="K1311">
        <v>29</v>
      </c>
      <c r="L1311" t="s">
        <v>30</v>
      </c>
    </row>
    <row r="1312" spans="1:12" x14ac:dyDescent="0.25">
      <c r="A1312">
        <v>1311</v>
      </c>
      <c r="B1312">
        <v>21</v>
      </c>
      <c r="C1312" t="s">
        <v>13</v>
      </c>
      <c r="D1312" t="s">
        <v>15</v>
      </c>
      <c r="E1312">
        <v>11.92</v>
      </c>
      <c r="F1312">
        <v>10.26</v>
      </c>
      <c r="G1312">
        <v>13.6</v>
      </c>
      <c r="H1312" t="s">
        <v>21</v>
      </c>
      <c r="I1312" t="s">
        <v>23</v>
      </c>
      <c r="J1312" t="s">
        <v>26</v>
      </c>
      <c r="K1312">
        <v>26</v>
      </c>
      <c r="L1312" t="s">
        <v>29</v>
      </c>
    </row>
    <row r="1313" spans="1:12" x14ac:dyDescent="0.25">
      <c r="A1313">
        <v>1312</v>
      </c>
      <c r="B1313">
        <v>32</v>
      </c>
      <c r="C1313" t="s">
        <v>13</v>
      </c>
      <c r="D1313" t="s">
        <v>17</v>
      </c>
      <c r="E1313">
        <v>36.49</v>
      </c>
      <c r="F1313">
        <v>6.53</v>
      </c>
      <c r="G1313">
        <v>10.26</v>
      </c>
      <c r="H1313" t="s">
        <v>18</v>
      </c>
      <c r="I1313" t="s">
        <v>24</v>
      </c>
      <c r="J1313" t="s">
        <v>26</v>
      </c>
      <c r="K1313">
        <v>24</v>
      </c>
      <c r="L1313" t="s">
        <v>29</v>
      </c>
    </row>
    <row r="1314" spans="1:12" x14ac:dyDescent="0.25">
      <c r="A1314">
        <v>1313</v>
      </c>
      <c r="B1314">
        <v>23</v>
      </c>
      <c r="C1314" t="s">
        <v>12</v>
      </c>
      <c r="D1314" t="s">
        <v>15</v>
      </c>
      <c r="E1314">
        <v>36.19</v>
      </c>
      <c r="F1314">
        <v>6.5</v>
      </c>
      <c r="G1314">
        <v>33.11</v>
      </c>
      <c r="H1314" t="s">
        <v>21</v>
      </c>
      <c r="I1314" t="s">
        <v>23</v>
      </c>
      <c r="J1314" t="s">
        <v>25</v>
      </c>
      <c r="K1314">
        <v>16</v>
      </c>
      <c r="L1314" t="s">
        <v>29</v>
      </c>
    </row>
    <row r="1315" spans="1:12" x14ac:dyDescent="0.25">
      <c r="A1315">
        <v>1314</v>
      </c>
      <c r="B1315">
        <v>71</v>
      </c>
      <c r="C1315" t="s">
        <v>12</v>
      </c>
      <c r="D1315" t="s">
        <v>17</v>
      </c>
      <c r="E1315">
        <v>11.48</v>
      </c>
      <c r="F1315">
        <v>4.7699999999999996</v>
      </c>
      <c r="G1315">
        <v>6.46</v>
      </c>
      <c r="H1315" t="s">
        <v>20</v>
      </c>
      <c r="I1315" t="s">
        <v>23</v>
      </c>
      <c r="J1315" t="s">
        <v>26</v>
      </c>
      <c r="K1315">
        <v>10</v>
      </c>
      <c r="L1315" t="s">
        <v>29</v>
      </c>
    </row>
    <row r="1316" spans="1:12" x14ac:dyDescent="0.25">
      <c r="A1316">
        <v>1315</v>
      </c>
      <c r="B1316">
        <v>66</v>
      </c>
      <c r="C1316" t="s">
        <v>12</v>
      </c>
      <c r="D1316" t="s">
        <v>14</v>
      </c>
      <c r="E1316">
        <v>11.19</v>
      </c>
      <c r="F1316">
        <v>6.9</v>
      </c>
      <c r="G1316">
        <v>12.06</v>
      </c>
      <c r="H1316" t="s">
        <v>21</v>
      </c>
      <c r="I1316" t="s">
        <v>23</v>
      </c>
      <c r="J1316" t="s">
        <v>26</v>
      </c>
      <c r="K1316">
        <v>29</v>
      </c>
      <c r="L1316" t="s">
        <v>29</v>
      </c>
    </row>
    <row r="1317" spans="1:12" x14ac:dyDescent="0.25">
      <c r="A1317">
        <v>1316</v>
      </c>
      <c r="B1317">
        <v>47</v>
      </c>
      <c r="C1317" t="s">
        <v>13</v>
      </c>
      <c r="D1317" t="s">
        <v>15</v>
      </c>
      <c r="E1317">
        <v>10.69</v>
      </c>
      <c r="F1317">
        <v>4.2699999999999996</v>
      </c>
      <c r="G1317">
        <v>13.66</v>
      </c>
      <c r="H1317" t="s">
        <v>18</v>
      </c>
      <c r="I1317" t="s">
        <v>24</v>
      </c>
      <c r="J1317" t="s">
        <v>26</v>
      </c>
      <c r="K1317">
        <v>5</v>
      </c>
      <c r="L1317" t="s">
        <v>30</v>
      </c>
    </row>
    <row r="1318" spans="1:12" x14ac:dyDescent="0.25">
      <c r="A1318">
        <v>1317</v>
      </c>
      <c r="B1318">
        <v>73</v>
      </c>
      <c r="C1318" t="s">
        <v>12</v>
      </c>
      <c r="D1318" t="s">
        <v>17</v>
      </c>
      <c r="E1318">
        <v>10.35</v>
      </c>
      <c r="F1318">
        <v>18.3</v>
      </c>
      <c r="G1318">
        <v>5.46</v>
      </c>
      <c r="H1318" t="s">
        <v>19</v>
      </c>
      <c r="I1318" t="s">
        <v>23</v>
      </c>
      <c r="J1318" t="s">
        <v>26</v>
      </c>
      <c r="K1318">
        <v>35</v>
      </c>
      <c r="L1318" t="s">
        <v>29</v>
      </c>
    </row>
    <row r="1319" spans="1:12" x14ac:dyDescent="0.25">
      <c r="A1319">
        <v>1318</v>
      </c>
      <c r="B1319">
        <v>55</v>
      </c>
      <c r="C1319" t="s">
        <v>13</v>
      </c>
      <c r="D1319" t="s">
        <v>17</v>
      </c>
      <c r="E1319">
        <v>10.87</v>
      </c>
      <c r="F1319">
        <v>15.69</v>
      </c>
      <c r="G1319">
        <v>32.479999999999997</v>
      </c>
      <c r="H1319" t="s">
        <v>19</v>
      </c>
      <c r="I1319" t="s">
        <v>24</v>
      </c>
      <c r="J1319" t="s">
        <v>26</v>
      </c>
      <c r="K1319">
        <v>23</v>
      </c>
      <c r="L1319" t="s">
        <v>30</v>
      </c>
    </row>
    <row r="1320" spans="1:12" x14ac:dyDescent="0.25">
      <c r="A1320">
        <v>1319</v>
      </c>
      <c r="B1320">
        <v>68</v>
      </c>
      <c r="C1320" t="s">
        <v>12</v>
      </c>
      <c r="D1320" t="s">
        <v>15</v>
      </c>
      <c r="E1320">
        <v>19.899999999999999</v>
      </c>
      <c r="F1320">
        <v>9.2200000000000006</v>
      </c>
      <c r="G1320">
        <v>9.02</v>
      </c>
      <c r="H1320" t="s">
        <v>20</v>
      </c>
      <c r="I1320" t="s">
        <v>22</v>
      </c>
      <c r="J1320" t="s">
        <v>25</v>
      </c>
      <c r="K1320">
        <v>34</v>
      </c>
      <c r="L1320" t="s">
        <v>29</v>
      </c>
    </row>
    <row r="1321" spans="1:12" x14ac:dyDescent="0.25">
      <c r="A1321">
        <v>1320</v>
      </c>
      <c r="B1321">
        <v>79</v>
      </c>
      <c r="C1321" t="s">
        <v>12</v>
      </c>
      <c r="D1321" t="s">
        <v>16</v>
      </c>
      <c r="E1321">
        <v>37.020000000000003</v>
      </c>
      <c r="F1321">
        <v>11.84</v>
      </c>
      <c r="G1321">
        <v>2.95</v>
      </c>
      <c r="H1321" t="s">
        <v>20</v>
      </c>
      <c r="I1321" t="s">
        <v>22</v>
      </c>
      <c r="J1321" t="s">
        <v>25</v>
      </c>
      <c r="K1321">
        <v>34</v>
      </c>
      <c r="L1321" t="s">
        <v>30</v>
      </c>
    </row>
    <row r="1322" spans="1:12" x14ac:dyDescent="0.25">
      <c r="A1322">
        <v>1321</v>
      </c>
      <c r="B1322">
        <v>74</v>
      </c>
      <c r="C1322" t="s">
        <v>12</v>
      </c>
      <c r="D1322" t="s">
        <v>15</v>
      </c>
      <c r="E1322">
        <v>8.16</v>
      </c>
      <c r="F1322">
        <v>4.7699999999999996</v>
      </c>
      <c r="G1322">
        <v>1.03</v>
      </c>
      <c r="H1322" t="s">
        <v>20</v>
      </c>
      <c r="I1322" t="s">
        <v>23</v>
      </c>
      <c r="J1322" t="s">
        <v>26</v>
      </c>
      <c r="K1322">
        <v>26</v>
      </c>
      <c r="L1322" t="s">
        <v>29</v>
      </c>
    </row>
    <row r="1323" spans="1:12" x14ac:dyDescent="0.25">
      <c r="A1323">
        <v>1322</v>
      </c>
      <c r="B1323">
        <v>19</v>
      </c>
      <c r="C1323" t="s">
        <v>12</v>
      </c>
      <c r="D1323" t="s">
        <v>17</v>
      </c>
      <c r="E1323">
        <v>9.3800000000000008</v>
      </c>
      <c r="F1323">
        <v>9.67</v>
      </c>
      <c r="G1323">
        <v>11.63</v>
      </c>
      <c r="H1323" t="s">
        <v>19</v>
      </c>
      <c r="I1323" t="s">
        <v>23</v>
      </c>
      <c r="J1323" t="s">
        <v>26</v>
      </c>
      <c r="K1323">
        <v>13</v>
      </c>
      <c r="L1323" t="s">
        <v>29</v>
      </c>
    </row>
    <row r="1324" spans="1:12" x14ac:dyDescent="0.25">
      <c r="A1324">
        <v>1323</v>
      </c>
      <c r="B1324">
        <v>32</v>
      </c>
      <c r="C1324" t="s">
        <v>12</v>
      </c>
      <c r="D1324" t="s">
        <v>15</v>
      </c>
      <c r="E1324">
        <v>21.4</v>
      </c>
      <c r="F1324">
        <v>21.67</v>
      </c>
      <c r="G1324">
        <v>4.43</v>
      </c>
      <c r="H1324" t="s">
        <v>21</v>
      </c>
      <c r="I1324" t="s">
        <v>22</v>
      </c>
      <c r="J1324" t="s">
        <v>26</v>
      </c>
      <c r="K1324">
        <v>23</v>
      </c>
      <c r="L1324" t="s">
        <v>30</v>
      </c>
    </row>
    <row r="1325" spans="1:12" x14ac:dyDescent="0.25">
      <c r="A1325">
        <v>1324</v>
      </c>
      <c r="B1325">
        <v>28</v>
      </c>
      <c r="C1325" t="s">
        <v>12</v>
      </c>
      <c r="D1325" t="s">
        <v>17</v>
      </c>
      <c r="E1325">
        <v>26.52</v>
      </c>
      <c r="F1325">
        <v>21.17</v>
      </c>
      <c r="G1325">
        <v>21.33</v>
      </c>
      <c r="H1325" t="s">
        <v>18</v>
      </c>
      <c r="I1325" t="s">
        <v>23</v>
      </c>
      <c r="J1325" t="s">
        <v>26</v>
      </c>
      <c r="K1325">
        <v>20</v>
      </c>
      <c r="L1325" t="s">
        <v>29</v>
      </c>
    </row>
    <row r="1326" spans="1:12" x14ac:dyDescent="0.25">
      <c r="A1326">
        <v>1325</v>
      </c>
      <c r="B1326">
        <v>25</v>
      </c>
      <c r="C1326" t="s">
        <v>13</v>
      </c>
      <c r="D1326" t="s">
        <v>15</v>
      </c>
      <c r="E1326">
        <v>5.0999999999999996</v>
      </c>
      <c r="F1326">
        <v>27.91</v>
      </c>
      <c r="G1326">
        <v>12.3</v>
      </c>
      <c r="H1326" t="s">
        <v>18</v>
      </c>
      <c r="I1326" t="s">
        <v>24</v>
      </c>
      <c r="J1326" t="s">
        <v>25</v>
      </c>
      <c r="K1326">
        <v>13</v>
      </c>
      <c r="L1326" t="s">
        <v>29</v>
      </c>
    </row>
    <row r="1327" spans="1:12" x14ac:dyDescent="0.25">
      <c r="A1327">
        <v>1326</v>
      </c>
      <c r="B1327">
        <v>43</v>
      </c>
      <c r="C1327" t="s">
        <v>12</v>
      </c>
      <c r="D1327" t="s">
        <v>14</v>
      </c>
      <c r="E1327">
        <v>45.42</v>
      </c>
      <c r="F1327">
        <v>18.27</v>
      </c>
      <c r="G1327">
        <v>2.33</v>
      </c>
      <c r="H1327" t="s">
        <v>21</v>
      </c>
      <c r="I1327" t="s">
        <v>22</v>
      </c>
      <c r="J1327" t="s">
        <v>26</v>
      </c>
      <c r="K1327">
        <v>29</v>
      </c>
      <c r="L1327" t="s">
        <v>30</v>
      </c>
    </row>
    <row r="1328" spans="1:12" x14ac:dyDescent="0.25">
      <c r="A1328">
        <v>1327</v>
      </c>
      <c r="B1328">
        <v>68</v>
      </c>
      <c r="C1328" t="s">
        <v>13</v>
      </c>
      <c r="D1328" t="s">
        <v>15</v>
      </c>
      <c r="E1328">
        <v>13.52</v>
      </c>
      <c r="F1328">
        <v>12.6</v>
      </c>
      <c r="G1328">
        <v>7.41</v>
      </c>
      <c r="H1328" t="s">
        <v>19</v>
      </c>
      <c r="I1328" t="s">
        <v>22</v>
      </c>
      <c r="J1328" t="s">
        <v>26</v>
      </c>
      <c r="K1328">
        <v>3</v>
      </c>
      <c r="L1328" t="s">
        <v>30</v>
      </c>
    </row>
    <row r="1329" spans="1:12" x14ac:dyDescent="0.25">
      <c r="A1329">
        <v>1328</v>
      </c>
      <c r="B1329">
        <v>62</v>
      </c>
      <c r="C1329" t="s">
        <v>12</v>
      </c>
      <c r="D1329" t="s">
        <v>17</v>
      </c>
      <c r="E1329">
        <v>5.53</v>
      </c>
      <c r="F1329">
        <v>17.62</v>
      </c>
      <c r="G1329">
        <v>10.36</v>
      </c>
      <c r="H1329" t="s">
        <v>19</v>
      </c>
      <c r="I1329" t="s">
        <v>23</v>
      </c>
      <c r="J1329" t="s">
        <v>25</v>
      </c>
      <c r="K1329">
        <v>31</v>
      </c>
      <c r="L1329" t="s">
        <v>29</v>
      </c>
    </row>
    <row r="1330" spans="1:12" x14ac:dyDescent="0.25">
      <c r="A1330">
        <v>1329</v>
      </c>
      <c r="B1330">
        <v>61</v>
      </c>
      <c r="C1330" t="s">
        <v>12</v>
      </c>
      <c r="D1330" t="s">
        <v>17</v>
      </c>
      <c r="E1330">
        <v>4.8899999999999997</v>
      </c>
      <c r="F1330">
        <v>3.53</v>
      </c>
      <c r="G1330">
        <v>9.1999999999999993</v>
      </c>
      <c r="H1330" t="s">
        <v>18</v>
      </c>
      <c r="I1330" t="s">
        <v>22</v>
      </c>
      <c r="J1330" t="s">
        <v>26</v>
      </c>
      <c r="K1330">
        <v>23</v>
      </c>
      <c r="L1330" t="s">
        <v>30</v>
      </c>
    </row>
    <row r="1331" spans="1:12" x14ac:dyDescent="0.25">
      <c r="A1331">
        <v>1330</v>
      </c>
      <c r="B1331">
        <v>22</v>
      </c>
      <c r="C1331" t="s">
        <v>13</v>
      </c>
      <c r="D1331" t="s">
        <v>16</v>
      </c>
      <c r="E1331">
        <v>4.63</v>
      </c>
      <c r="F1331">
        <v>16.72</v>
      </c>
      <c r="G1331">
        <v>16.600000000000001</v>
      </c>
      <c r="H1331" t="s">
        <v>20</v>
      </c>
      <c r="I1331" t="s">
        <v>23</v>
      </c>
      <c r="J1331" t="s">
        <v>25</v>
      </c>
      <c r="K1331">
        <v>31</v>
      </c>
      <c r="L1331" t="s">
        <v>29</v>
      </c>
    </row>
    <row r="1332" spans="1:12" x14ac:dyDescent="0.25">
      <c r="A1332">
        <v>1331</v>
      </c>
      <c r="B1332">
        <v>23</v>
      </c>
      <c r="C1332" t="s">
        <v>12</v>
      </c>
      <c r="D1332" t="s">
        <v>17</v>
      </c>
      <c r="E1332">
        <v>33.44</v>
      </c>
      <c r="F1332">
        <v>18.7</v>
      </c>
      <c r="G1332">
        <v>9.4600000000000009</v>
      </c>
      <c r="H1332" t="s">
        <v>20</v>
      </c>
      <c r="I1332" t="s">
        <v>23</v>
      </c>
      <c r="J1332" t="s">
        <v>26</v>
      </c>
      <c r="K1332">
        <v>11</v>
      </c>
      <c r="L1332" t="s">
        <v>29</v>
      </c>
    </row>
    <row r="1333" spans="1:12" x14ac:dyDescent="0.25">
      <c r="A1333">
        <v>1332</v>
      </c>
      <c r="B1333">
        <v>43</v>
      </c>
      <c r="C1333" t="s">
        <v>13</v>
      </c>
      <c r="D1333" t="s">
        <v>16</v>
      </c>
      <c r="E1333">
        <v>17.78</v>
      </c>
      <c r="F1333">
        <v>9.5500000000000007</v>
      </c>
      <c r="G1333">
        <v>3.72</v>
      </c>
      <c r="H1333" t="s">
        <v>18</v>
      </c>
      <c r="I1333" t="s">
        <v>24</v>
      </c>
      <c r="J1333" t="s">
        <v>26</v>
      </c>
      <c r="K1333">
        <v>9</v>
      </c>
      <c r="L1333" t="s">
        <v>29</v>
      </c>
    </row>
    <row r="1334" spans="1:12" x14ac:dyDescent="0.25">
      <c r="A1334">
        <v>1333</v>
      </c>
      <c r="B1334">
        <v>71</v>
      </c>
      <c r="C1334" t="s">
        <v>13</v>
      </c>
      <c r="D1334" t="s">
        <v>16</v>
      </c>
      <c r="E1334">
        <v>33.630000000000003</v>
      </c>
      <c r="F1334">
        <v>10.37</v>
      </c>
      <c r="G1334">
        <v>7.25</v>
      </c>
      <c r="H1334" t="s">
        <v>18</v>
      </c>
      <c r="I1334" t="s">
        <v>22</v>
      </c>
      <c r="J1334" t="s">
        <v>25</v>
      </c>
      <c r="K1334">
        <v>33</v>
      </c>
      <c r="L1334" t="s">
        <v>29</v>
      </c>
    </row>
    <row r="1335" spans="1:12" x14ac:dyDescent="0.25">
      <c r="A1335">
        <v>1334</v>
      </c>
      <c r="B1335">
        <v>21</v>
      </c>
      <c r="C1335" t="s">
        <v>12</v>
      </c>
      <c r="D1335" t="s">
        <v>14</v>
      </c>
      <c r="E1335">
        <v>15.6</v>
      </c>
      <c r="F1335">
        <v>8.08</v>
      </c>
      <c r="G1335">
        <v>9.66</v>
      </c>
      <c r="H1335" t="s">
        <v>21</v>
      </c>
      <c r="I1335" t="s">
        <v>22</v>
      </c>
      <c r="J1335" t="s">
        <v>25</v>
      </c>
      <c r="K1335">
        <v>29</v>
      </c>
      <c r="L1335" t="s">
        <v>29</v>
      </c>
    </row>
    <row r="1336" spans="1:12" x14ac:dyDescent="0.25">
      <c r="A1336">
        <v>1335</v>
      </c>
      <c r="B1336">
        <v>36</v>
      </c>
      <c r="C1336" t="s">
        <v>13</v>
      </c>
      <c r="D1336" t="s">
        <v>15</v>
      </c>
      <c r="E1336">
        <v>33.049999999999997</v>
      </c>
      <c r="F1336">
        <v>9.33</v>
      </c>
      <c r="G1336">
        <v>10.61</v>
      </c>
      <c r="H1336" t="s">
        <v>21</v>
      </c>
      <c r="I1336" t="s">
        <v>22</v>
      </c>
      <c r="J1336" t="s">
        <v>26</v>
      </c>
      <c r="K1336">
        <v>34</v>
      </c>
      <c r="L1336" t="s">
        <v>29</v>
      </c>
    </row>
    <row r="1337" spans="1:12" x14ac:dyDescent="0.25">
      <c r="A1337">
        <v>1336</v>
      </c>
      <c r="B1337">
        <v>37</v>
      </c>
      <c r="C1337" t="s">
        <v>13</v>
      </c>
      <c r="D1337" t="s">
        <v>17</v>
      </c>
      <c r="E1337">
        <v>15.34</v>
      </c>
      <c r="F1337">
        <v>11.33</v>
      </c>
      <c r="G1337">
        <v>4.13</v>
      </c>
      <c r="H1337" t="s">
        <v>21</v>
      </c>
      <c r="I1337" t="s">
        <v>22</v>
      </c>
      <c r="J1337" t="s">
        <v>25</v>
      </c>
      <c r="K1337">
        <v>7</v>
      </c>
      <c r="L1337" t="s">
        <v>29</v>
      </c>
    </row>
    <row r="1338" spans="1:12" x14ac:dyDescent="0.25">
      <c r="A1338">
        <v>1337</v>
      </c>
      <c r="B1338">
        <v>50</v>
      </c>
      <c r="C1338" t="s">
        <v>12</v>
      </c>
      <c r="D1338" t="s">
        <v>14</v>
      </c>
      <c r="E1338">
        <v>24</v>
      </c>
      <c r="F1338">
        <v>12.2</v>
      </c>
      <c r="G1338">
        <v>10.92</v>
      </c>
      <c r="H1338" t="s">
        <v>21</v>
      </c>
      <c r="I1338" t="s">
        <v>23</v>
      </c>
      <c r="J1338" t="s">
        <v>27</v>
      </c>
      <c r="K1338">
        <v>35</v>
      </c>
      <c r="L1338" t="s">
        <v>29</v>
      </c>
    </row>
    <row r="1339" spans="1:12" x14ac:dyDescent="0.25">
      <c r="A1339">
        <v>1338</v>
      </c>
      <c r="B1339">
        <v>37</v>
      </c>
      <c r="C1339" t="s">
        <v>13</v>
      </c>
      <c r="D1339" t="s">
        <v>14</v>
      </c>
      <c r="E1339">
        <v>16.329999999999998</v>
      </c>
      <c r="F1339">
        <v>4.84</v>
      </c>
      <c r="G1339">
        <v>5.22</v>
      </c>
      <c r="H1339" t="s">
        <v>21</v>
      </c>
      <c r="I1339" t="s">
        <v>23</v>
      </c>
      <c r="J1339" t="s">
        <v>28</v>
      </c>
      <c r="K1339">
        <v>17</v>
      </c>
      <c r="L1339" t="s">
        <v>30</v>
      </c>
    </row>
    <row r="1340" spans="1:12" x14ac:dyDescent="0.25">
      <c r="A1340">
        <v>1339</v>
      </c>
      <c r="B1340">
        <v>66</v>
      </c>
      <c r="C1340" t="s">
        <v>12</v>
      </c>
      <c r="D1340" t="s">
        <v>14</v>
      </c>
      <c r="E1340">
        <v>14.71</v>
      </c>
      <c r="F1340">
        <v>5.63</v>
      </c>
      <c r="G1340">
        <v>15.36</v>
      </c>
      <c r="H1340" t="s">
        <v>21</v>
      </c>
      <c r="I1340" t="s">
        <v>24</v>
      </c>
      <c r="J1340" t="s">
        <v>25</v>
      </c>
      <c r="K1340">
        <v>7</v>
      </c>
      <c r="L1340" t="s">
        <v>30</v>
      </c>
    </row>
    <row r="1341" spans="1:12" x14ac:dyDescent="0.25">
      <c r="A1341">
        <v>1340</v>
      </c>
      <c r="B1341">
        <v>29</v>
      </c>
      <c r="C1341" t="s">
        <v>12</v>
      </c>
      <c r="D1341" t="s">
        <v>17</v>
      </c>
      <c r="E1341">
        <v>8.8000000000000007</v>
      </c>
      <c r="F1341">
        <v>15.7</v>
      </c>
      <c r="G1341">
        <v>17.809999999999999</v>
      </c>
      <c r="H1341" t="s">
        <v>20</v>
      </c>
      <c r="I1341" t="s">
        <v>23</v>
      </c>
      <c r="J1341" t="s">
        <v>27</v>
      </c>
      <c r="K1341">
        <v>22</v>
      </c>
      <c r="L1341" t="s">
        <v>29</v>
      </c>
    </row>
    <row r="1342" spans="1:12" x14ac:dyDescent="0.25">
      <c r="A1342">
        <v>1341</v>
      </c>
      <c r="B1342">
        <v>64</v>
      </c>
      <c r="C1342" t="s">
        <v>12</v>
      </c>
      <c r="D1342" t="s">
        <v>15</v>
      </c>
      <c r="E1342">
        <v>26.11</v>
      </c>
      <c r="F1342">
        <v>13.03</v>
      </c>
      <c r="G1342">
        <v>12.77</v>
      </c>
      <c r="H1342" t="s">
        <v>18</v>
      </c>
      <c r="I1342" t="s">
        <v>22</v>
      </c>
      <c r="J1342" t="s">
        <v>26</v>
      </c>
      <c r="K1342">
        <v>19</v>
      </c>
      <c r="L1342" t="s">
        <v>29</v>
      </c>
    </row>
    <row r="1343" spans="1:12" x14ac:dyDescent="0.25">
      <c r="A1343">
        <v>1342</v>
      </c>
      <c r="B1343">
        <v>18</v>
      </c>
      <c r="C1343" t="s">
        <v>12</v>
      </c>
      <c r="D1343" t="s">
        <v>17</v>
      </c>
      <c r="E1343">
        <v>7.35</v>
      </c>
      <c r="F1343">
        <v>5.2</v>
      </c>
      <c r="G1343">
        <v>15.81</v>
      </c>
      <c r="H1343" t="s">
        <v>19</v>
      </c>
      <c r="I1343" t="s">
        <v>23</v>
      </c>
      <c r="J1343" t="s">
        <v>26</v>
      </c>
      <c r="K1343">
        <v>6</v>
      </c>
      <c r="L1343" t="s">
        <v>29</v>
      </c>
    </row>
    <row r="1344" spans="1:12" x14ac:dyDescent="0.25">
      <c r="A1344">
        <v>1343</v>
      </c>
      <c r="B1344">
        <v>43</v>
      </c>
      <c r="C1344" t="s">
        <v>13</v>
      </c>
      <c r="D1344" t="s">
        <v>16</v>
      </c>
      <c r="E1344">
        <v>26.08</v>
      </c>
      <c r="F1344">
        <v>9.01</v>
      </c>
      <c r="G1344">
        <v>13.39</v>
      </c>
      <c r="H1344" t="s">
        <v>21</v>
      </c>
      <c r="I1344" t="s">
        <v>23</v>
      </c>
      <c r="J1344" t="s">
        <v>26</v>
      </c>
      <c r="K1344">
        <v>23</v>
      </c>
      <c r="L1344" t="s">
        <v>29</v>
      </c>
    </row>
    <row r="1345" spans="1:12" x14ac:dyDescent="0.25">
      <c r="A1345">
        <v>1344</v>
      </c>
      <c r="B1345">
        <v>31</v>
      </c>
      <c r="C1345" t="s">
        <v>12</v>
      </c>
      <c r="D1345" t="s">
        <v>17</v>
      </c>
      <c r="E1345">
        <v>18.32</v>
      </c>
      <c r="F1345">
        <v>30.55</v>
      </c>
      <c r="G1345">
        <v>7.58</v>
      </c>
      <c r="H1345" t="s">
        <v>20</v>
      </c>
      <c r="I1345" t="s">
        <v>23</v>
      </c>
      <c r="J1345" t="s">
        <v>26</v>
      </c>
      <c r="K1345">
        <v>7</v>
      </c>
      <c r="L1345" t="s">
        <v>29</v>
      </c>
    </row>
    <row r="1346" spans="1:12" x14ac:dyDescent="0.25">
      <c r="A1346">
        <v>1345</v>
      </c>
      <c r="B1346">
        <v>55</v>
      </c>
      <c r="C1346" t="s">
        <v>12</v>
      </c>
      <c r="D1346" t="s">
        <v>17</v>
      </c>
      <c r="E1346">
        <v>26.52</v>
      </c>
      <c r="F1346">
        <v>1.03</v>
      </c>
      <c r="G1346">
        <v>4.1500000000000004</v>
      </c>
      <c r="H1346" t="s">
        <v>18</v>
      </c>
      <c r="I1346" t="s">
        <v>22</v>
      </c>
      <c r="J1346" t="s">
        <v>26</v>
      </c>
      <c r="K1346">
        <v>6</v>
      </c>
      <c r="L1346" t="s">
        <v>29</v>
      </c>
    </row>
    <row r="1347" spans="1:12" x14ac:dyDescent="0.25">
      <c r="A1347">
        <v>1346</v>
      </c>
      <c r="B1347">
        <v>54</v>
      </c>
      <c r="C1347" t="s">
        <v>13</v>
      </c>
      <c r="D1347" t="s">
        <v>14</v>
      </c>
      <c r="E1347">
        <v>19.37</v>
      </c>
      <c r="F1347">
        <v>0.47</v>
      </c>
      <c r="G1347">
        <v>11.23</v>
      </c>
      <c r="H1347" t="s">
        <v>18</v>
      </c>
      <c r="I1347" t="s">
        <v>22</v>
      </c>
      <c r="J1347" t="s">
        <v>25</v>
      </c>
      <c r="K1347">
        <v>24</v>
      </c>
      <c r="L1347" t="s">
        <v>29</v>
      </c>
    </row>
    <row r="1348" spans="1:12" x14ac:dyDescent="0.25">
      <c r="A1348">
        <v>1347</v>
      </c>
      <c r="B1348">
        <v>79</v>
      </c>
      <c r="C1348" t="s">
        <v>12</v>
      </c>
      <c r="D1348" t="s">
        <v>17</v>
      </c>
      <c r="E1348">
        <v>35.29</v>
      </c>
      <c r="F1348">
        <v>1.05</v>
      </c>
      <c r="G1348">
        <v>11.52</v>
      </c>
      <c r="H1348" t="s">
        <v>18</v>
      </c>
      <c r="I1348" t="s">
        <v>23</v>
      </c>
      <c r="J1348" t="s">
        <v>26</v>
      </c>
      <c r="K1348">
        <v>16</v>
      </c>
      <c r="L1348" t="s">
        <v>30</v>
      </c>
    </row>
    <row r="1349" spans="1:12" x14ac:dyDescent="0.25">
      <c r="A1349">
        <v>1348</v>
      </c>
      <c r="B1349">
        <v>28</v>
      </c>
      <c r="C1349" t="s">
        <v>12</v>
      </c>
      <c r="D1349" t="s">
        <v>14</v>
      </c>
      <c r="E1349">
        <v>22.53</v>
      </c>
      <c r="F1349">
        <v>38.479999999999997</v>
      </c>
      <c r="G1349">
        <v>12.27</v>
      </c>
      <c r="H1349" t="s">
        <v>21</v>
      </c>
      <c r="I1349" t="s">
        <v>23</v>
      </c>
      <c r="J1349" t="s">
        <v>25</v>
      </c>
      <c r="K1349">
        <v>6</v>
      </c>
      <c r="L1349" t="s">
        <v>29</v>
      </c>
    </row>
    <row r="1350" spans="1:12" x14ac:dyDescent="0.25">
      <c r="A1350">
        <v>1349</v>
      </c>
      <c r="B1350">
        <v>53</v>
      </c>
      <c r="C1350" t="s">
        <v>13</v>
      </c>
      <c r="D1350" t="s">
        <v>17</v>
      </c>
      <c r="E1350">
        <v>18.57</v>
      </c>
      <c r="F1350">
        <v>3.94</v>
      </c>
      <c r="G1350">
        <v>6.69</v>
      </c>
      <c r="H1350" t="s">
        <v>21</v>
      </c>
      <c r="I1350" t="s">
        <v>24</v>
      </c>
      <c r="J1350" t="s">
        <v>26</v>
      </c>
      <c r="K1350">
        <v>10</v>
      </c>
      <c r="L1350" t="s">
        <v>30</v>
      </c>
    </row>
    <row r="1351" spans="1:12" x14ac:dyDescent="0.25">
      <c r="A1351">
        <v>1350</v>
      </c>
      <c r="B1351">
        <v>30</v>
      </c>
      <c r="C1351" t="s">
        <v>13</v>
      </c>
      <c r="D1351" t="s">
        <v>15</v>
      </c>
      <c r="E1351">
        <v>1.87</v>
      </c>
      <c r="F1351">
        <v>7.73</v>
      </c>
      <c r="G1351">
        <v>22.88</v>
      </c>
      <c r="H1351" t="s">
        <v>19</v>
      </c>
      <c r="I1351" t="s">
        <v>23</v>
      </c>
      <c r="J1351" t="s">
        <v>26</v>
      </c>
      <c r="K1351">
        <v>5</v>
      </c>
      <c r="L1351" t="s">
        <v>29</v>
      </c>
    </row>
    <row r="1352" spans="1:12" x14ac:dyDescent="0.25">
      <c r="A1352">
        <v>1351</v>
      </c>
      <c r="B1352">
        <v>60</v>
      </c>
      <c r="C1352" t="s">
        <v>13</v>
      </c>
      <c r="D1352" t="s">
        <v>17</v>
      </c>
      <c r="E1352">
        <v>36.17</v>
      </c>
      <c r="F1352">
        <v>14.8</v>
      </c>
      <c r="G1352">
        <v>14.37</v>
      </c>
      <c r="H1352" t="s">
        <v>21</v>
      </c>
      <c r="I1352" t="s">
        <v>24</v>
      </c>
      <c r="J1352" t="s">
        <v>26</v>
      </c>
      <c r="K1352">
        <v>31</v>
      </c>
      <c r="L1352" t="s">
        <v>29</v>
      </c>
    </row>
    <row r="1353" spans="1:12" x14ac:dyDescent="0.25">
      <c r="A1353">
        <v>1352</v>
      </c>
      <c r="B1353">
        <v>20</v>
      </c>
      <c r="C1353" t="s">
        <v>13</v>
      </c>
      <c r="D1353" t="s">
        <v>16</v>
      </c>
      <c r="E1353">
        <v>4.59</v>
      </c>
      <c r="F1353">
        <v>14.12</v>
      </c>
      <c r="G1353">
        <v>12.4</v>
      </c>
      <c r="H1353" t="s">
        <v>18</v>
      </c>
      <c r="I1353" t="s">
        <v>24</v>
      </c>
      <c r="J1353" t="s">
        <v>26</v>
      </c>
      <c r="K1353">
        <v>28</v>
      </c>
      <c r="L1353" t="s">
        <v>29</v>
      </c>
    </row>
    <row r="1354" spans="1:12" x14ac:dyDescent="0.25">
      <c r="A1354">
        <v>1353</v>
      </c>
      <c r="B1354">
        <v>50</v>
      </c>
      <c r="C1354" t="s">
        <v>13</v>
      </c>
      <c r="D1354" t="s">
        <v>15</v>
      </c>
      <c r="E1354">
        <v>5.97</v>
      </c>
      <c r="F1354">
        <v>8.15</v>
      </c>
      <c r="G1354">
        <v>2.88</v>
      </c>
      <c r="H1354" t="s">
        <v>18</v>
      </c>
      <c r="I1354" t="s">
        <v>24</v>
      </c>
      <c r="J1354" t="s">
        <v>26</v>
      </c>
      <c r="K1354">
        <v>32</v>
      </c>
      <c r="L1354" t="s">
        <v>29</v>
      </c>
    </row>
    <row r="1355" spans="1:12" x14ac:dyDescent="0.25">
      <c r="A1355">
        <v>1354</v>
      </c>
      <c r="B1355">
        <v>23</v>
      </c>
      <c r="C1355" t="s">
        <v>13</v>
      </c>
      <c r="D1355" t="s">
        <v>15</v>
      </c>
      <c r="E1355">
        <v>28.1</v>
      </c>
      <c r="F1355">
        <v>24.91</v>
      </c>
      <c r="G1355">
        <v>3.11</v>
      </c>
      <c r="H1355" t="s">
        <v>20</v>
      </c>
      <c r="I1355" t="s">
        <v>24</v>
      </c>
      <c r="J1355" t="s">
        <v>25</v>
      </c>
      <c r="K1355">
        <v>14</v>
      </c>
      <c r="L1355" t="s">
        <v>29</v>
      </c>
    </row>
    <row r="1356" spans="1:12" x14ac:dyDescent="0.25">
      <c r="A1356">
        <v>1355</v>
      </c>
      <c r="B1356">
        <v>67</v>
      </c>
      <c r="C1356" t="s">
        <v>13</v>
      </c>
      <c r="D1356" t="s">
        <v>14</v>
      </c>
      <c r="E1356">
        <v>17.350000000000001</v>
      </c>
      <c r="F1356">
        <v>17.149999999999999</v>
      </c>
      <c r="G1356">
        <v>16.260000000000002</v>
      </c>
      <c r="H1356" t="s">
        <v>20</v>
      </c>
      <c r="I1356" t="s">
        <v>23</v>
      </c>
      <c r="J1356" t="s">
        <v>26</v>
      </c>
      <c r="K1356">
        <v>17</v>
      </c>
      <c r="L1356" t="s">
        <v>29</v>
      </c>
    </row>
    <row r="1357" spans="1:12" x14ac:dyDescent="0.25">
      <c r="A1357">
        <v>1356</v>
      </c>
      <c r="B1357">
        <v>73</v>
      </c>
      <c r="C1357" t="s">
        <v>12</v>
      </c>
      <c r="D1357" t="s">
        <v>15</v>
      </c>
      <c r="E1357">
        <v>4.7699999999999996</v>
      </c>
      <c r="F1357">
        <v>5.86</v>
      </c>
      <c r="G1357">
        <v>10.97</v>
      </c>
      <c r="H1357" t="s">
        <v>19</v>
      </c>
      <c r="I1357" t="s">
        <v>24</v>
      </c>
      <c r="J1357" t="s">
        <v>26</v>
      </c>
      <c r="K1357">
        <v>4</v>
      </c>
      <c r="L1357" t="s">
        <v>29</v>
      </c>
    </row>
    <row r="1358" spans="1:12" x14ac:dyDescent="0.25">
      <c r="A1358">
        <v>1357</v>
      </c>
      <c r="B1358">
        <v>27</v>
      </c>
      <c r="C1358" t="s">
        <v>13</v>
      </c>
      <c r="D1358" t="s">
        <v>17</v>
      </c>
      <c r="E1358">
        <v>11.17</v>
      </c>
      <c r="F1358">
        <v>4.12</v>
      </c>
      <c r="G1358">
        <v>13.17</v>
      </c>
      <c r="H1358" t="s">
        <v>20</v>
      </c>
      <c r="I1358" t="s">
        <v>24</v>
      </c>
      <c r="J1358" t="s">
        <v>25</v>
      </c>
      <c r="K1358">
        <v>3</v>
      </c>
      <c r="L1358" t="s">
        <v>29</v>
      </c>
    </row>
    <row r="1359" spans="1:12" x14ac:dyDescent="0.25">
      <c r="A1359">
        <v>1358</v>
      </c>
      <c r="B1359">
        <v>22</v>
      </c>
      <c r="C1359" t="s">
        <v>13</v>
      </c>
      <c r="D1359" t="s">
        <v>17</v>
      </c>
      <c r="E1359">
        <v>35.01</v>
      </c>
      <c r="F1359">
        <v>11.19</v>
      </c>
      <c r="G1359">
        <v>14.96</v>
      </c>
      <c r="H1359" t="s">
        <v>19</v>
      </c>
      <c r="I1359" t="s">
        <v>24</v>
      </c>
      <c r="J1359" t="s">
        <v>26</v>
      </c>
      <c r="K1359">
        <v>30</v>
      </c>
      <c r="L1359" t="s">
        <v>29</v>
      </c>
    </row>
    <row r="1360" spans="1:12" x14ac:dyDescent="0.25">
      <c r="A1360">
        <v>1359</v>
      </c>
      <c r="B1360">
        <v>40</v>
      </c>
      <c r="C1360" t="s">
        <v>13</v>
      </c>
      <c r="D1360" t="s">
        <v>17</v>
      </c>
      <c r="E1360">
        <v>18.989999999999998</v>
      </c>
      <c r="F1360">
        <v>17.72</v>
      </c>
      <c r="G1360">
        <v>10.28</v>
      </c>
      <c r="H1360" t="s">
        <v>20</v>
      </c>
      <c r="I1360" t="s">
        <v>23</v>
      </c>
      <c r="J1360" t="s">
        <v>26</v>
      </c>
      <c r="K1360">
        <v>6</v>
      </c>
      <c r="L1360" t="s">
        <v>29</v>
      </c>
    </row>
    <row r="1361" spans="1:12" x14ac:dyDescent="0.25">
      <c r="A1361">
        <v>1360</v>
      </c>
      <c r="B1361">
        <v>27</v>
      </c>
      <c r="C1361" t="s">
        <v>12</v>
      </c>
      <c r="D1361" t="s">
        <v>16</v>
      </c>
      <c r="E1361">
        <v>17.63</v>
      </c>
      <c r="F1361">
        <v>31.02</v>
      </c>
      <c r="G1361">
        <v>3.48</v>
      </c>
      <c r="H1361" t="s">
        <v>18</v>
      </c>
      <c r="I1361" t="s">
        <v>24</v>
      </c>
      <c r="J1361" t="s">
        <v>26</v>
      </c>
      <c r="K1361">
        <v>20</v>
      </c>
      <c r="L1361" t="s">
        <v>30</v>
      </c>
    </row>
    <row r="1362" spans="1:12" x14ac:dyDescent="0.25">
      <c r="A1362">
        <v>1361</v>
      </c>
      <c r="B1362">
        <v>61</v>
      </c>
      <c r="C1362" t="s">
        <v>12</v>
      </c>
      <c r="D1362" t="s">
        <v>15</v>
      </c>
      <c r="E1362">
        <v>10.19</v>
      </c>
      <c r="F1362">
        <v>12.58</v>
      </c>
      <c r="G1362">
        <v>3.26</v>
      </c>
      <c r="H1362" t="s">
        <v>21</v>
      </c>
      <c r="I1362" t="s">
        <v>22</v>
      </c>
      <c r="J1362" t="s">
        <v>26</v>
      </c>
      <c r="K1362">
        <v>14</v>
      </c>
      <c r="L1362" t="s">
        <v>29</v>
      </c>
    </row>
    <row r="1363" spans="1:12" x14ac:dyDescent="0.25">
      <c r="A1363">
        <v>1362</v>
      </c>
      <c r="B1363">
        <v>19</v>
      </c>
      <c r="C1363" t="s">
        <v>13</v>
      </c>
      <c r="D1363" t="s">
        <v>17</v>
      </c>
      <c r="E1363">
        <v>28.72</v>
      </c>
      <c r="F1363">
        <v>7.46</v>
      </c>
      <c r="G1363">
        <v>12.14</v>
      </c>
      <c r="H1363" t="s">
        <v>21</v>
      </c>
      <c r="I1363" t="s">
        <v>22</v>
      </c>
      <c r="J1363" t="s">
        <v>25</v>
      </c>
      <c r="K1363">
        <v>23</v>
      </c>
      <c r="L1363" t="s">
        <v>29</v>
      </c>
    </row>
    <row r="1364" spans="1:12" x14ac:dyDescent="0.25">
      <c r="A1364">
        <v>1363</v>
      </c>
      <c r="B1364">
        <v>30</v>
      </c>
      <c r="C1364" t="s">
        <v>13</v>
      </c>
      <c r="D1364" t="s">
        <v>17</v>
      </c>
      <c r="E1364">
        <v>15.92</v>
      </c>
      <c r="F1364">
        <v>23.45</v>
      </c>
      <c r="G1364">
        <v>28.3</v>
      </c>
      <c r="H1364" t="s">
        <v>19</v>
      </c>
      <c r="I1364" t="s">
        <v>23</v>
      </c>
      <c r="J1364" t="s">
        <v>27</v>
      </c>
      <c r="K1364">
        <v>12</v>
      </c>
      <c r="L1364" t="s">
        <v>29</v>
      </c>
    </row>
    <row r="1365" spans="1:12" x14ac:dyDescent="0.25">
      <c r="A1365">
        <v>1364</v>
      </c>
      <c r="B1365">
        <v>57</v>
      </c>
      <c r="C1365" t="s">
        <v>13</v>
      </c>
      <c r="D1365" t="s">
        <v>16</v>
      </c>
      <c r="E1365">
        <v>25.44</v>
      </c>
      <c r="F1365">
        <v>21.33</v>
      </c>
      <c r="G1365">
        <v>5.38</v>
      </c>
      <c r="H1365" t="s">
        <v>21</v>
      </c>
      <c r="I1365" t="s">
        <v>23</v>
      </c>
      <c r="J1365" t="s">
        <v>25</v>
      </c>
      <c r="K1365">
        <v>23</v>
      </c>
      <c r="L1365" t="s">
        <v>29</v>
      </c>
    </row>
    <row r="1366" spans="1:12" x14ac:dyDescent="0.25">
      <c r="A1366">
        <v>1365</v>
      </c>
      <c r="B1366">
        <v>19</v>
      </c>
      <c r="C1366" t="s">
        <v>12</v>
      </c>
      <c r="D1366" t="s">
        <v>15</v>
      </c>
      <c r="E1366">
        <v>9.42</v>
      </c>
      <c r="F1366">
        <v>17.03</v>
      </c>
      <c r="G1366">
        <v>5.0599999999999996</v>
      </c>
      <c r="H1366" t="s">
        <v>21</v>
      </c>
      <c r="I1366" t="s">
        <v>24</v>
      </c>
      <c r="J1366" t="s">
        <v>26</v>
      </c>
      <c r="K1366">
        <v>27</v>
      </c>
      <c r="L1366" t="s">
        <v>29</v>
      </c>
    </row>
    <row r="1367" spans="1:12" x14ac:dyDescent="0.25">
      <c r="A1367">
        <v>1366</v>
      </c>
      <c r="B1367">
        <v>37</v>
      </c>
      <c r="C1367" t="s">
        <v>12</v>
      </c>
      <c r="D1367" t="s">
        <v>17</v>
      </c>
      <c r="E1367">
        <v>55.82</v>
      </c>
      <c r="F1367">
        <v>3.39</v>
      </c>
      <c r="G1367">
        <v>1.94</v>
      </c>
      <c r="H1367" t="s">
        <v>20</v>
      </c>
      <c r="I1367" t="s">
        <v>22</v>
      </c>
      <c r="J1367" t="s">
        <v>25</v>
      </c>
      <c r="K1367">
        <v>19</v>
      </c>
      <c r="L1367" t="s">
        <v>30</v>
      </c>
    </row>
    <row r="1368" spans="1:12" x14ac:dyDescent="0.25">
      <c r="A1368">
        <v>1367</v>
      </c>
      <c r="B1368">
        <v>18</v>
      </c>
      <c r="C1368" t="s">
        <v>13</v>
      </c>
      <c r="D1368" t="s">
        <v>15</v>
      </c>
      <c r="E1368">
        <v>38.950000000000003</v>
      </c>
      <c r="F1368">
        <v>7.77</v>
      </c>
      <c r="G1368">
        <v>6.76</v>
      </c>
      <c r="H1368" t="s">
        <v>18</v>
      </c>
      <c r="I1368" t="s">
        <v>23</v>
      </c>
      <c r="J1368" t="s">
        <v>26</v>
      </c>
      <c r="K1368">
        <v>8</v>
      </c>
      <c r="L1368" t="s">
        <v>30</v>
      </c>
    </row>
    <row r="1369" spans="1:12" x14ac:dyDescent="0.25">
      <c r="A1369">
        <v>1368</v>
      </c>
      <c r="B1369">
        <v>54</v>
      </c>
      <c r="C1369" t="s">
        <v>12</v>
      </c>
      <c r="D1369" t="s">
        <v>15</v>
      </c>
      <c r="E1369">
        <v>18.86</v>
      </c>
      <c r="F1369">
        <v>8.6</v>
      </c>
      <c r="G1369">
        <v>17.87</v>
      </c>
      <c r="H1369" t="s">
        <v>21</v>
      </c>
      <c r="I1369" t="s">
        <v>24</v>
      </c>
      <c r="J1369" t="s">
        <v>26</v>
      </c>
      <c r="K1369">
        <v>16</v>
      </c>
      <c r="L1369" t="s">
        <v>29</v>
      </c>
    </row>
    <row r="1370" spans="1:12" x14ac:dyDescent="0.25">
      <c r="A1370">
        <v>1369</v>
      </c>
      <c r="B1370">
        <v>26</v>
      </c>
      <c r="C1370" t="s">
        <v>13</v>
      </c>
      <c r="D1370" t="s">
        <v>15</v>
      </c>
      <c r="E1370">
        <v>21.63</v>
      </c>
      <c r="F1370">
        <v>17.03</v>
      </c>
      <c r="G1370">
        <v>5.83</v>
      </c>
      <c r="H1370" t="s">
        <v>18</v>
      </c>
      <c r="I1370" t="s">
        <v>23</v>
      </c>
      <c r="J1370" t="s">
        <v>26</v>
      </c>
      <c r="K1370">
        <v>20</v>
      </c>
      <c r="L1370" t="s">
        <v>29</v>
      </c>
    </row>
    <row r="1371" spans="1:12" x14ac:dyDescent="0.25">
      <c r="A1371">
        <v>1370</v>
      </c>
      <c r="B1371">
        <v>34</v>
      </c>
      <c r="C1371" t="s">
        <v>12</v>
      </c>
      <c r="D1371" t="s">
        <v>15</v>
      </c>
      <c r="E1371">
        <v>11.25</v>
      </c>
      <c r="F1371">
        <v>1.53</v>
      </c>
      <c r="G1371">
        <v>6.99</v>
      </c>
      <c r="H1371" t="s">
        <v>20</v>
      </c>
      <c r="I1371" t="s">
        <v>23</v>
      </c>
      <c r="J1371" t="s">
        <v>25</v>
      </c>
      <c r="K1371">
        <v>32</v>
      </c>
      <c r="L1371" t="s">
        <v>29</v>
      </c>
    </row>
    <row r="1372" spans="1:12" x14ac:dyDescent="0.25">
      <c r="A1372">
        <v>1371</v>
      </c>
      <c r="B1372">
        <v>26</v>
      </c>
      <c r="C1372" t="s">
        <v>12</v>
      </c>
      <c r="D1372" t="s">
        <v>14</v>
      </c>
      <c r="E1372">
        <v>26.73</v>
      </c>
      <c r="F1372">
        <v>7.29</v>
      </c>
      <c r="G1372">
        <v>14.23</v>
      </c>
      <c r="H1372" t="s">
        <v>20</v>
      </c>
      <c r="I1372" t="s">
        <v>23</v>
      </c>
      <c r="J1372" t="s">
        <v>25</v>
      </c>
      <c r="K1372">
        <v>11</v>
      </c>
      <c r="L1372" t="s">
        <v>30</v>
      </c>
    </row>
    <row r="1373" spans="1:12" x14ac:dyDescent="0.25">
      <c r="A1373">
        <v>1372</v>
      </c>
      <c r="B1373">
        <v>28</v>
      </c>
      <c r="C1373" t="s">
        <v>13</v>
      </c>
      <c r="D1373" t="s">
        <v>15</v>
      </c>
      <c r="E1373">
        <v>2.33</v>
      </c>
      <c r="F1373">
        <v>10.14</v>
      </c>
      <c r="G1373">
        <v>1.85</v>
      </c>
      <c r="H1373" t="s">
        <v>21</v>
      </c>
      <c r="I1373" t="s">
        <v>23</v>
      </c>
      <c r="J1373" t="s">
        <v>25</v>
      </c>
      <c r="K1373">
        <v>16</v>
      </c>
      <c r="L1373" t="s">
        <v>29</v>
      </c>
    </row>
    <row r="1374" spans="1:12" x14ac:dyDescent="0.25">
      <c r="A1374">
        <v>1373</v>
      </c>
      <c r="B1374">
        <v>32</v>
      </c>
      <c r="C1374" t="s">
        <v>13</v>
      </c>
      <c r="D1374" t="s">
        <v>14</v>
      </c>
      <c r="E1374">
        <v>45</v>
      </c>
      <c r="F1374">
        <v>8.36</v>
      </c>
      <c r="G1374">
        <v>20.27</v>
      </c>
      <c r="H1374" t="s">
        <v>21</v>
      </c>
      <c r="I1374" t="s">
        <v>23</v>
      </c>
      <c r="J1374" t="s">
        <v>25</v>
      </c>
      <c r="K1374">
        <v>19</v>
      </c>
      <c r="L1374" t="s">
        <v>29</v>
      </c>
    </row>
    <row r="1375" spans="1:12" x14ac:dyDescent="0.25">
      <c r="A1375">
        <v>1374</v>
      </c>
      <c r="B1375">
        <v>41</v>
      </c>
      <c r="C1375" t="s">
        <v>13</v>
      </c>
      <c r="D1375" t="s">
        <v>14</v>
      </c>
      <c r="E1375">
        <v>25.75</v>
      </c>
      <c r="F1375">
        <v>28.88</v>
      </c>
      <c r="G1375">
        <v>4.38</v>
      </c>
      <c r="H1375" t="s">
        <v>20</v>
      </c>
      <c r="I1375" t="s">
        <v>23</v>
      </c>
      <c r="J1375" t="s">
        <v>26</v>
      </c>
      <c r="K1375">
        <v>24</v>
      </c>
      <c r="L1375" t="s">
        <v>29</v>
      </c>
    </row>
    <row r="1376" spans="1:12" x14ac:dyDescent="0.25">
      <c r="A1376">
        <v>1375</v>
      </c>
      <c r="B1376">
        <v>55</v>
      </c>
      <c r="C1376" t="s">
        <v>13</v>
      </c>
      <c r="D1376" t="s">
        <v>17</v>
      </c>
      <c r="E1376">
        <v>8.0299999999999994</v>
      </c>
      <c r="F1376">
        <v>19.97</v>
      </c>
      <c r="G1376">
        <v>12.61</v>
      </c>
      <c r="H1376" t="s">
        <v>20</v>
      </c>
      <c r="I1376" t="s">
        <v>23</v>
      </c>
      <c r="J1376" t="s">
        <v>26</v>
      </c>
      <c r="K1376">
        <v>34</v>
      </c>
      <c r="L1376" t="s">
        <v>30</v>
      </c>
    </row>
    <row r="1377" spans="1:12" x14ac:dyDescent="0.25">
      <c r="A1377">
        <v>1376</v>
      </c>
      <c r="B1377">
        <v>72</v>
      </c>
      <c r="C1377" t="s">
        <v>12</v>
      </c>
      <c r="D1377" t="s">
        <v>15</v>
      </c>
      <c r="E1377">
        <v>44.34</v>
      </c>
      <c r="F1377">
        <v>19.940000000000001</v>
      </c>
      <c r="G1377">
        <v>3.9</v>
      </c>
      <c r="H1377" t="s">
        <v>19</v>
      </c>
      <c r="I1377" t="s">
        <v>22</v>
      </c>
      <c r="J1377" t="s">
        <v>25</v>
      </c>
      <c r="K1377">
        <v>14</v>
      </c>
      <c r="L1377" t="s">
        <v>29</v>
      </c>
    </row>
    <row r="1378" spans="1:12" x14ac:dyDescent="0.25">
      <c r="A1378">
        <v>1377</v>
      </c>
      <c r="B1378">
        <v>52</v>
      </c>
      <c r="C1378" t="s">
        <v>12</v>
      </c>
      <c r="D1378" t="s">
        <v>17</v>
      </c>
      <c r="E1378">
        <v>52.95</v>
      </c>
      <c r="F1378">
        <v>6.86</v>
      </c>
      <c r="G1378">
        <v>3.37</v>
      </c>
      <c r="H1378" t="s">
        <v>19</v>
      </c>
      <c r="I1378" t="s">
        <v>24</v>
      </c>
      <c r="J1378" t="s">
        <v>25</v>
      </c>
      <c r="K1378">
        <v>18</v>
      </c>
      <c r="L1378" t="s">
        <v>30</v>
      </c>
    </row>
    <row r="1379" spans="1:12" x14ac:dyDescent="0.25">
      <c r="A1379">
        <v>1378</v>
      </c>
      <c r="B1379">
        <v>47</v>
      </c>
      <c r="C1379" t="s">
        <v>12</v>
      </c>
      <c r="D1379" t="s">
        <v>16</v>
      </c>
      <c r="E1379">
        <v>22.38</v>
      </c>
      <c r="F1379">
        <v>11.41</v>
      </c>
      <c r="G1379">
        <v>11.87</v>
      </c>
      <c r="H1379" t="s">
        <v>18</v>
      </c>
      <c r="I1379" t="s">
        <v>22</v>
      </c>
      <c r="J1379" t="s">
        <v>25</v>
      </c>
      <c r="K1379">
        <v>24</v>
      </c>
      <c r="L1379" t="s">
        <v>30</v>
      </c>
    </row>
    <row r="1380" spans="1:12" x14ac:dyDescent="0.25">
      <c r="A1380">
        <v>1379</v>
      </c>
      <c r="B1380">
        <v>48</v>
      </c>
      <c r="C1380" t="s">
        <v>13</v>
      </c>
      <c r="D1380" t="s">
        <v>17</v>
      </c>
      <c r="E1380">
        <v>9.5399999999999991</v>
      </c>
      <c r="F1380">
        <v>4.75</v>
      </c>
      <c r="G1380">
        <v>6.23</v>
      </c>
      <c r="H1380" t="s">
        <v>20</v>
      </c>
      <c r="I1380" t="s">
        <v>23</v>
      </c>
      <c r="J1380" t="s">
        <v>26</v>
      </c>
      <c r="K1380">
        <v>4</v>
      </c>
      <c r="L1380" t="s">
        <v>29</v>
      </c>
    </row>
    <row r="1381" spans="1:12" x14ac:dyDescent="0.25">
      <c r="A1381">
        <v>1380</v>
      </c>
      <c r="B1381">
        <v>66</v>
      </c>
      <c r="C1381" t="s">
        <v>12</v>
      </c>
      <c r="D1381" t="s">
        <v>15</v>
      </c>
      <c r="E1381">
        <v>17.82</v>
      </c>
      <c r="F1381">
        <v>4.88</v>
      </c>
      <c r="G1381">
        <v>22.57</v>
      </c>
      <c r="H1381" t="s">
        <v>18</v>
      </c>
      <c r="I1381" t="s">
        <v>23</v>
      </c>
      <c r="J1381" t="s">
        <v>25</v>
      </c>
      <c r="K1381">
        <v>10</v>
      </c>
      <c r="L1381" t="s">
        <v>30</v>
      </c>
    </row>
    <row r="1382" spans="1:12" x14ac:dyDescent="0.25">
      <c r="A1382">
        <v>1381</v>
      </c>
      <c r="B1382">
        <v>22</v>
      </c>
      <c r="C1382" t="s">
        <v>13</v>
      </c>
      <c r="D1382" t="s">
        <v>17</v>
      </c>
      <c r="E1382">
        <v>24.47</v>
      </c>
      <c r="F1382">
        <v>20.100000000000001</v>
      </c>
      <c r="G1382">
        <v>6.12</v>
      </c>
      <c r="H1382" t="s">
        <v>20</v>
      </c>
      <c r="I1382" t="s">
        <v>24</v>
      </c>
      <c r="J1382" t="s">
        <v>26</v>
      </c>
      <c r="K1382">
        <v>3</v>
      </c>
      <c r="L1382" t="s">
        <v>29</v>
      </c>
    </row>
    <row r="1383" spans="1:12" x14ac:dyDescent="0.25">
      <c r="A1383">
        <v>1382</v>
      </c>
      <c r="B1383">
        <v>79</v>
      </c>
      <c r="C1383" t="s">
        <v>12</v>
      </c>
      <c r="D1383" t="s">
        <v>14</v>
      </c>
      <c r="E1383">
        <v>21.2</v>
      </c>
      <c r="F1383">
        <v>17.84</v>
      </c>
      <c r="G1383">
        <v>16.170000000000002</v>
      </c>
      <c r="H1383" t="s">
        <v>18</v>
      </c>
      <c r="I1383" t="s">
        <v>24</v>
      </c>
      <c r="J1383" t="s">
        <v>25</v>
      </c>
      <c r="K1383">
        <v>7</v>
      </c>
      <c r="L1383" t="s">
        <v>29</v>
      </c>
    </row>
    <row r="1384" spans="1:12" x14ac:dyDescent="0.25">
      <c r="A1384">
        <v>1383</v>
      </c>
      <c r="B1384">
        <v>77</v>
      </c>
      <c r="C1384" t="s">
        <v>13</v>
      </c>
      <c r="D1384" t="s">
        <v>16</v>
      </c>
      <c r="E1384">
        <v>8.0299999999999994</v>
      </c>
      <c r="F1384">
        <v>4.45</v>
      </c>
      <c r="G1384">
        <v>15.92</v>
      </c>
      <c r="H1384" t="s">
        <v>19</v>
      </c>
      <c r="I1384" t="s">
        <v>23</v>
      </c>
      <c r="J1384" t="s">
        <v>26</v>
      </c>
      <c r="K1384">
        <v>19</v>
      </c>
      <c r="L1384" t="s">
        <v>29</v>
      </c>
    </row>
    <row r="1385" spans="1:12" x14ac:dyDescent="0.25">
      <c r="A1385">
        <v>1384</v>
      </c>
      <c r="B1385">
        <v>61</v>
      </c>
      <c r="C1385" t="s">
        <v>13</v>
      </c>
      <c r="D1385" t="s">
        <v>15</v>
      </c>
      <c r="E1385">
        <v>24.19</v>
      </c>
      <c r="F1385">
        <v>10.86</v>
      </c>
      <c r="G1385">
        <v>13.35</v>
      </c>
      <c r="H1385" t="s">
        <v>20</v>
      </c>
      <c r="I1385" t="s">
        <v>23</v>
      </c>
      <c r="J1385" t="s">
        <v>27</v>
      </c>
      <c r="K1385">
        <v>32</v>
      </c>
      <c r="L1385" t="s">
        <v>29</v>
      </c>
    </row>
    <row r="1386" spans="1:12" x14ac:dyDescent="0.25">
      <c r="A1386">
        <v>1385</v>
      </c>
      <c r="B1386">
        <v>67</v>
      </c>
      <c r="C1386" t="s">
        <v>12</v>
      </c>
      <c r="D1386" t="s">
        <v>16</v>
      </c>
      <c r="E1386">
        <v>34.76</v>
      </c>
      <c r="F1386">
        <v>2.39</v>
      </c>
      <c r="G1386">
        <v>7.53</v>
      </c>
      <c r="H1386" t="s">
        <v>20</v>
      </c>
      <c r="I1386" t="s">
        <v>22</v>
      </c>
      <c r="J1386" t="s">
        <v>26</v>
      </c>
      <c r="K1386">
        <v>17</v>
      </c>
      <c r="L1386" t="s">
        <v>29</v>
      </c>
    </row>
    <row r="1387" spans="1:12" x14ac:dyDescent="0.25">
      <c r="A1387">
        <v>1386</v>
      </c>
      <c r="B1387">
        <v>31</v>
      </c>
      <c r="C1387" t="s">
        <v>13</v>
      </c>
      <c r="D1387" t="s">
        <v>15</v>
      </c>
      <c r="E1387">
        <v>6.59</v>
      </c>
      <c r="F1387">
        <v>14.63</v>
      </c>
      <c r="G1387">
        <v>10.49</v>
      </c>
      <c r="H1387" t="s">
        <v>18</v>
      </c>
      <c r="I1387" t="s">
        <v>22</v>
      </c>
      <c r="J1387" t="s">
        <v>25</v>
      </c>
      <c r="K1387">
        <v>22</v>
      </c>
      <c r="L1387" t="s">
        <v>29</v>
      </c>
    </row>
    <row r="1388" spans="1:12" x14ac:dyDescent="0.25">
      <c r="A1388">
        <v>1387</v>
      </c>
      <c r="B1388">
        <v>70</v>
      </c>
      <c r="C1388" t="s">
        <v>13</v>
      </c>
      <c r="D1388" t="s">
        <v>15</v>
      </c>
      <c r="E1388">
        <v>7.25</v>
      </c>
      <c r="F1388">
        <v>4.3499999999999996</v>
      </c>
      <c r="G1388">
        <v>5.79</v>
      </c>
      <c r="H1388" t="s">
        <v>18</v>
      </c>
      <c r="I1388" t="s">
        <v>22</v>
      </c>
      <c r="J1388" t="s">
        <v>25</v>
      </c>
      <c r="K1388">
        <v>4</v>
      </c>
      <c r="L1388" t="s">
        <v>29</v>
      </c>
    </row>
    <row r="1389" spans="1:12" x14ac:dyDescent="0.25">
      <c r="A1389">
        <v>1388</v>
      </c>
      <c r="B1389">
        <v>73</v>
      </c>
      <c r="C1389" t="s">
        <v>12</v>
      </c>
      <c r="D1389" t="s">
        <v>14</v>
      </c>
      <c r="E1389">
        <v>10.91</v>
      </c>
      <c r="F1389">
        <v>10.88</v>
      </c>
      <c r="G1389">
        <v>7.23</v>
      </c>
      <c r="H1389" t="s">
        <v>21</v>
      </c>
      <c r="I1389" t="s">
        <v>22</v>
      </c>
      <c r="J1389" t="s">
        <v>26</v>
      </c>
      <c r="K1389">
        <v>6</v>
      </c>
      <c r="L1389" t="s">
        <v>30</v>
      </c>
    </row>
    <row r="1390" spans="1:12" x14ac:dyDescent="0.25">
      <c r="A1390">
        <v>1389</v>
      </c>
      <c r="B1390">
        <v>28</v>
      </c>
      <c r="C1390" t="s">
        <v>13</v>
      </c>
      <c r="D1390" t="s">
        <v>15</v>
      </c>
      <c r="E1390">
        <v>14.93</v>
      </c>
      <c r="F1390">
        <v>30.38</v>
      </c>
      <c r="G1390">
        <v>13.44</v>
      </c>
      <c r="H1390" t="s">
        <v>21</v>
      </c>
      <c r="I1390" t="s">
        <v>22</v>
      </c>
      <c r="J1390" t="s">
        <v>26</v>
      </c>
      <c r="K1390">
        <v>26</v>
      </c>
      <c r="L1390" t="s">
        <v>29</v>
      </c>
    </row>
    <row r="1391" spans="1:12" x14ac:dyDescent="0.25">
      <c r="A1391">
        <v>1390</v>
      </c>
      <c r="B1391">
        <v>26</v>
      </c>
      <c r="C1391" t="s">
        <v>13</v>
      </c>
      <c r="D1391" t="s">
        <v>15</v>
      </c>
      <c r="E1391">
        <v>29.18</v>
      </c>
      <c r="F1391">
        <v>3.86</v>
      </c>
      <c r="G1391">
        <v>7.46</v>
      </c>
      <c r="H1391" t="s">
        <v>19</v>
      </c>
      <c r="I1391" t="s">
        <v>24</v>
      </c>
      <c r="J1391" t="s">
        <v>25</v>
      </c>
      <c r="K1391">
        <v>4</v>
      </c>
      <c r="L1391" t="s">
        <v>29</v>
      </c>
    </row>
    <row r="1392" spans="1:12" x14ac:dyDescent="0.25">
      <c r="A1392">
        <v>1391</v>
      </c>
      <c r="B1392">
        <v>51</v>
      </c>
      <c r="C1392" t="s">
        <v>13</v>
      </c>
      <c r="D1392" t="s">
        <v>15</v>
      </c>
      <c r="E1392">
        <v>34.520000000000003</v>
      </c>
      <c r="F1392">
        <v>12.94</v>
      </c>
      <c r="G1392">
        <v>12.84</v>
      </c>
      <c r="H1392" t="s">
        <v>20</v>
      </c>
      <c r="I1392" t="s">
        <v>23</v>
      </c>
      <c r="J1392" t="s">
        <v>26</v>
      </c>
      <c r="K1392">
        <v>4</v>
      </c>
      <c r="L1392" t="s">
        <v>30</v>
      </c>
    </row>
    <row r="1393" spans="1:12" x14ac:dyDescent="0.25">
      <c r="A1393">
        <v>1392</v>
      </c>
      <c r="B1393">
        <v>29</v>
      </c>
      <c r="C1393" t="s">
        <v>12</v>
      </c>
      <c r="D1393" t="s">
        <v>14</v>
      </c>
      <c r="E1393">
        <v>9.23</v>
      </c>
      <c r="F1393">
        <v>9.7200000000000006</v>
      </c>
      <c r="G1393">
        <v>11.16</v>
      </c>
      <c r="H1393" t="s">
        <v>20</v>
      </c>
      <c r="I1393" t="s">
        <v>24</v>
      </c>
      <c r="J1393" t="s">
        <v>26</v>
      </c>
      <c r="K1393">
        <v>3</v>
      </c>
      <c r="L1393" t="s">
        <v>29</v>
      </c>
    </row>
    <row r="1394" spans="1:12" x14ac:dyDescent="0.25">
      <c r="A1394">
        <v>1393</v>
      </c>
      <c r="B1394">
        <v>52</v>
      </c>
      <c r="C1394" t="s">
        <v>12</v>
      </c>
      <c r="D1394" t="s">
        <v>16</v>
      </c>
      <c r="E1394">
        <v>19.79</v>
      </c>
      <c r="F1394">
        <v>3.55</v>
      </c>
      <c r="G1394">
        <v>2.17</v>
      </c>
      <c r="H1394" t="s">
        <v>18</v>
      </c>
      <c r="I1394" t="s">
        <v>23</v>
      </c>
      <c r="J1394" t="s">
        <v>28</v>
      </c>
      <c r="K1394">
        <v>15</v>
      </c>
      <c r="L1394" t="s">
        <v>29</v>
      </c>
    </row>
    <row r="1395" spans="1:12" x14ac:dyDescent="0.25">
      <c r="A1395">
        <v>1394</v>
      </c>
      <c r="B1395">
        <v>52</v>
      </c>
      <c r="C1395" t="s">
        <v>13</v>
      </c>
      <c r="D1395" t="s">
        <v>16</v>
      </c>
      <c r="E1395">
        <v>33.67</v>
      </c>
      <c r="F1395">
        <v>5.49</v>
      </c>
      <c r="G1395">
        <v>17.59</v>
      </c>
      <c r="H1395" t="s">
        <v>19</v>
      </c>
      <c r="I1395" t="s">
        <v>22</v>
      </c>
      <c r="J1395" t="s">
        <v>25</v>
      </c>
      <c r="K1395">
        <v>8</v>
      </c>
      <c r="L1395" t="s">
        <v>30</v>
      </c>
    </row>
    <row r="1396" spans="1:12" x14ac:dyDescent="0.25">
      <c r="A1396">
        <v>1395</v>
      </c>
      <c r="B1396">
        <v>18</v>
      </c>
      <c r="C1396" t="s">
        <v>12</v>
      </c>
      <c r="D1396" t="s">
        <v>16</v>
      </c>
      <c r="E1396">
        <v>57.73</v>
      </c>
      <c r="F1396">
        <v>13.74</v>
      </c>
      <c r="G1396">
        <v>2.5499999999999998</v>
      </c>
      <c r="H1396" t="s">
        <v>20</v>
      </c>
      <c r="I1396" t="s">
        <v>22</v>
      </c>
      <c r="J1396" t="s">
        <v>26</v>
      </c>
      <c r="K1396">
        <v>24</v>
      </c>
      <c r="L1396" t="s">
        <v>30</v>
      </c>
    </row>
    <row r="1397" spans="1:12" x14ac:dyDescent="0.25">
      <c r="A1397">
        <v>1396</v>
      </c>
      <c r="B1397">
        <v>57</v>
      </c>
      <c r="C1397" t="s">
        <v>13</v>
      </c>
      <c r="D1397" t="s">
        <v>15</v>
      </c>
      <c r="E1397">
        <v>19.72</v>
      </c>
      <c r="F1397">
        <v>8.5</v>
      </c>
      <c r="G1397">
        <v>8.01</v>
      </c>
      <c r="H1397" t="s">
        <v>19</v>
      </c>
      <c r="I1397" t="s">
        <v>22</v>
      </c>
      <c r="J1397" t="s">
        <v>25</v>
      </c>
      <c r="K1397">
        <v>19</v>
      </c>
      <c r="L1397" t="s">
        <v>29</v>
      </c>
    </row>
    <row r="1398" spans="1:12" x14ac:dyDescent="0.25">
      <c r="A1398">
        <v>1397</v>
      </c>
      <c r="B1398">
        <v>39</v>
      </c>
      <c r="C1398" t="s">
        <v>13</v>
      </c>
      <c r="D1398" t="s">
        <v>17</v>
      </c>
      <c r="E1398">
        <v>20.440000000000001</v>
      </c>
      <c r="F1398">
        <v>25.42</v>
      </c>
      <c r="G1398">
        <v>13.9</v>
      </c>
      <c r="H1398" t="s">
        <v>21</v>
      </c>
      <c r="I1398" t="s">
        <v>22</v>
      </c>
      <c r="J1398" t="s">
        <v>26</v>
      </c>
      <c r="K1398">
        <v>24</v>
      </c>
      <c r="L1398" t="s">
        <v>29</v>
      </c>
    </row>
    <row r="1399" spans="1:12" x14ac:dyDescent="0.25">
      <c r="A1399">
        <v>1398</v>
      </c>
      <c r="B1399">
        <v>77</v>
      </c>
      <c r="C1399" t="s">
        <v>13</v>
      </c>
      <c r="D1399" t="s">
        <v>17</v>
      </c>
      <c r="E1399">
        <v>22.47</v>
      </c>
      <c r="F1399">
        <v>14.21</v>
      </c>
      <c r="G1399">
        <v>7.1</v>
      </c>
      <c r="H1399" t="s">
        <v>18</v>
      </c>
      <c r="I1399" t="s">
        <v>23</v>
      </c>
      <c r="J1399" t="s">
        <v>27</v>
      </c>
      <c r="K1399">
        <v>8</v>
      </c>
      <c r="L1399" t="s">
        <v>29</v>
      </c>
    </row>
    <row r="1400" spans="1:12" x14ac:dyDescent="0.25">
      <c r="A1400">
        <v>1399</v>
      </c>
      <c r="B1400">
        <v>46</v>
      </c>
      <c r="C1400" t="s">
        <v>13</v>
      </c>
      <c r="D1400" t="s">
        <v>15</v>
      </c>
      <c r="E1400">
        <v>13.85</v>
      </c>
      <c r="F1400">
        <v>4.13</v>
      </c>
      <c r="G1400">
        <v>14.9</v>
      </c>
      <c r="H1400" t="s">
        <v>20</v>
      </c>
      <c r="I1400" t="s">
        <v>23</v>
      </c>
      <c r="J1400" t="s">
        <v>25</v>
      </c>
      <c r="K1400">
        <v>5</v>
      </c>
      <c r="L1400" t="s">
        <v>29</v>
      </c>
    </row>
    <row r="1401" spans="1:12" x14ac:dyDescent="0.25">
      <c r="A1401">
        <v>1400</v>
      </c>
      <c r="B1401">
        <v>25</v>
      </c>
      <c r="C1401" t="s">
        <v>13</v>
      </c>
      <c r="D1401" t="s">
        <v>17</v>
      </c>
      <c r="E1401">
        <v>18.739999999999998</v>
      </c>
      <c r="F1401">
        <v>18.34</v>
      </c>
      <c r="G1401">
        <v>2.4</v>
      </c>
      <c r="H1401" t="s">
        <v>18</v>
      </c>
      <c r="I1401" t="s">
        <v>22</v>
      </c>
      <c r="J1401" t="s">
        <v>27</v>
      </c>
      <c r="K1401">
        <v>8</v>
      </c>
      <c r="L1401" t="s">
        <v>29</v>
      </c>
    </row>
    <row r="1402" spans="1:12" x14ac:dyDescent="0.25">
      <c r="A1402">
        <v>1401</v>
      </c>
      <c r="B1402">
        <v>28</v>
      </c>
      <c r="C1402" t="s">
        <v>12</v>
      </c>
      <c r="D1402" t="s">
        <v>14</v>
      </c>
      <c r="E1402">
        <v>2.96</v>
      </c>
      <c r="F1402">
        <v>19.89</v>
      </c>
      <c r="G1402">
        <v>18.23</v>
      </c>
      <c r="H1402" t="s">
        <v>21</v>
      </c>
      <c r="I1402" t="s">
        <v>22</v>
      </c>
      <c r="J1402" t="s">
        <v>26</v>
      </c>
      <c r="K1402">
        <v>19</v>
      </c>
      <c r="L1402" t="s">
        <v>29</v>
      </c>
    </row>
    <row r="1403" spans="1:12" x14ac:dyDescent="0.25">
      <c r="A1403">
        <v>1402</v>
      </c>
      <c r="B1403">
        <v>58</v>
      </c>
      <c r="C1403" t="s">
        <v>13</v>
      </c>
      <c r="D1403" t="s">
        <v>15</v>
      </c>
      <c r="E1403">
        <v>11.3</v>
      </c>
      <c r="F1403">
        <v>12.29</v>
      </c>
      <c r="G1403">
        <v>12.13</v>
      </c>
      <c r="H1403" t="s">
        <v>19</v>
      </c>
      <c r="I1403" t="s">
        <v>23</v>
      </c>
      <c r="J1403" t="s">
        <v>25</v>
      </c>
      <c r="K1403">
        <v>25</v>
      </c>
      <c r="L1403" t="s">
        <v>30</v>
      </c>
    </row>
    <row r="1404" spans="1:12" x14ac:dyDescent="0.25">
      <c r="A1404">
        <v>1403</v>
      </c>
      <c r="B1404">
        <v>54</v>
      </c>
      <c r="C1404" t="s">
        <v>12</v>
      </c>
      <c r="D1404" t="s">
        <v>15</v>
      </c>
      <c r="E1404">
        <v>23.95</v>
      </c>
      <c r="F1404">
        <v>15.06</v>
      </c>
      <c r="G1404">
        <v>15.4</v>
      </c>
      <c r="H1404" t="s">
        <v>19</v>
      </c>
      <c r="I1404" t="s">
        <v>24</v>
      </c>
      <c r="J1404" t="s">
        <v>26</v>
      </c>
      <c r="K1404">
        <v>10</v>
      </c>
      <c r="L1404" t="s">
        <v>29</v>
      </c>
    </row>
    <row r="1405" spans="1:12" x14ac:dyDescent="0.25">
      <c r="A1405">
        <v>1404</v>
      </c>
      <c r="B1405">
        <v>31</v>
      </c>
      <c r="C1405" t="s">
        <v>12</v>
      </c>
      <c r="D1405" t="s">
        <v>15</v>
      </c>
      <c r="E1405">
        <v>8.82</v>
      </c>
      <c r="F1405">
        <v>12.17</v>
      </c>
      <c r="G1405">
        <v>3.59</v>
      </c>
      <c r="H1405" t="s">
        <v>21</v>
      </c>
      <c r="I1405" t="s">
        <v>23</v>
      </c>
      <c r="J1405" t="s">
        <v>26</v>
      </c>
      <c r="K1405">
        <v>9</v>
      </c>
      <c r="L1405" t="s">
        <v>30</v>
      </c>
    </row>
    <row r="1406" spans="1:12" x14ac:dyDescent="0.25">
      <c r="A1406">
        <v>1405</v>
      </c>
      <c r="B1406">
        <v>77</v>
      </c>
      <c r="C1406" t="s">
        <v>13</v>
      </c>
      <c r="D1406" t="s">
        <v>15</v>
      </c>
      <c r="E1406">
        <v>29.6</v>
      </c>
      <c r="F1406">
        <v>22.93</v>
      </c>
      <c r="G1406">
        <v>4.29</v>
      </c>
      <c r="H1406" t="s">
        <v>21</v>
      </c>
      <c r="I1406" t="s">
        <v>23</v>
      </c>
      <c r="J1406" t="s">
        <v>25</v>
      </c>
      <c r="K1406">
        <v>12</v>
      </c>
      <c r="L1406" t="s">
        <v>30</v>
      </c>
    </row>
    <row r="1407" spans="1:12" x14ac:dyDescent="0.25">
      <c r="A1407">
        <v>1406</v>
      </c>
      <c r="B1407">
        <v>47</v>
      </c>
      <c r="C1407" t="s">
        <v>13</v>
      </c>
      <c r="D1407" t="s">
        <v>14</v>
      </c>
      <c r="E1407">
        <v>4.05</v>
      </c>
      <c r="F1407">
        <v>21.11</v>
      </c>
      <c r="G1407">
        <v>15.07</v>
      </c>
      <c r="H1407" t="s">
        <v>20</v>
      </c>
      <c r="I1407" t="s">
        <v>23</v>
      </c>
      <c r="J1407" t="s">
        <v>26</v>
      </c>
      <c r="K1407">
        <v>28</v>
      </c>
      <c r="L1407" t="s">
        <v>29</v>
      </c>
    </row>
    <row r="1408" spans="1:12" x14ac:dyDescent="0.25">
      <c r="A1408">
        <v>1407</v>
      </c>
      <c r="B1408">
        <v>52</v>
      </c>
      <c r="C1408" t="s">
        <v>12</v>
      </c>
      <c r="D1408" t="s">
        <v>17</v>
      </c>
      <c r="E1408">
        <v>28.9</v>
      </c>
      <c r="F1408">
        <v>2.38</v>
      </c>
      <c r="G1408">
        <v>3.27</v>
      </c>
      <c r="H1408" t="s">
        <v>20</v>
      </c>
      <c r="I1408" t="s">
        <v>22</v>
      </c>
      <c r="J1408" t="s">
        <v>25</v>
      </c>
      <c r="K1408">
        <v>12</v>
      </c>
      <c r="L1408" t="s">
        <v>29</v>
      </c>
    </row>
    <row r="1409" spans="1:12" x14ac:dyDescent="0.25">
      <c r="A1409">
        <v>1408</v>
      </c>
      <c r="B1409">
        <v>38</v>
      </c>
      <c r="C1409" t="s">
        <v>12</v>
      </c>
      <c r="D1409" t="s">
        <v>17</v>
      </c>
      <c r="E1409">
        <v>28.85</v>
      </c>
      <c r="F1409">
        <v>2.12</v>
      </c>
      <c r="G1409">
        <v>14.95</v>
      </c>
      <c r="H1409" t="s">
        <v>20</v>
      </c>
      <c r="I1409" t="s">
        <v>23</v>
      </c>
      <c r="J1409" t="s">
        <v>27</v>
      </c>
      <c r="K1409">
        <v>21</v>
      </c>
      <c r="L1409" t="s">
        <v>29</v>
      </c>
    </row>
    <row r="1410" spans="1:12" x14ac:dyDescent="0.25">
      <c r="A1410">
        <v>1409</v>
      </c>
      <c r="B1410">
        <v>54</v>
      </c>
      <c r="C1410" t="s">
        <v>12</v>
      </c>
      <c r="D1410" t="s">
        <v>16</v>
      </c>
      <c r="E1410">
        <v>58.34</v>
      </c>
      <c r="F1410">
        <v>8.6199999999999992</v>
      </c>
      <c r="G1410">
        <v>0.51</v>
      </c>
      <c r="H1410" t="s">
        <v>20</v>
      </c>
      <c r="I1410" t="s">
        <v>22</v>
      </c>
      <c r="J1410" t="s">
        <v>26</v>
      </c>
      <c r="K1410">
        <v>25</v>
      </c>
      <c r="L1410" t="s">
        <v>29</v>
      </c>
    </row>
    <row r="1411" spans="1:12" x14ac:dyDescent="0.25">
      <c r="A1411">
        <v>1410</v>
      </c>
      <c r="B1411">
        <v>22</v>
      </c>
      <c r="C1411" t="s">
        <v>13</v>
      </c>
      <c r="D1411" t="s">
        <v>15</v>
      </c>
      <c r="E1411">
        <v>13.47</v>
      </c>
      <c r="F1411">
        <v>17.559999999999999</v>
      </c>
      <c r="G1411">
        <v>3.99</v>
      </c>
      <c r="H1411" t="s">
        <v>20</v>
      </c>
      <c r="I1411" t="s">
        <v>23</v>
      </c>
      <c r="J1411" t="s">
        <v>26</v>
      </c>
      <c r="K1411">
        <v>33</v>
      </c>
      <c r="L1411" t="s">
        <v>29</v>
      </c>
    </row>
    <row r="1412" spans="1:12" x14ac:dyDescent="0.25">
      <c r="A1412">
        <v>1411</v>
      </c>
      <c r="B1412">
        <v>36</v>
      </c>
      <c r="C1412" t="s">
        <v>12</v>
      </c>
      <c r="D1412" t="s">
        <v>17</v>
      </c>
      <c r="E1412">
        <v>17.36</v>
      </c>
      <c r="F1412">
        <v>22.37</v>
      </c>
      <c r="G1412">
        <v>22.57</v>
      </c>
      <c r="H1412" t="s">
        <v>19</v>
      </c>
      <c r="I1412" t="s">
        <v>23</v>
      </c>
      <c r="J1412" t="s">
        <v>25</v>
      </c>
      <c r="K1412">
        <v>35</v>
      </c>
      <c r="L1412" t="s">
        <v>29</v>
      </c>
    </row>
    <row r="1413" spans="1:12" x14ac:dyDescent="0.25">
      <c r="A1413">
        <v>1412</v>
      </c>
      <c r="B1413">
        <v>76</v>
      </c>
      <c r="C1413" t="s">
        <v>13</v>
      </c>
      <c r="D1413" t="s">
        <v>17</v>
      </c>
      <c r="E1413">
        <v>42.37</v>
      </c>
      <c r="F1413">
        <v>7.56</v>
      </c>
      <c r="G1413">
        <v>7.17</v>
      </c>
      <c r="H1413" t="s">
        <v>20</v>
      </c>
      <c r="I1413" t="s">
        <v>22</v>
      </c>
      <c r="J1413" t="s">
        <v>27</v>
      </c>
      <c r="K1413">
        <v>4</v>
      </c>
      <c r="L1413" t="s">
        <v>29</v>
      </c>
    </row>
    <row r="1414" spans="1:12" x14ac:dyDescent="0.25">
      <c r="A1414">
        <v>1413</v>
      </c>
      <c r="B1414">
        <v>31</v>
      </c>
      <c r="C1414" t="s">
        <v>13</v>
      </c>
      <c r="D1414" t="s">
        <v>17</v>
      </c>
      <c r="E1414">
        <v>39.130000000000003</v>
      </c>
      <c r="F1414">
        <v>8.44</v>
      </c>
      <c r="G1414">
        <v>8.09</v>
      </c>
      <c r="H1414" t="s">
        <v>21</v>
      </c>
      <c r="I1414" t="s">
        <v>22</v>
      </c>
      <c r="J1414" t="s">
        <v>25</v>
      </c>
      <c r="K1414">
        <v>30</v>
      </c>
      <c r="L1414" t="s">
        <v>29</v>
      </c>
    </row>
    <row r="1415" spans="1:12" x14ac:dyDescent="0.25">
      <c r="A1415">
        <v>1414</v>
      </c>
      <c r="B1415">
        <v>43</v>
      </c>
      <c r="C1415" t="s">
        <v>13</v>
      </c>
      <c r="D1415" t="s">
        <v>14</v>
      </c>
      <c r="E1415">
        <v>32.33</v>
      </c>
      <c r="F1415">
        <v>7.91</v>
      </c>
      <c r="G1415">
        <v>1.97</v>
      </c>
      <c r="H1415" t="s">
        <v>21</v>
      </c>
      <c r="I1415" t="s">
        <v>23</v>
      </c>
      <c r="J1415" t="s">
        <v>25</v>
      </c>
      <c r="K1415">
        <v>34</v>
      </c>
      <c r="L1415" t="s">
        <v>29</v>
      </c>
    </row>
    <row r="1416" spans="1:12" x14ac:dyDescent="0.25">
      <c r="A1416">
        <v>1415</v>
      </c>
      <c r="B1416">
        <v>79</v>
      </c>
      <c r="C1416" t="s">
        <v>12</v>
      </c>
      <c r="D1416" t="s">
        <v>16</v>
      </c>
      <c r="E1416">
        <v>21.67</v>
      </c>
      <c r="F1416">
        <v>9.4</v>
      </c>
      <c r="G1416">
        <v>13.03</v>
      </c>
      <c r="H1416" t="s">
        <v>20</v>
      </c>
      <c r="I1416" t="s">
        <v>23</v>
      </c>
      <c r="J1416" t="s">
        <v>26</v>
      </c>
      <c r="K1416">
        <v>35</v>
      </c>
      <c r="L1416" t="s">
        <v>29</v>
      </c>
    </row>
    <row r="1417" spans="1:12" x14ac:dyDescent="0.25">
      <c r="A1417">
        <v>1416</v>
      </c>
      <c r="B1417">
        <v>21</v>
      </c>
      <c r="C1417" t="s">
        <v>13</v>
      </c>
      <c r="D1417" t="s">
        <v>17</v>
      </c>
      <c r="E1417">
        <v>41.68</v>
      </c>
      <c r="F1417">
        <v>11.28</v>
      </c>
      <c r="G1417">
        <v>14.7</v>
      </c>
      <c r="H1417" t="s">
        <v>21</v>
      </c>
      <c r="I1417" t="s">
        <v>24</v>
      </c>
      <c r="J1417" t="s">
        <v>26</v>
      </c>
      <c r="K1417">
        <v>11</v>
      </c>
      <c r="L1417" t="s">
        <v>29</v>
      </c>
    </row>
    <row r="1418" spans="1:12" x14ac:dyDescent="0.25">
      <c r="A1418">
        <v>1417</v>
      </c>
      <c r="B1418">
        <v>42</v>
      </c>
      <c r="C1418" t="s">
        <v>13</v>
      </c>
      <c r="D1418" t="s">
        <v>14</v>
      </c>
      <c r="E1418">
        <v>70.77</v>
      </c>
      <c r="F1418">
        <v>6.9</v>
      </c>
      <c r="G1418">
        <v>8.81</v>
      </c>
      <c r="H1418" t="s">
        <v>18</v>
      </c>
      <c r="I1418" t="s">
        <v>23</v>
      </c>
      <c r="J1418" t="s">
        <v>25</v>
      </c>
      <c r="K1418">
        <v>31</v>
      </c>
      <c r="L1418" t="s">
        <v>30</v>
      </c>
    </row>
    <row r="1419" spans="1:12" x14ac:dyDescent="0.25">
      <c r="A1419">
        <v>1418</v>
      </c>
      <c r="B1419">
        <v>62</v>
      </c>
      <c r="C1419" t="s">
        <v>13</v>
      </c>
      <c r="D1419" t="s">
        <v>15</v>
      </c>
      <c r="E1419">
        <v>25.37</v>
      </c>
      <c r="F1419">
        <v>7.89</v>
      </c>
      <c r="G1419">
        <v>5.04</v>
      </c>
      <c r="H1419" t="s">
        <v>19</v>
      </c>
      <c r="I1419" t="s">
        <v>24</v>
      </c>
      <c r="J1419" t="s">
        <v>26</v>
      </c>
      <c r="K1419">
        <v>17</v>
      </c>
      <c r="L1419" t="s">
        <v>29</v>
      </c>
    </row>
    <row r="1420" spans="1:12" x14ac:dyDescent="0.25">
      <c r="A1420">
        <v>1419</v>
      </c>
      <c r="B1420">
        <v>59</v>
      </c>
      <c r="C1420" t="s">
        <v>13</v>
      </c>
      <c r="D1420" t="s">
        <v>15</v>
      </c>
      <c r="E1420">
        <v>17.920000000000002</v>
      </c>
      <c r="F1420">
        <v>13.27</v>
      </c>
      <c r="G1420">
        <v>25.59</v>
      </c>
      <c r="H1420" t="s">
        <v>19</v>
      </c>
      <c r="I1420" t="s">
        <v>22</v>
      </c>
      <c r="J1420" t="s">
        <v>27</v>
      </c>
      <c r="K1420">
        <v>20</v>
      </c>
      <c r="L1420" t="s">
        <v>29</v>
      </c>
    </row>
    <row r="1421" spans="1:12" x14ac:dyDescent="0.25">
      <c r="A1421">
        <v>1420</v>
      </c>
      <c r="B1421">
        <v>42</v>
      </c>
      <c r="C1421" t="s">
        <v>13</v>
      </c>
      <c r="D1421" t="s">
        <v>15</v>
      </c>
      <c r="E1421">
        <v>27.31</v>
      </c>
      <c r="F1421">
        <v>3.17</v>
      </c>
      <c r="G1421">
        <v>6.22</v>
      </c>
      <c r="H1421" t="s">
        <v>20</v>
      </c>
      <c r="I1421" t="s">
        <v>23</v>
      </c>
      <c r="J1421" t="s">
        <v>26</v>
      </c>
      <c r="K1421">
        <v>20</v>
      </c>
      <c r="L1421" t="s">
        <v>30</v>
      </c>
    </row>
    <row r="1422" spans="1:12" x14ac:dyDescent="0.25">
      <c r="A1422">
        <v>1421</v>
      </c>
      <c r="B1422">
        <v>35</v>
      </c>
      <c r="C1422" t="s">
        <v>12</v>
      </c>
      <c r="D1422" t="s">
        <v>15</v>
      </c>
      <c r="E1422">
        <v>19.54</v>
      </c>
      <c r="F1422">
        <v>32.340000000000003</v>
      </c>
      <c r="G1422">
        <v>4.72</v>
      </c>
      <c r="H1422" t="s">
        <v>18</v>
      </c>
      <c r="I1422" t="s">
        <v>22</v>
      </c>
      <c r="J1422" t="s">
        <v>26</v>
      </c>
      <c r="K1422">
        <v>9</v>
      </c>
      <c r="L1422" t="s">
        <v>30</v>
      </c>
    </row>
    <row r="1423" spans="1:12" x14ac:dyDescent="0.25">
      <c r="A1423">
        <v>1422</v>
      </c>
      <c r="B1423">
        <v>57</v>
      </c>
      <c r="C1423" t="s">
        <v>13</v>
      </c>
      <c r="D1423" t="s">
        <v>17</v>
      </c>
      <c r="E1423">
        <v>14.31</v>
      </c>
      <c r="F1423">
        <v>17.23</v>
      </c>
      <c r="G1423">
        <v>10.28</v>
      </c>
      <c r="H1423" t="s">
        <v>20</v>
      </c>
      <c r="I1423" t="s">
        <v>24</v>
      </c>
      <c r="J1423" t="s">
        <v>25</v>
      </c>
      <c r="K1423">
        <v>16</v>
      </c>
      <c r="L1423" t="s">
        <v>29</v>
      </c>
    </row>
    <row r="1424" spans="1:12" x14ac:dyDescent="0.25">
      <c r="A1424">
        <v>1423</v>
      </c>
      <c r="B1424">
        <v>25</v>
      </c>
      <c r="C1424" t="s">
        <v>13</v>
      </c>
      <c r="D1424" t="s">
        <v>16</v>
      </c>
      <c r="E1424">
        <v>29.68</v>
      </c>
      <c r="F1424">
        <v>24.68</v>
      </c>
      <c r="G1424">
        <v>1.44</v>
      </c>
      <c r="H1424" t="s">
        <v>20</v>
      </c>
      <c r="I1424" t="s">
        <v>23</v>
      </c>
      <c r="J1424" t="s">
        <v>25</v>
      </c>
      <c r="K1424">
        <v>31</v>
      </c>
      <c r="L1424" t="s">
        <v>29</v>
      </c>
    </row>
    <row r="1425" spans="1:12" x14ac:dyDescent="0.25">
      <c r="A1425">
        <v>1424</v>
      </c>
      <c r="B1425">
        <v>56</v>
      </c>
      <c r="C1425" t="s">
        <v>12</v>
      </c>
      <c r="D1425" t="s">
        <v>14</v>
      </c>
      <c r="E1425">
        <v>12.11</v>
      </c>
      <c r="F1425">
        <v>4.6100000000000003</v>
      </c>
      <c r="G1425">
        <v>17.63</v>
      </c>
      <c r="H1425" t="s">
        <v>21</v>
      </c>
      <c r="I1425" t="s">
        <v>23</v>
      </c>
      <c r="J1425" t="s">
        <v>25</v>
      </c>
      <c r="K1425">
        <v>21</v>
      </c>
      <c r="L1425" t="s">
        <v>30</v>
      </c>
    </row>
    <row r="1426" spans="1:12" x14ac:dyDescent="0.25">
      <c r="A1426">
        <v>1425</v>
      </c>
      <c r="B1426">
        <v>57</v>
      </c>
      <c r="C1426" t="s">
        <v>13</v>
      </c>
      <c r="D1426" t="s">
        <v>17</v>
      </c>
      <c r="E1426">
        <v>25.05</v>
      </c>
      <c r="F1426">
        <v>6.11</v>
      </c>
      <c r="G1426">
        <v>4.34</v>
      </c>
      <c r="H1426" t="s">
        <v>19</v>
      </c>
      <c r="I1426" t="s">
        <v>23</v>
      </c>
      <c r="J1426" t="s">
        <v>27</v>
      </c>
      <c r="K1426">
        <v>7</v>
      </c>
      <c r="L1426" t="s">
        <v>29</v>
      </c>
    </row>
    <row r="1427" spans="1:12" x14ac:dyDescent="0.25">
      <c r="A1427">
        <v>1426</v>
      </c>
      <c r="B1427">
        <v>31</v>
      </c>
      <c r="C1427" t="s">
        <v>12</v>
      </c>
      <c r="D1427" t="s">
        <v>17</v>
      </c>
      <c r="E1427">
        <v>4.95</v>
      </c>
      <c r="F1427">
        <v>0.72</v>
      </c>
      <c r="G1427">
        <v>8.9</v>
      </c>
      <c r="H1427" t="s">
        <v>18</v>
      </c>
      <c r="I1427" t="s">
        <v>24</v>
      </c>
      <c r="J1427" t="s">
        <v>28</v>
      </c>
      <c r="K1427">
        <v>7</v>
      </c>
      <c r="L1427" t="s">
        <v>29</v>
      </c>
    </row>
    <row r="1428" spans="1:12" x14ac:dyDescent="0.25">
      <c r="A1428">
        <v>1427</v>
      </c>
      <c r="B1428">
        <v>49</v>
      </c>
      <c r="C1428" t="s">
        <v>13</v>
      </c>
      <c r="D1428" t="s">
        <v>15</v>
      </c>
      <c r="E1428">
        <v>46.21</v>
      </c>
      <c r="F1428">
        <v>10.38</v>
      </c>
      <c r="G1428">
        <v>1.82</v>
      </c>
      <c r="H1428" t="s">
        <v>21</v>
      </c>
      <c r="I1428" t="s">
        <v>22</v>
      </c>
      <c r="J1428" t="s">
        <v>27</v>
      </c>
      <c r="K1428">
        <v>17</v>
      </c>
      <c r="L1428" t="s">
        <v>29</v>
      </c>
    </row>
    <row r="1429" spans="1:12" x14ac:dyDescent="0.25">
      <c r="A1429">
        <v>1428</v>
      </c>
      <c r="B1429">
        <v>68</v>
      </c>
      <c r="C1429" t="s">
        <v>12</v>
      </c>
      <c r="D1429" t="s">
        <v>15</v>
      </c>
      <c r="E1429">
        <v>9.75</v>
      </c>
      <c r="F1429">
        <v>10.62</v>
      </c>
      <c r="G1429">
        <v>8.77</v>
      </c>
      <c r="H1429" t="s">
        <v>19</v>
      </c>
      <c r="I1429" t="s">
        <v>23</v>
      </c>
      <c r="J1429" t="s">
        <v>27</v>
      </c>
      <c r="K1429">
        <v>28</v>
      </c>
      <c r="L1429" t="s">
        <v>29</v>
      </c>
    </row>
    <row r="1430" spans="1:12" x14ac:dyDescent="0.25">
      <c r="A1430">
        <v>1429</v>
      </c>
      <c r="B1430">
        <v>78</v>
      </c>
      <c r="C1430" t="s">
        <v>12</v>
      </c>
      <c r="D1430" t="s">
        <v>17</v>
      </c>
      <c r="E1430">
        <v>5.88</v>
      </c>
      <c r="F1430">
        <v>12.31</v>
      </c>
      <c r="G1430">
        <v>22.4</v>
      </c>
      <c r="H1430" t="s">
        <v>19</v>
      </c>
      <c r="I1430" t="s">
        <v>23</v>
      </c>
      <c r="J1430" t="s">
        <v>25</v>
      </c>
      <c r="K1430">
        <v>26</v>
      </c>
      <c r="L1430" t="s">
        <v>29</v>
      </c>
    </row>
    <row r="1431" spans="1:12" x14ac:dyDescent="0.25">
      <c r="A1431">
        <v>1430</v>
      </c>
      <c r="B1431">
        <v>55</v>
      </c>
      <c r="C1431" t="s">
        <v>13</v>
      </c>
      <c r="D1431" t="s">
        <v>17</v>
      </c>
      <c r="E1431">
        <v>38.32</v>
      </c>
      <c r="F1431">
        <v>1.95</v>
      </c>
      <c r="G1431">
        <v>1.32</v>
      </c>
      <c r="H1431" t="s">
        <v>20</v>
      </c>
      <c r="I1431" t="s">
        <v>23</v>
      </c>
      <c r="J1431" t="s">
        <v>25</v>
      </c>
      <c r="K1431">
        <v>21</v>
      </c>
      <c r="L1431" t="s">
        <v>30</v>
      </c>
    </row>
    <row r="1432" spans="1:12" x14ac:dyDescent="0.25">
      <c r="A1432">
        <v>1431</v>
      </c>
      <c r="B1432">
        <v>50</v>
      </c>
      <c r="C1432" t="s">
        <v>13</v>
      </c>
      <c r="D1432" t="s">
        <v>14</v>
      </c>
      <c r="E1432">
        <v>42.71</v>
      </c>
      <c r="F1432">
        <v>9.76</v>
      </c>
      <c r="G1432">
        <v>12.02</v>
      </c>
      <c r="H1432" t="s">
        <v>18</v>
      </c>
      <c r="I1432" t="s">
        <v>23</v>
      </c>
      <c r="J1432" t="s">
        <v>26</v>
      </c>
      <c r="K1432">
        <v>22</v>
      </c>
      <c r="L1432" t="s">
        <v>29</v>
      </c>
    </row>
    <row r="1433" spans="1:12" x14ac:dyDescent="0.25">
      <c r="A1433">
        <v>1432</v>
      </c>
      <c r="B1433">
        <v>40</v>
      </c>
      <c r="C1433" t="s">
        <v>13</v>
      </c>
      <c r="D1433" t="s">
        <v>15</v>
      </c>
      <c r="E1433">
        <v>21.38</v>
      </c>
      <c r="F1433">
        <v>12.82</v>
      </c>
      <c r="G1433">
        <v>5.47</v>
      </c>
      <c r="H1433" t="s">
        <v>20</v>
      </c>
      <c r="I1433" t="s">
        <v>23</v>
      </c>
      <c r="J1433" t="s">
        <v>26</v>
      </c>
      <c r="K1433">
        <v>11</v>
      </c>
      <c r="L1433" t="s">
        <v>29</v>
      </c>
    </row>
    <row r="1434" spans="1:12" x14ac:dyDescent="0.25">
      <c r="A1434">
        <v>1433</v>
      </c>
      <c r="B1434">
        <v>32</v>
      </c>
      <c r="C1434" t="s">
        <v>12</v>
      </c>
      <c r="D1434" t="s">
        <v>15</v>
      </c>
      <c r="E1434">
        <v>16.239999999999998</v>
      </c>
      <c r="F1434">
        <v>14.29</v>
      </c>
      <c r="G1434">
        <v>20.54</v>
      </c>
      <c r="H1434" t="s">
        <v>21</v>
      </c>
      <c r="I1434" t="s">
        <v>22</v>
      </c>
      <c r="J1434" t="s">
        <v>26</v>
      </c>
      <c r="K1434">
        <v>30</v>
      </c>
      <c r="L1434" t="s">
        <v>29</v>
      </c>
    </row>
    <row r="1435" spans="1:12" x14ac:dyDescent="0.25">
      <c r="A1435">
        <v>1434</v>
      </c>
      <c r="B1435">
        <v>50</v>
      </c>
      <c r="C1435" t="s">
        <v>12</v>
      </c>
      <c r="D1435" t="s">
        <v>17</v>
      </c>
      <c r="E1435">
        <v>13.7</v>
      </c>
      <c r="F1435">
        <v>6.34</v>
      </c>
      <c r="G1435">
        <v>3.96</v>
      </c>
      <c r="H1435" t="s">
        <v>20</v>
      </c>
      <c r="I1435" t="s">
        <v>23</v>
      </c>
      <c r="J1435" t="s">
        <v>26</v>
      </c>
      <c r="K1435">
        <v>18</v>
      </c>
      <c r="L1435" t="s">
        <v>29</v>
      </c>
    </row>
    <row r="1436" spans="1:12" x14ac:dyDescent="0.25">
      <c r="A1436">
        <v>1435</v>
      </c>
      <c r="B1436">
        <v>42</v>
      </c>
      <c r="C1436" t="s">
        <v>12</v>
      </c>
      <c r="D1436" t="s">
        <v>15</v>
      </c>
      <c r="E1436">
        <v>20.64</v>
      </c>
      <c r="F1436">
        <v>35.53</v>
      </c>
      <c r="G1436">
        <v>12.05</v>
      </c>
      <c r="H1436" t="s">
        <v>20</v>
      </c>
      <c r="I1436" t="s">
        <v>23</v>
      </c>
      <c r="J1436" t="s">
        <v>26</v>
      </c>
      <c r="K1436">
        <v>13</v>
      </c>
      <c r="L1436" t="s">
        <v>29</v>
      </c>
    </row>
    <row r="1437" spans="1:12" x14ac:dyDescent="0.25">
      <c r="A1437">
        <v>1436</v>
      </c>
      <c r="B1437">
        <v>34</v>
      </c>
      <c r="C1437" t="s">
        <v>13</v>
      </c>
      <c r="D1437" t="s">
        <v>15</v>
      </c>
      <c r="E1437">
        <v>16.86</v>
      </c>
      <c r="F1437">
        <v>8.3800000000000008</v>
      </c>
      <c r="G1437">
        <v>9.67</v>
      </c>
      <c r="H1437" t="s">
        <v>19</v>
      </c>
      <c r="I1437" t="s">
        <v>22</v>
      </c>
      <c r="J1437" t="s">
        <v>26</v>
      </c>
      <c r="K1437">
        <v>27</v>
      </c>
      <c r="L1437" t="s">
        <v>29</v>
      </c>
    </row>
    <row r="1438" spans="1:12" x14ac:dyDescent="0.25">
      <c r="A1438">
        <v>1437</v>
      </c>
      <c r="B1438">
        <v>50</v>
      </c>
      <c r="C1438" t="s">
        <v>12</v>
      </c>
      <c r="D1438" t="s">
        <v>16</v>
      </c>
      <c r="E1438">
        <v>15.49</v>
      </c>
      <c r="F1438">
        <v>11.19</v>
      </c>
      <c r="G1438">
        <v>18.87</v>
      </c>
      <c r="H1438" t="s">
        <v>19</v>
      </c>
      <c r="I1438" t="s">
        <v>23</v>
      </c>
      <c r="J1438" t="s">
        <v>27</v>
      </c>
      <c r="K1438">
        <v>23</v>
      </c>
      <c r="L1438" t="s">
        <v>30</v>
      </c>
    </row>
    <row r="1439" spans="1:12" x14ac:dyDescent="0.25">
      <c r="A1439">
        <v>1438</v>
      </c>
      <c r="B1439">
        <v>64</v>
      </c>
      <c r="C1439" t="s">
        <v>12</v>
      </c>
      <c r="D1439" t="s">
        <v>15</v>
      </c>
      <c r="E1439">
        <v>8.9700000000000006</v>
      </c>
      <c r="F1439">
        <v>7.63</v>
      </c>
      <c r="G1439">
        <v>15.92</v>
      </c>
      <c r="H1439" t="s">
        <v>21</v>
      </c>
      <c r="I1439" t="s">
        <v>23</v>
      </c>
      <c r="J1439" t="s">
        <v>27</v>
      </c>
      <c r="K1439">
        <v>7</v>
      </c>
      <c r="L1439" t="s">
        <v>29</v>
      </c>
    </row>
    <row r="1440" spans="1:12" x14ac:dyDescent="0.25">
      <c r="A1440">
        <v>1439</v>
      </c>
      <c r="B1440">
        <v>72</v>
      </c>
      <c r="C1440" t="s">
        <v>13</v>
      </c>
      <c r="D1440" t="s">
        <v>16</v>
      </c>
      <c r="E1440">
        <v>7.05</v>
      </c>
      <c r="F1440">
        <v>6.42</v>
      </c>
      <c r="G1440">
        <v>7.81</v>
      </c>
      <c r="H1440" t="s">
        <v>19</v>
      </c>
      <c r="I1440" t="s">
        <v>23</v>
      </c>
      <c r="J1440" t="s">
        <v>26</v>
      </c>
      <c r="K1440">
        <v>13</v>
      </c>
      <c r="L1440" t="s">
        <v>30</v>
      </c>
    </row>
    <row r="1441" spans="1:12" x14ac:dyDescent="0.25">
      <c r="A1441">
        <v>1440</v>
      </c>
      <c r="B1441">
        <v>19</v>
      </c>
      <c r="C1441" t="s">
        <v>12</v>
      </c>
      <c r="D1441" t="s">
        <v>15</v>
      </c>
      <c r="E1441">
        <v>18.38</v>
      </c>
      <c r="F1441">
        <v>16.010000000000002</v>
      </c>
      <c r="G1441">
        <v>8.26</v>
      </c>
      <c r="H1441" t="s">
        <v>19</v>
      </c>
      <c r="I1441" t="s">
        <v>23</v>
      </c>
      <c r="J1441" t="s">
        <v>26</v>
      </c>
      <c r="K1441">
        <v>11</v>
      </c>
      <c r="L1441" t="s">
        <v>29</v>
      </c>
    </row>
    <row r="1442" spans="1:12" x14ac:dyDescent="0.25">
      <c r="A1442">
        <v>1441</v>
      </c>
      <c r="B1442">
        <v>31</v>
      </c>
      <c r="C1442" t="s">
        <v>12</v>
      </c>
      <c r="D1442" t="s">
        <v>15</v>
      </c>
      <c r="E1442">
        <v>20.22</v>
      </c>
      <c r="F1442">
        <v>2.0499999999999998</v>
      </c>
      <c r="G1442">
        <v>14.71</v>
      </c>
      <c r="H1442" t="s">
        <v>19</v>
      </c>
      <c r="I1442" t="s">
        <v>24</v>
      </c>
      <c r="J1442" t="s">
        <v>27</v>
      </c>
      <c r="K1442">
        <v>13</v>
      </c>
      <c r="L1442" t="s">
        <v>29</v>
      </c>
    </row>
    <row r="1443" spans="1:12" x14ac:dyDescent="0.25">
      <c r="A1443">
        <v>1442</v>
      </c>
      <c r="B1443">
        <v>70</v>
      </c>
      <c r="C1443" t="s">
        <v>13</v>
      </c>
      <c r="D1443" t="s">
        <v>17</v>
      </c>
      <c r="E1443">
        <v>10.18</v>
      </c>
      <c r="F1443">
        <v>16.7</v>
      </c>
      <c r="G1443">
        <v>3.08</v>
      </c>
      <c r="H1443" t="s">
        <v>20</v>
      </c>
      <c r="I1443" t="s">
        <v>22</v>
      </c>
      <c r="J1443" t="s">
        <v>27</v>
      </c>
      <c r="K1443">
        <v>3</v>
      </c>
      <c r="L1443" t="s">
        <v>29</v>
      </c>
    </row>
    <row r="1444" spans="1:12" x14ac:dyDescent="0.25">
      <c r="A1444">
        <v>1443</v>
      </c>
      <c r="B1444">
        <v>57</v>
      </c>
      <c r="C1444" t="s">
        <v>12</v>
      </c>
      <c r="D1444" t="s">
        <v>14</v>
      </c>
      <c r="E1444">
        <v>11.29</v>
      </c>
      <c r="F1444">
        <v>11</v>
      </c>
      <c r="G1444">
        <v>8.4</v>
      </c>
      <c r="H1444" t="s">
        <v>18</v>
      </c>
      <c r="I1444" t="s">
        <v>23</v>
      </c>
      <c r="J1444" t="s">
        <v>27</v>
      </c>
      <c r="K1444">
        <v>28</v>
      </c>
      <c r="L1444" t="s">
        <v>29</v>
      </c>
    </row>
    <row r="1445" spans="1:12" x14ac:dyDescent="0.25">
      <c r="A1445">
        <v>1444</v>
      </c>
      <c r="B1445">
        <v>57</v>
      </c>
      <c r="C1445" t="s">
        <v>13</v>
      </c>
      <c r="D1445" t="s">
        <v>17</v>
      </c>
      <c r="E1445">
        <v>20.190000000000001</v>
      </c>
      <c r="F1445">
        <v>8.74</v>
      </c>
      <c r="G1445">
        <v>6.04</v>
      </c>
      <c r="H1445" t="s">
        <v>21</v>
      </c>
      <c r="I1445" t="s">
        <v>23</v>
      </c>
      <c r="J1445" t="s">
        <v>28</v>
      </c>
      <c r="K1445">
        <v>12</v>
      </c>
      <c r="L1445" t="s">
        <v>30</v>
      </c>
    </row>
    <row r="1446" spans="1:12" x14ac:dyDescent="0.25">
      <c r="A1446">
        <v>1445</v>
      </c>
      <c r="B1446">
        <v>68</v>
      </c>
      <c r="C1446" t="s">
        <v>13</v>
      </c>
      <c r="D1446" t="s">
        <v>16</v>
      </c>
      <c r="E1446">
        <v>8.7799999999999994</v>
      </c>
      <c r="F1446">
        <v>3.37</v>
      </c>
      <c r="G1446">
        <v>3.19</v>
      </c>
      <c r="H1446" t="s">
        <v>20</v>
      </c>
      <c r="I1446" t="s">
        <v>23</v>
      </c>
      <c r="J1446" t="s">
        <v>28</v>
      </c>
      <c r="K1446">
        <v>21</v>
      </c>
      <c r="L1446" t="s">
        <v>30</v>
      </c>
    </row>
    <row r="1447" spans="1:12" x14ac:dyDescent="0.25">
      <c r="A1447">
        <v>1446</v>
      </c>
      <c r="B1447">
        <v>56</v>
      </c>
      <c r="C1447" t="s">
        <v>13</v>
      </c>
      <c r="D1447" t="s">
        <v>15</v>
      </c>
      <c r="E1447">
        <v>33.1</v>
      </c>
      <c r="F1447">
        <v>10.33</v>
      </c>
      <c r="G1447">
        <v>9.98</v>
      </c>
      <c r="H1447" t="s">
        <v>21</v>
      </c>
      <c r="I1447" t="s">
        <v>22</v>
      </c>
      <c r="J1447" t="s">
        <v>26</v>
      </c>
      <c r="K1447">
        <v>18</v>
      </c>
      <c r="L1447" t="s">
        <v>29</v>
      </c>
    </row>
    <row r="1448" spans="1:12" x14ac:dyDescent="0.25">
      <c r="A1448">
        <v>1447</v>
      </c>
      <c r="B1448">
        <v>68</v>
      </c>
      <c r="C1448" t="s">
        <v>13</v>
      </c>
      <c r="D1448" t="s">
        <v>16</v>
      </c>
      <c r="E1448">
        <v>24.42</v>
      </c>
      <c r="F1448">
        <v>15.89</v>
      </c>
      <c r="G1448">
        <v>14.75</v>
      </c>
      <c r="H1448" t="s">
        <v>20</v>
      </c>
      <c r="I1448" t="s">
        <v>22</v>
      </c>
      <c r="J1448" t="s">
        <v>26</v>
      </c>
      <c r="K1448">
        <v>6</v>
      </c>
      <c r="L1448" t="s">
        <v>29</v>
      </c>
    </row>
    <row r="1449" spans="1:12" x14ac:dyDescent="0.25">
      <c r="A1449">
        <v>1448</v>
      </c>
      <c r="B1449">
        <v>23</v>
      </c>
      <c r="C1449" t="s">
        <v>13</v>
      </c>
      <c r="D1449" t="s">
        <v>15</v>
      </c>
      <c r="E1449">
        <v>10.11</v>
      </c>
      <c r="F1449">
        <v>11.34</v>
      </c>
      <c r="G1449">
        <v>6</v>
      </c>
      <c r="H1449" t="s">
        <v>21</v>
      </c>
      <c r="I1449" t="s">
        <v>22</v>
      </c>
      <c r="J1449" t="s">
        <v>25</v>
      </c>
      <c r="K1449">
        <v>16</v>
      </c>
      <c r="L1449" t="s">
        <v>29</v>
      </c>
    </row>
    <row r="1450" spans="1:12" x14ac:dyDescent="0.25">
      <c r="A1450">
        <v>1449</v>
      </c>
      <c r="B1450">
        <v>23</v>
      </c>
      <c r="C1450" t="s">
        <v>12</v>
      </c>
      <c r="D1450" t="s">
        <v>16</v>
      </c>
      <c r="E1450">
        <v>23.63</v>
      </c>
      <c r="F1450">
        <v>9.5299999999999994</v>
      </c>
      <c r="G1450">
        <v>12.97</v>
      </c>
      <c r="H1450" t="s">
        <v>19</v>
      </c>
      <c r="I1450" t="s">
        <v>23</v>
      </c>
      <c r="J1450" t="s">
        <v>26</v>
      </c>
      <c r="K1450">
        <v>32</v>
      </c>
      <c r="L1450" t="s">
        <v>29</v>
      </c>
    </row>
    <row r="1451" spans="1:12" x14ac:dyDescent="0.25">
      <c r="A1451">
        <v>1450</v>
      </c>
      <c r="B1451">
        <v>20</v>
      </c>
      <c r="C1451" t="s">
        <v>12</v>
      </c>
      <c r="D1451" t="s">
        <v>17</v>
      </c>
      <c r="E1451">
        <v>8.9499999999999993</v>
      </c>
      <c r="F1451">
        <v>8.27</v>
      </c>
      <c r="G1451">
        <v>12.61</v>
      </c>
      <c r="H1451" t="s">
        <v>21</v>
      </c>
      <c r="I1451" t="s">
        <v>23</v>
      </c>
      <c r="J1451" t="s">
        <v>27</v>
      </c>
      <c r="K1451">
        <v>9</v>
      </c>
      <c r="L1451" t="s">
        <v>29</v>
      </c>
    </row>
    <row r="1452" spans="1:12" x14ac:dyDescent="0.25">
      <c r="A1452">
        <v>1451</v>
      </c>
      <c r="B1452">
        <v>24</v>
      </c>
      <c r="C1452" t="s">
        <v>13</v>
      </c>
      <c r="D1452" t="s">
        <v>14</v>
      </c>
      <c r="E1452">
        <v>28.93</v>
      </c>
      <c r="F1452">
        <v>7.01</v>
      </c>
      <c r="G1452">
        <v>14.07</v>
      </c>
      <c r="H1452" t="s">
        <v>18</v>
      </c>
      <c r="I1452" t="s">
        <v>22</v>
      </c>
      <c r="J1452" t="s">
        <v>26</v>
      </c>
      <c r="K1452">
        <v>14</v>
      </c>
      <c r="L1452" t="s">
        <v>29</v>
      </c>
    </row>
    <row r="1453" spans="1:12" x14ac:dyDescent="0.25">
      <c r="A1453">
        <v>1452</v>
      </c>
      <c r="B1453">
        <v>68</v>
      </c>
      <c r="C1453" t="s">
        <v>13</v>
      </c>
      <c r="D1453" t="s">
        <v>17</v>
      </c>
      <c r="E1453">
        <v>9.23</v>
      </c>
      <c r="F1453">
        <v>3.62</v>
      </c>
      <c r="G1453">
        <v>14.28</v>
      </c>
      <c r="H1453" t="s">
        <v>21</v>
      </c>
      <c r="I1453" t="s">
        <v>24</v>
      </c>
      <c r="J1453" t="s">
        <v>25</v>
      </c>
      <c r="K1453">
        <v>26</v>
      </c>
      <c r="L1453" t="s">
        <v>29</v>
      </c>
    </row>
    <row r="1454" spans="1:12" x14ac:dyDescent="0.25">
      <c r="A1454">
        <v>1453</v>
      </c>
      <c r="B1454">
        <v>25</v>
      </c>
      <c r="C1454" t="s">
        <v>12</v>
      </c>
      <c r="D1454" t="s">
        <v>15</v>
      </c>
      <c r="E1454">
        <v>16.02</v>
      </c>
      <c r="F1454">
        <v>15.67</v>
      </c>
      <c r="G1454">
        <v>19.54</v>
      </c>
      <c r="H1454" t="s">
        <v>18</v>
      </c>
      <c r="I1454" t="s">
        <v>24</v>
      </c>
      <c r="J1454" t="s">
        <v>26</v>
      </c>
      <c r="K1454">
        <v>24</v>
      </c>
      <c r="L1454" t="s">
        <v>30</v>
      </c>
    </row>
    <row r="1455" spans="1:12" x14ac:dyDescent="0.25">
      <c r="A1455">
        <v>1454</v>
      </c>
      <c r="B1455">
        <v>59</v>
      </c>
      <c r="C1455" t="s">
        <v>13</v>
      </c>
      <c r="D1455" t="s">
        <v>15</v>
      </c>
      <c r="E1455">
        <v>19.13</v>
      </c>
      <c r="F1455">
        <v>11.92</v>
      </c>
      <c r="G1455">
        <v>11.74</v>
      </c>
      <c r="H1455" t="s">
        <v>21</v>
      </c>
      <c r="I1455" t="s">
        <v>23</v>
      </c>
      <c r="J1455" t="s">
        <v>26</v>
      </c>
      <c r="K1455">
        <v>32</v>
      </c>
      <c r="L1455" t="s">
        <v>29</v>
      </c>
    </row>
    <row r="1456" spans="1:12" x14ac:dyDescent="0.25">
      <c r="A1456">
        <v>1455</v>
      </c>
      <c r="B1456">
        <v>69</v>
      </c>
      <c r="C1456" t="s">
        <v>13</v>
      </c>
      <c r="D1456" t="s">
        <v>14</v>
      </c>
      <c r="E1456">
        <v>42.32</v>
      </c>
      <c r="F1456">
        <v>16.38</v>
      </c>
      <c r="G1456">
        <v>16.48</v>
      </c>
      <c r="H1456" t="s">
        <v>19</v>
      </c>
      <c r="I1456" t="s">
        <v>22</v>
      </c>
      <c r="J1456" t="s">
        <v>25</v>
      </c>
      <c r="K1456">
        <v>22</v>
      </c>
      <c r="L1456" t="s">
        <v>29</v>
      </c>
    </row>
    <row r="1457" spans="1:12" x14ac:dyDescent="0.25">
      <c r="A1457">
        <v>1456</v>
      </c>
      <c r="B1457">
        <v>32</v>
      </c>
      <c r="C1457" t="s">
        <v>13</v>
      </c>
      <c r="D1457" t="s">
        <v>17</v>
      </c>
      <c r="E1457">
        <v>9.69</v>
      </c>
      <c r="F1457">
        <v>6.91</v>
      </c>
      <c r="G1457">
        <v>1.46</v>
      </c>
      <c r="H1457" t="s">
        <v>21</v>
      </c>
      <c r="I1457" t="s">
        <v>22</v>
      </c>
      <c r="J1457" t="s">
        <v>27</v>
      </c>
      <c r="K1457">
        <v>28</v>
      </c>
      <c r="L1457" t="s">
        <v>29</v>
      </c>
    </row>
    <row r="1458" spans="1:12" x14ac:dyDescent="0.25">
      <c r="A1458">
        <v>1457</v>
      </c>
      <c r="B1458">
        <v>64</v>
      </c>
      <c r="C1458" t="s">
        <v>12</v>
      </c>
      <c r="D1458" t="s">
        <v>16</v>
      </c>
      <c r="E1458">
        <v>9.39</v>
      </c>
      <c r="F1458">
        <v>8.76</v>
      </c>
      <c r="G1458">
        <v>21.91</v>
      </c>
      <c r="H1458" t="s">
        <v>20</v>
      </c>
      <c r="I1458" t="s">
        <v>24</v>
      </c>
      <c r="J1458" t="s">
        <v>26</v>
      </c>
      <c r="K1458">
        <v>7</v>
      </c>
      <c r="L1458" t="s">
        <v>29</v>
      </c>
    </row>
    <row r="1459" spans="1:12" x14ac:dyDescent="0.25">
      <c r="A1459">
        <v>1458</v>
      </c>
      <c r="B1459">
        <v>46</v>
      </c>
      <c r="C1459" t="s">
        <v>12</v>
      </c>
      <c r="D1459" t="s">
        <v>15</v>
      </c>
      <c r="E1459">
        <v>5.22</v>
      </c>
      <c r="F1459">
        <v>3.42</v>
      </c>
      <c r="G1459">
        <v>1.75</v>
      </c>
      <c r="H1459" t="s">
        <v>19</v>
      </c>
      <c r="I1459" t="s">
        <v>23</v>
      </c>
      <c r="J1459" t="s">
        <v>27</v>
      </c>
      <c r="K1459">
        <v>8</v>
      </c>
      <c r="L1459" t="s">
        <v>30</v>
      </c>
    </row>
    <row r="1460" spans="1:12" x14ac:dyDescent="0.25">
      <c r="A1460">
        <v>1459</v>
      </c>
      <c r="B1460">
        <v>50</v>
      </c>
      <c r="C1460" t="s">
        <v>13</v>
      </c>
      <c r="D1460" t="s">
        <v>15</v>
      </c>
      <c r="E1460">
        <v>49.96</v>
      </c>
      <c r="F1460">
        <v>2.1800000000000002</v>
      </c>
      <c r="G1460">
        <v>27.85</v>
      </c>
      <c r="H1460" t="s">
        <v>19</v>
      </c>
      <c r="I1460" t="s">
        <v>22</v>
      </c>
      <c r="J1460" t="s">
        <v>27</v>
      </c>
      <c r="K1460">
        <v>7</v>
      </c>
      <c r="L1460" t="s">
        <v>29</v>
      </c>
    </row>
    <row r="1461" spans="1:12" x14ac:dyDescent="0.25">
      <c r="A1461">
        <v>1460</v>
      </c>
      <c r="B1461">
        <v>69</v>
      </c>
      <c r="C1461" t="s">
        <v>13</v>
      </c>
      <c r="D1461" t="s">
        <v>15</v>
      </c>
      <c r="E1461">
        <v>17.75</v>
      </c>
      <c r="F1461">
        <v>10.74</v>
      </c>
      <c r="G1461">
        <v>5.07</v>
      </c>
      <c r="H1461" t="s">
        <v>20</v>
      </c>
      <c r="I1461" t="s">
        <v>23</v>
      </c>
      <c r="J1461" t="s">
        <v>25</v>
      </c>
      <c r="K1461">
        <v>12</v>
      </c>
      <c r="L1461" t="s">
        <v>30</v>
      </c>
    </row>
    <row r="1462" spans="1:12" x14ac:dyDescent="0.25">
      <c r="A1462">
        <v>1461</v>
      </c>
      <c r="B1462">
        <v>47</v>
      </c>
      <c r="C1462" t="s">
        <v>12</v>
      </c>
      <c r="D1462" t="s">
        <v>14</v>
      </c>
      <c r="E1462">
        <v>33.6</v>
      </c>
      <c r="F1462">
        <v>1.03</v>
      </c>
      <c r="G1462">
        <v>9.7100000000000009</v>
      </c>
      <c r="H1462" t="s">
        <v>19</v>
      </c>
      <c r="I1462" t="s">
        <v>22</v>
      </c>
      <c r="J1462" t="s">
        <v>25</v>
      </c>
      <c r="K1462">
        <v>30</v>
      </c>
      <c r="L1462" t="s">
        <v>29</v>
      </c>
    </row>
    <row r="1463" spans="1:12" x14ac:dyDescent="0.25">
      <c r="A1463">
        <v>1462</v>
      </c>
      <c r="B1463">
        <v>56</v>
      </c>
      <c r="C1463" t="s">
        <v>12</v>
      </c>
      <c r="D1463" t="s">
        <v>16</v>
      </c>
      <c r="E1463">
        <v>11.44</v>
      </c>
      <c r="F1463">
        <v>12.89</v>
      </c>
      <c r="G1463">
        <v>4.93</v>
      </c>
      <c r="H1463" t="s">
        <v>19</v>
      </c>
      <c r="I1463" t="s">
        <v>23</v>
      </c>
      <c r="J1463" t="s">
        <v>25</v>
      </c>
      <c r="K1463">
        <v>5</v>
      </c>
      <c r="L1463" t="s">
        <v>29</v>
      </c>
    </row>
    <row r="1464" spans="1:12" x14ac:dyDescent="0.25">
      <c r="A1464">
        <v>1463</v>
      </c>
      <c r="B1464">
        <v>44</v>
      </c>
      <c r="C1464" t="s">
        <v>13</v>
      </c>
      <c r="D1464" t="s">
        <v>14</v>
      </c>
      <c r="E1464">
        <v>12.23</v>
      </c>
      <c r="F1464">
        <v>6.15</v>
      </c>
      <c r="G1464">
        <v>19.43</v>
      </c>
      <c r="H1464" t="s">
        <v>20</v>
      </c>
      <c r="I1464" t="s">
        <v>22</v>
      </c>
      <c r="J1464" t="s">
        <v>26</v>
      </c>
      <c r="K1464">
        <v>15</v>
      </c>
      <c r="L1464" t="s">
        <v>29</v>
      </c>
    </row>
    <row r="1465" spans="1:12" x14ac:dyDescent="0.25">
      <c r="A1465">
        <v>1464</v>
      </c>
      <c r="B1465">
        <v>53</v>
      </c>
      <c r="C1465" t="s">
        <v>13</v>
      </c>
      <c r="D1465" t="s">
        <v>15</v>
      </c>
      <c r="E1465">
        <v>16.8</v>
      </c>
      <c r="F1465">
        <v>39.67</v>
      </c>
      <c r="G1465">
        <v>9.16</v>
      </c>
      <c r="H1465" t="s">
        <v>19</v>
      </c>
      <c r="I1465" t="s">
        <v>24</v>
      </c>
      <c r="J1465" t="s">
        <v>26</v>
      </c>
      <c r="K1465">
        <v>4</v>
      </c>
      <c r="L1465" t="s">
        <v>29</v>
      </c>
    </row>
    <row r="1466" spans="1:12" x14ac:dyDescent="0.25">
      <c r="A1466">
        <v>1465</v>
      </c>
      <c r="B1466">
        <v>46</v>
      </c>
      <c r="C1466" t="s">
        <v>12</v>
      </c>
      <c r="D1466" t="s">
        <v>16</v>
      </c>
      <c r="E1466">
        <v>17.14</v>
      </c>
      <c r="F1466">
        <v>10.199999999999999</v>
      </c>
      <c r="G1466">
        <v>8.08</v>
      </c>
      <c r="H1466" t="s">
        <v>19</v>
      </c>
      <c r="I1466" t="s">
        <v>23</v>
      </c>
      <c r="J1466" t="s">
        <v>27</v>
      </c>
      <c r="K1466">
        <v>30</v>
      </c>
      <c r="L1466" t="s">
        <v>29</v>
      </c>
    </row>
    <row r="1467" spans="1:12" x14ac:dyDescent="0.25">
      <c r="A1467">
        <v>1466</v>
      </c>
      <c r="B1467">
        <v>55</v>
      </c>
      <c r="C1467" t="s">
        <v>12</v>
      </c>
      <c r="D1467" t="s">
        <v>16</v>
      </c>
      <c r="E1467">
        <v>26.69</v>
      </c>
      <c r="F1467">
        <v>15.15</v>
      </c>
      <c r="G1467">
        <v>12.96</v>
      </c>
      <c r="H1467" t="s">
        <v>19</v>
      </c>
      <c r="I1467" t="s">
        <v>22</v>
      </c>
      <c r="J1467" t="s">
        <v>25</v>
      </c>
      <c r="K1467">
        <v>25</v>
      </c>
      <c r="L1467" t="s">
        <v>30</v>
      </c>
    </row>
    <row r="1468" spans="1:12" x14ac:dyDescent="0.25">
      <c r="A1468">
        <v>1467</v>
      </c>
      <c r="B1468">
        <v>74</v>
      </c>
      <c r="C1468" t="s">
        <v>12</v>
      </c>
      <c r="D1468" t="s">
        <v>15</v>
      </c>
      <c r="E1468">
        <v>18.09</v>
      </c>
      <c r="F1468">
        <v>5.71</v>
      </c>
      <c r="G1468">
        <v>12.43</v>
      </c>
      <c r="H1468" t="s">
        <v>19</v>
      </c>
      <c r="I1468" t="s">
        <v>23</v>
      </c>
      <c r="J1468" t="s">
        <v>26</v>
      </c>
      <c r="K1468">
        <v>25</v>
      </c>
      <c r="L1468" t="s">
        <v>29</v>
      </c>
    </row>
    <row r="1469" spans="1:12" x14ac:dyDescent="0.25">
      <c r="A1469">
        <v>1468</v>
      </c>
      <c r="B1469">
        <v>50</v>
      </c>
      <c r="C1469" t="s">
        <v>13</v>
      </c>
      <c r="D1469" t="s">
        <v>14</v>
      </c>
      <c r="E1469">
        <v>13.31</v>
      </c>
      <c r="F1469">
        <v>21.85</v>
      </c>
      <c r="G1469">
        <v>5.98</v>
      </c>
      <c r="H1469" t="s">
        <v>21</v>
      </c>
      <c r="I1469" t="s">
        <v>23</v>
      </c>
      <c r="J1469" t="s">
        <v>25</v>
      </c>
      <c r="K1469">
        <v>34</v>
      </c>
      <c r="L1469" t="s">
        <v>29</v>
      </c>
    </row>
    <row r="1470" spans="1:12" x14ac:dyDescent="0.25">
      <c r="A1470">
        <v>1469</v>
      </c>
      <c r="B1470">
        <v>78</v>
      </c>
      <c r="C1470" t="s">
        <v>12</v>
      </c>
      <c r="D1470" t="s">
        <v>14</v>
      </c>
      <c r="E1470">
        <v>50.53</v>
      </c>
      <c r="F1470">
        <v>23.04</v>
      </c>
      <c r="G1470">
        <v>10.64</v>
      </c>
      <c r="H1470" t="s">
        <v>19</v>
      </c>
      <c r="I1470" t="s">
        <v>23</v>
      </c>
      <c r="J1470" t="s">
        <v>26</v>
      </c>
      <c r="K1470">
        <v>4</v>
      </c>
      <c r="L1470" t="s">
        <v>29</v>
      </c>
    </row>
    <row r="1471" spans="1:12" x14ac:dyDescent="0.25">
      <c r="A1471">
        <v>1470</v>
      </c>
      <c r="B1471">
        <v>54</v>
      </c>
      <c r="C1471" t="s">
        <v>13</v>
      </c>
      <c r="D1471" t="s">
        <v>14</v>
      </c>
      <c r="E1471">
        <v>8.8699999999999992</v>
      </c>
      <c r="F1471">
        <v>19.489999999999998</v>
      </c>
      <c r="G1471">
        <v>10.64</v>
      </c>
      <c r="H1471" t="s">
        <v>19</v>
      </c>
      <c r="I1471" t="s">
        <v>23</v>
      </c>
      <c r="J1471" t="s">
        <v>26</v>
      </c>
      <c r="K1471">
        <v>18</v>
      </c>
      <c r="L1471" t="s">
        <v>29</v>
      </c>
    </row>
    <row r="1472" spans="1:12" x14ac:dyDescent="0.25">
      <c r="A1472">
        <v>1471</v>
      </c>
      <c r="B1472">
        <v>44</v>
      </c>
      <c r="C1472" t="s">
        <v>12</v>
      </c>
      <c r="D1472" t="s">
        <v>16</v>
      </c>
      <c r="E1472">
        <v>9.73</v>
      </c>
      <c r="F1472">
        <v>34.86</v>
      </c>
      <c r="G1472">
        <v>2.67</v>
      </c>
      <c r="H1472" t="s">
        <v>19</v>
      </c>
      <c r="I1472" t="s">
        <v>24</v>
      </c>
      <c r="J1472" t="s">
        <v>26</v>
      </c>
      <c r="K1472">
        <v>18</v>
      </c>
      <c r="L1472" t="s">
        <v>30</v>
      </c>
    </row>
    <row r="1473" spans="1:12" x14ac:dyDescent="0.25">
      <c r="A1473">
        <v>1472</v>
      </c>
      <c r="B1473">
        <v>72</v>
      </c>
      <c r="C1473" t="s">
        <v>12</v>
      </c>
      <c r="D1473" t="s">
        <v>15</v>
      </c>
      <c r="E1473">
        <v>8.9700000000000006</v>
      </c>
      <c r="F1473">
        <v>3.85</v>
      </c>
      <c r="G1473">
        <v>8.16</v>
      </c>
      <c r="H1473" t="s">
        <v>21</v>
      </c>
      <c r="I1473" t="s">
        <v>23</v>
      </c>
      <c r="J1473" t="s">
        <v>26</v>
      </c>
      <c r="K1473">
        <v>5</v>
      </c>
      <c r="L1473" t="s">
        <v>29</v>
      </c>
    </row>
    <row r="1474" spans="1:12" x14ac:dyDescent="0.25">
      <c r="A1474">
        <v>1473</v>
      </c>
      <c r="B1474">
        <v>50</v>
      </c>
      <c r="C1474" t="s">
        <v>12</v>
      </c>
      <c r="D1474" t="s">
        <v>15</v>
      </c>
      <c r="E1474">
        <v>27.34</v>
      </c>
      <c r="F1474">
        <v>15.96</v>
      </c>
      <c r="G1474">
        <v>22.65</v>
      </c>
      <c r="H1474" t="s">
        <v>18</v>
      </c>
      <c r="I1474" t="s">
        <v>22</v>
      </c>
      <c r="J1474" t="s">
        <v>26</v>
      </c>
      <c r="K1474">
        <v>30</v>
      </c>
      <c r="L1474" t="s">
        <v>29</v>
      </c>
    </row>
    <row r="1475" spans="1:12" x14ac:dyDescent="0.25">
      <c r="A1475">
        <v>1474</v>
      </c>
      <c r="B1475">
        <v>79</v>
      </c>
      <c r="C1475" t="s">
        <v>12</v>
      </c>
      <c r="D1475" t="s">
        <v>14</v>
      </c>
      <c r="E1475">
        <v>23.17</v>
      </c>
      <c r="F1475">
        <v>5.22</v>
      </c>
      <c r="G1475">
        <v>13.99</v>
      </c>
      <c r="H1475" t="s">
        <v>19</v>
      </c>
      <c r="I1475" t="s">
        <v>24</v>
      </c>
      <c r="J1475" t="s">
        <v>26</v>
      </c>
      <c r="K1475">
        <v>31</v>
      </c>
      <c r="L1475" t="s">
        <v>29</v>
      </c>
    </row>
    <row r="1476" spans="1:12" x14ac:dyDescent="0.25">
      <c r="A1476">
        <v>1475</v>
      </c>
      <c r="B1476">
        <v>21</v>
      </c>
      <c r="C1476" t="s">
        <v>13</v>
      </c>
      <c r="D1476" t="s">
        <v>15</v>
      </c>
      <c r="E1476">
        <v>15.53</v>
      </c>
      <c r="F1476">
        <v>4.0199999999999996</v>
      </c>
      <c r="G1476">
        <v>4.96</v>
      </c>
      <c r="H1476" t="s">
        <v>18</v>
      </c>
      <c r="I1476" t="s">
        <v>24</v>
      </c>
      <c r="J1476" t="s">
        <v>25</v>
      </c>
      <c r="K1476">
        <v>22</v>
      </c>
      <c r="L1476" t="s">
        <v>29</v>
      </c>
    </row>
    <row r="1477" spans="1:12" x14ac:dyDescent="0.25">
      <c r="A1477">
        <v>1476</v>
      </c>
      <c r="B1477">
        <v>39</v>
      </c>
      <c r="C1477" t="s">
        <v>13</v>
      </c>
      <c r="D1477" t="s">
        <v>16</v>
      </c>
      <c r="E1477">
        <v>8.61</v>
      </c>
      <c r="F1477">
        <v>9.77</v>
      </c>
      <c r="G1477">
        <v>12.83</v>
      </c>
      <c r="H1477" t="s">
        <v>18</v>
      </c>
      <c r="I1477" t="s">
        <v>22</v>
      </c>
      <c r="J1477" t="s">
        <v>26</v>
      </c>
      <c r="K1477">
        <v>35</v>
      </c>
      <c r="L1477" t="s">
        <v>29</v>
      </c>
    </row>
    <row r="1478" spans="1:12" x14ac:dyDescent="0.25">
      <c r="A1478">
        <v>1477</v>
      </c>
      <c r="B1478">
        <v>19</v>
      </c>
      <c r="C1478" t="s">
        <v>12</v>
      </c>
      <c r="D1478" t="s">
        <v>16</v>
      </c>
      <c r="E1478">
        <v>19.079999999999998</v>
      </c>
      <c r="F1478">
        <v>11.99</v>
      </c>
      <c r="G1478">
        <v>15.67</v>
      </c>
      <c r="H1478" t="s">
        <v>20</v>
      </c>
      <c r="I1478" t="s">
        <v>23</v>
      </c>
      <c r="J1478" t="s">
        <v>26</v>
      </c>
      <c r="K1478">
        <v>24</v>
      </c>
      <c r="L1478" t="s">
        <v>29</v>
      </c>
    </row>
    <row r="1479" spans="1:12" x14ac:dyDescent="0.25">
      <c r="A1479">
        <v>1478</v>
      </c>
      <c r="B1479">
        <v>27</v>
      </c>
      <c r="C1479" t="s">
        <v>13</v>
      </c>
      <c r="D1479" t="s">
        <v>16</v>
      </c>
      <c r="E1479">
        <v>29.75</v>
      </c>
      <c r="F1479">
        <v>9.24</v>
      </c>
      <c r="G1479">
        <v>26.67</v>
      </c>
      <c r="H1479" t="s">
        <v>20</v>
      </c>
      <c r="I1479" t="s">
        <v>24</v>
      </c>
      <c r="J1479" t="s">
        <v>26</v>
      </c>
      <c r="K1479">
        <v>10</v>
      </c>
      <c r="L1479" t="s">
        <v>29</v>
      </c>
    </row>
    <row r="1480" spans="1:12" x14ac:dyDescent="0.25">
      <c r="A1480">
        <v>1479</v>
      </c>
      <c r="B1480">
        <v>22</v>
      </c>
      <c r="C1480" t="s">
        <v>12</v>
      </c>
      <c r="D1480" t="s">
        <v>14</v>
      </c>
      <c r="E1480">
        <v>43.38</v>
      </c>
      <c r="F1480">
        <v>3.03</v>
      </c>
      <c r="G1480">
        <v>11.86</v>
      </c>
      <c r="H1480" t="s">
        <v>18</v>
      </c>
      <c r="I1480" t="s">
        <v>23</v>
      </c>
      <c r="J1480" t="s">
        <v>26</v>
      </c>
      <c r="K1480">
        <v>26</v>
      </c>
      <c r="L1480" t="s">
        <v>30</v>
      </c>
    </row>
    <row r="1481" spans="1:12" x14ac:dyDescent="0.25">
      <c r="A1481">
        <v>1480</v>
      </c>
      <c r="B1481">
        <v>76</v>
      </c>
      <c r="C1481" t="s">
        <v>12</v>
      </c>
      <c r="D1481" t="s">
        <v>15</v>
      </c>
      <c r="E1481">
        <v>11.08</v>
      </c>
      <c r="F1481">
        <v>10.53</v>
      </c>
      <c r="G1481">
        <v>17.309999999999999</v>
      </c>
      <c r="H1481" t="s">
        <v>21</v>
      </c>
      <c r="I1481" t="s">
        <v>24</v>
      </c>
      <c r="J1481" t="s">
        <v>26</v>
      </c>
      <c r="K1481">
        <v>22</v>
      </c>
      <c r="L1481" t="s">
        <v>29</v>
      </c>
    </row>
    <row r="1482" spans="1:12" x14ac:dyDescent="0.25">
      <c r="A1482">
        <v>1481</v>
      </c>
      <c r="B1482">
        <v>27</v>
      </c>
      <c r="C1482" t="s">
        <v>12</v>
      </c>
      <c r="D1482" t="s">
        <v>15</v>
      </c>
      <c r="E1482">
        <v>15.5</v>
      </c>
      <c r="F1482">
        <v>9.8800000000000008</v>
      </c>
      <c r="G1482">
        <v>19.059999999999999</v>
      </c>
      <c r="H1482" t="s">
        <v>19</v>
      </c>
      <c r="I1482" t="s">
        <v>22</v>
      </c>
      <c r="J1482" t="s">
        <v>26</v>
      </c>
      <c r="K1482">
        <v>14</v>
      </c>
      <c r="L1482" t="s">
        <v>30</v>
      </c>
    </row>
    <row r="1483" spans="1:12" x14ac:dyDescent="0.25">
      <c r="A1483">
        <v>1482</v>
      </c>
      <c r="B1483">
        <v>50</v>
      </c>
      <c r="C1483" t="s">
        <v>12</v>
      </c>
      <c r="D1483" t="s">
        <v>15</v>
      </c>
      <c r="E1483">
        <v>23.03</v>
      </c>
      <c r="F1483">
        <v>4.16</v>
      </c>
      <c r="G1483">
        <v>5.33</v>
      </c>
      <c r="H1483" t="s">
        <v>19</v>
      </c>
      <c r="I1483" t="s">
        <v>22</v>
      </c>
      <c r="J1483" t="s">
        <v>26</v>
      </c>
      <c r="K1483">
        <v>22</v>
      </c>
      <c r="L1483" t="s">
        <v>29</v>
      </c>
    </row>
    <row r="1484" spans="1:12" x14ac:dyDescent="0.25">
      <c r="A1484">
        <v>1483</v>
      </c>
      <c r="B1484">
        <v>71</v>
      </c>
      <c r="C1484" t="s">
        <v>13</v>
      </c>
      <c r="D1484" t="s">
        <v>17</v>
      </c>
      <c r="E1484">
        <v>13.22</v>
      </c>
      <c r="F1484">
        <v>26.03</v>
      </c>
      <c r="G1484">
        <v>4.54</v>
      </c>
      <c r="H1484" t="s">
        <v>19</v>
      </c>
      <c r="I1484" t="s">
        <v>23</v>
      </c>
      <c r="J1484" t="s">
        <v>27</v>
      </c>
      <c r="K1484">
        <v>22</v>
      </c>
      <c r="L1484" t="s">
        <v>29</v>
      </c>
    </row>
    <row r="1485" spans="1:12" x14ac:dyDescent="0.25">
      <c r="A1485">
        <v>1484</v>
      </c>
      <c r="B1485">
        <v>55</v>
      </c>
      <c r="C1485" t="s">
        <v>12</v>
      </c>
      <c r="D1485" t="s">
        <v>15</v>
      </c>
      <c r="E1485">
        <v>5.97</v>
      </c>
      <c r="F1485">
        <v>32.79</v>
      </c>
      <c r="G1485">
        <v>3.09</v>
      </c>
      <c r="H1485" t="s">
        <v>20</v>
      </c>
      <c r="I1485" t="s">
        <v>22</v>
      </c>
      <c r="J1485" t="s">
        <v>26</v>
      </c>
      <c r="K1485">
        <v>6</v>
      </c>
      <c r="L1485" t="s">
        <v>29</v>
      </c>
    </row>
    <row r="1486" spans="1:12" x14ac:dyDescent="0.25">
      <c r="A1486">
        <v>1485</v>
      </c>
      <c r="B1486">
        <v>30</v>
      </c>
      <c r="C1486" t="s">
        <v>12</v>
      </c>
      <c r="D1486" t="s">
        <v>15</v>
      </c>
      <c r="E1486">
        <v>15.55</v>
      </c>
      <c r="F1486">
        <v>11.05</v>
      </c>
      <c r="G1486">
        <v>13.35</v>
      </c>
      <c r="H1486" t="s">
        <v>20</v>
      </c>
      <c r="I1486" t="s">
        <v>24</v>
      </c>
      <c r="J1486" t="s">
        <v>26</v>
      </c>
      <c r="K1486">
        <v>32</v>
      </c>
      <c r="L1486" t="s">
        <v>29</v>
      </c>
    </row>
    <row r="1487" spans="1:12" x14ac:dyDescent="0.25">
      <c r="A1487">
        <v>1486</v>
      </c>
      <c r="B1487">
        <v>48</v>
      </c>
      <c r="C1487" t="s">
        <v>13</v>
      </c>
      <c r="D1487" t="s">
        <v>14</v>
      </c>
      <c r="E1487">
        <v>6.63</v>
      </c>
      <c r="F1487">
        <v>0.5</v>
      </c>
      <c r="G1487">
        <v>3.96</v>
      </c>
      <c r="H1487" t="s">
        <v>19</v>
      </c>
      <c r="I1487" t="s">
        <v>24</v>
      </c>
      <c r="J1487" t="s">
        <v>26</v>
      </c>
      <c r="K1487">
        <v>33</v>
      </c>
      <c r="L1487" t="s">
        <v>29</v>
      </c>
    </row>
    <row r="1488" spans="1:12" x14ac:dyDescent="0.25">
      <c r="A1488">
        <v>1487</v>
      </c>
      <c r="B1488">
        <v>64</v>
      </c>
      <c r="C1488" t="s">
        <v>12</v>
      </c>
      <c r="D1488" t="s">
        <v>14</v>
      </c>
      <c r="E1488">
        <v>31.35</v>
      </c>
      <c r="F1488">
        <v>9.9700000000000006</v>
      </c>
      <c r="G1488">
        <v>4.8899999999999997</v>
      </c>
      <c r="H1488" t="s">
        <v>18</v>
      </c>
      <c r="I1488" t="s">
        <v>23</v>
      </c>
      <c r="J1488" t="s">
        <v>26</v>
      </c>
      <c r="K1488">
        <v>24</v>
      </c>
      <c r="L1488" t="s">
        <v>29</v>
      </c>
    </row>
    <row r="1489" spans="1:12" x14ac:dyDescent="0.25">
      <c r="A1489">
        <v>1488</v>
      </c>
      <c r="B1489">
        <v>53</v>
      </c>
      <c r="C1489" t="s">
        <v>12</v>
      </c>
      <c r="D1489" t="s">
        <v>15</v>
      </c>
      <c r="E1489">
        <v>13.98</v>
      </c>
      <c r="F1489">
        <v>21.08</v>
      </c>
      <c r="G1489">
        <v>14.69</v>
      </c>
      <c r="H1489" t="s">
        <v>20</v>
      </c>
      <c r="I1489" t="s">
        <v>24</v>
      </c>
      <c r="J1489" t="s">
        <v>25</v>
      </c>
      <c r="K1489">
        <v>17</v>
      </c>
      <c r="L1489" t="s">
        <v>29</v>
      </c>
    </row>
    <row r="1490" spans="1:12" x14ac:dyDescent="0.25">
      <c r="A1490">
        <v>1489</v>
      </c>
      <c r="B1490">
        <v>62</v>
      </c>
      <c r="C1490" t="s">
        <v>12</v>
      </c>
      <c r="D1490" t="s">
        <v>17</v>
      </c>
      <c r="E1490">
        <v>16.62</v>
      </c>
      <c r="F1490">
        <v>10.15</v>
      </c>
      <c r="G1490">
        <v>7.29</v>
      </c>
      <c r="H1490" t="s">
        <v>19</v>
      </c>
      <c r="I1490" t="s">
        <v>23</v>
      </c>
      <c r="J1490" t="s">
        <v>26</v>
      </c>
      <c r="K1490">
        <v>30</v>
      </c>
      <c r="L1490" t="s">
        <v>30</v>
      </c>
    </row>
    <row r="1491" spans="1:12" x14ac:dyDescent="0.25">
      <c r="A1491">
        <v>1490</v>
      </c>
      <c r="B1491">
        <v>41</v>
      </c>
      <c r="C1491" t="s">
        <v>13</v>
      </c>
      <c r="D1491" t="s">
        <v>14</v>
      </c>
      <c r="E1491">
        <v>9.93</v>
      </c>
      <c r="F1491">
        <v>9.18</v>
      </c>
      <c r="G1491">
        <v>15.35</v>
      </c>
      <c r="H1491" t="s">
        <v>18</v>
      </c>
      <c r="I1491" t="s">
        <v>22</v>
      </c>
      <c r="J1491" t="s">
        <v>26</v>
      </c>
      <c r="K1491">
        <v>13</v>
      </c>
      <c r="L1491" t="s">
        <v>29</v>
      </c>
    </row>
    <row r="1492" spans="1:12" x14ac:dyDescent="0.25">
      <c r="A1492">
        <v>1491</v>
      </c>
      <c r="B1492">
        <v>69</v>
      </c>
      <c r="C1492" t="s">
        <v>12</v>
      </c>
      <c r="D1492" t="s">
        <v>15</v>
      </c>
      <c r="E1492">
        <v>17.059999999999999</v>
      </c>
      <c r="F1492">
        <v>16.16</v>
      </c>
      <c r="G1492">
        <v>17.22</v>
      </c>
      <c r="H1492" t="s">
        <v>19</v>
      </c>
      <c r="I1492" t="s">
        <v>22</v>
      </c>
      <c r="J1492" t="s">
        <v>26</v>
      </c>
      <c r="K1492">
        <v>16</v>
      </c>
      <c r="L1492" t="s">
        <v>29</v>
      </c>
    </row>
    <row r="1493" spans="1:12" x14ac:dyDescent="0.25">
      <c r="A1493">
        <v>1492</v>
      </c>
      <c r="B1493">
        <v>73</v>
      </c>
      <c r="C1493" t="s">
        <v>13</v>
      </c>
      <c r="D1493" t="s">
        <v>15</v>
      </c>
      <c r="E1493">
        <v>37.17</v>
      </c>
      <c r="F1493">
        <v>39.99</v>
      </c>
      <c r="G1493">
        <v>4.0599999999999996</v>
      </c>
      <c r="H1493" t="s">
        <v>20</v>
      </c>
      <c r="I1493" t="s">
        <v>23</v>
      </c>
      <c r="J1493" t="s">
        <v>25</v>
      </c>
      <c r="K1493">
        <v>13</v>
      </c>
      <c r="L1493" t="s">
        <v>29</v>
      </c>
    </row>
    <row r="1494" spans="1:12" x14ac:dyDescent="0.25">
      <c r="A1494">
        <v>1493</v>
      </c>
      <c r="B1494">
        <v>32</v>
      </c>
      <c r="C1494" t="s">
        <v>12</v>
      </c>
      <c r="D1494" t="s">
        <v>15</v>
      </c>
      <c r="E1494">
        <v>33.47</v>
      </c>
      <c r="F1494">
        <v>12.83</v>
      </c>
      <c r="G1494">
        <v>8.5399999999999991</v>
      </c>
      <c r="H1494" t="s">
        <v>21</v>
      </c>
      <c r="I1494" t="s">
        <v>23</v>
      </c>
      <c r="J1494" t="s">
        <v>26</v>
      </c>
      <c r="K1494">
        <v>11</v>
      </c>
      <c r="L1494" t="s">
        <v>29</v>
      </c>
    </row>
    <row r="1495" spans="1:12" x14ac:dyDescent="0.25">
      <c r="A1495">
        <v>1494</v>
      </c>
      <c r="B1495">
        <v>46</v>
      </c>
      <c r="C1495" t="s">
        <v>12</v>
      </c>
      <c r="D1495" t="s">
        <v>17</v>
      </c>
      <c r="E1495">
        <v>7.5</v>
      </c>
      <c r="F1495">
        <v>11.14</v>
      </c>
      <c r="G1495">
        <v>17.87</v>
      </c>
      <c r="H1495" t="s">
        <v>21</v>
      </c>
      <c r="I1495" t="s">
        <v>22</v>
      </c>
      <c r="J1495" t="s">
        <v>25</v>
      </c>
      <c r="K1495">
        <v>26</v>
      </c>
      <c r="L1495" t="s">
        <v>29</v>
      </c>
    </row>
    <row r="1496" spans="1:12" x14ac:dyDescent="0.25">
      <c r="A1496">
        <v>1495</v>
      </c>
      <c r="B1496">
        <v>25</v>
      </c>
      <c r="C1496" t="s">
        <v>13</v>
      </c>
      <c r="D1496" t="s">
        <v>15</v>
      </c>
      <c r="E1496">
        <v>0.99</v>
      </c>
      <c r="F1496">
        <v>24.27</v>
      </c>
      <c r="G1496">
        <v>9.81</v>
      </c>
      <c r="H1496" t="s">
        <v>20</v>
      </c>
      <c r="I1496" t="s">
        <v>23</v>
      </c>
      <c r="J1496" t="s">
        <v>26</v>
      </c>
      <c r="K1496">
        <v>12</v>
      </c>
      <c r="L1496" t="s">
        <v>30</v>
      </c>
    </row>
    <row r="1497" spans="1:12" x14ac:dyDescent="0.25">
      <c r="A1497">
        <v>1496</v>
      </c>
      <c r="B1497">
        <v>22</v>
      </c>
      <c r="C1497" t="s">
        <v>12</v>
      </c>
      <c r="D1497" t="s">
        <v>14</v>
      </c>
      <c r="E1497">
        <v>15.63</v>
      </c>
      <c r="F1497">
        <v>14</v>
      </c>
      <c r="G1497">
        <v>28.62</v>
      </c>
      <c r="H1497" t="s">
        <v>18</v>
      </c>
      <c r="I1497" t="s">
        <v>23</v>
      </c>
      <c r="J1497" t="s">
        <v>26</v>
      </c>
      <c r="K1497">
        <v>34</v>
      </c>
      <c r="L1497" t="s">
        <v>29</v>
      </c>
    </row>
    <row r="1498" spans="1:12" x14ac:dyDescent="0.25">
      <c r="A1498">
        <v>1497</v>
      </c>
      <c r="B1498">
        <v>46</v>
      </c>
      <c r="C1498" t="s">
        <v>12</v>
      </c>
      <c r="D1498" t="s">
        <v>17</v>
      </c>
      <c r="E1498">
        <v>14.05</v>
      </c>
      <c r="F1498">
        <v>30.2</v>
      </c>
      <c r="G1498">
        <v>15.5</v>
      </c>
      <c r="H1498" t="s">
        <v>19</v>
      </c>
      <c r="I1498" t="s">
        <v>22</v>
      </c>
      <c r="J1498" t="s">
        <v>25</v>
      </c>
      <c r="K1498">
        <v>22</v>
      </c>
      <c r="L1498" t="s">
        <v>29</v>
      </c>
    </row>
    <row r="1499" spans="1:12" x14ac:dyDescent="0.25">
      <c r="A1499">
        <v>1498</v>
      </c>
      <c r="B1499">
        <v>64</v>
      </c>
      <c r="C1499" t="s">
        <v>13</v>
      </c>
      <c r="D1499" t="s">
        <v>17</v>
      </c>
      <c r="E1499">
        <v>13.45</v>
      </c>
      <c r="F1499">
        <v>4.09</v>
      </c>
      <c r="G1499">
        <v>5.79</v>
      </c>
      <c r="H1499" t="s">
        <v>20</v>
      </c>
      <c r="I1499" t="s">
        <v>24</v>
      </c>
      <c r="J1499" t="s">
        <v>25</v>
      </c>
      <c r="K1499">
        <v>16</v>
      </c>
      <c r="L1499" t="s">
        <v>29</v>
      </c>
    </row>
    <row r="1500" spans="1:12" x14ac:dyDescent="0.25">
      <c r="A1500">
        <v>1499</v>
      </c>
      <c r="B1500">
        <v>21</v>
      </c>
      <c r="C1500" t="s">
        <v>13</v>
      </c>
      <c r="D1500" t="s">
        <v>15</v>
      </c>
      <c r="E1500">
        <v>11.61</v>
      </c>
      <c r="F1500">
        <v>4.1399999999999997</v>
      </c>
      <c r="G1500">
        <v>18.52</v>
      </c>
      <c r="H1500" t="s">
        <v>18</v>
      </c>
      <c r="I1500" t="s">
        <v>22</v>
      </c>
      <c r="J1500" t="s">
        <v>25</v>
      </c>
      <c r="K1500">
        <v>6</v>
      </c>
      <c r="L1500" t="s">
        <v>29</v>
      </c>
    </row>
    <row r="1501" spans="1:12" x14ac:dyDescent="0.25">
      <c r="A1501">
        <v>1500</v>
      </c>
      <c r="B1501">
        <v>29</v>
      </c>
      <c r="C1501" t="s">
        <v>13</v>
      </c>
      <c r="D1501" t="s">
        <v>17</v>
      </c>
      <c r="E1501">
        <v>7.36</v>
      </c>
      <c r="F1501">
        <v>4.91</v>
      </c>
      <c r="G1501">
        <v>16.850000000000001</v>
      </c>
      <c r="H1501" t="s">
        <v>19</v>
      </c>
      <c r="I1501" t="s">
        <v>23</v>
      </c>
      <c r="J1501" t="s">
        <v>26</v>
      </c>
      <c r="K1501">
        <v>26</v>
      </c>
      <c r="L1501" t="s">
        <v>29</v>
      </c>
    </row>
    <row r="1502" spans="1:12" x14ac:dyDescent="0.25">
      <c r="A1502">
        <v>1501</v>
      </c>
      <c r="B1502">
        <v>62</v>
      </c>
      <c r="C1502" t="s">
        <v>13</v>
      </c>
      <c r="D1502" t="s">
        <v>16</v>
      </c>
      <c r="E1502">
        <v>60.75</v>
      </c>
      <c r="F1502">
        <v>18.600000000000001</v>
      </c>
      <c r="G1502">
        <v>8.44</v>
      </c>
      <c r="H1502" t="s">
        <v>19</v>
      </c>
      <c r="I1502" t="s">
        <v>23</v>
      </c>
      <c r="J1502" t="s">
        <v>26</v>
      </c>
      <c r="K1502">
        <v>34</v>
      </c>
      <c r="L1502" t="s">
        <v>29</v>
      </c>
    </row>
    <row r="1503" spans="1:12" x14ac:dyDescent="0.25">
      <c r="A1503">
        <v>1502</v>
      </c>
      <c r="B1503">
        <v>19</v>
      </c>
      <c r="C1503" t="s">
        <v>13</v>
      </c>
      <c r="D1503" t="s">
        <v>16</v>
      </c>
      <c r="E1503">
        <v>49.93</v>
      </c>
      <c r="F1503">
        <v>12.88</v>
      </c>
      <c r="G1503">
        <v>18.11</v>
      </c>
      <c r="H1503" t="s">
        <v>20</v>
      </c>
      <c r="I1503" t="s">
        <v>22</v>
      </c>
      <c r="J1503" t="s">
        <v>26</v>
      </c>
      <c r="K1503">
        <v>12</v>
      </c>
      <c r="L1503" t="s">
        <v>30</v>
      </c>
    </row>
    <row r="1504" spans="1:12" x14ac:dyDescent="0.25">
      <c r="A1504">
        <v>1503</v>
      </c>
      <c r="B1504">
        <v>44</v>
      </c>
      <c r="C1504" t="s">
        <v>12</v>
      </c>
      <c r="D1504" t="s">
        <v>16</v>
      </c>
      <c r="E1504">
        <v>13.04</v>
      </c>
      <c r="F1504">
        <v>8.17</v>
      </c>
      <c r="G1504">
        <v>16.84</v>
      </c>
      <c r="H1504" t="s">
        <v>19</v>
      </c>
      <c r="I1504" t="s">
        <v>22</v>
      </c>
      <c r="J1504" t="s">
        <v>25</v>
      </c>
      <c r="K1504">
        <v>18</v>
      </c>
      <c r="L1504" t="s">
        <v>29</v>
      </c>
    </row>
    <row r="1505" spans="1:12" x14ac:dyDescent="0.25">
      <c r="A1505">
        <v>1504</v>
      </c>
      <c r="B1505">
        <v>48</v>
      </c>
      <c r="C1505" t="s">
        <v>13</v>
      </c>
      <c r="D1505" t="s">
        <v>17</v>
      </c>
      <c r="E1505">
        <v>18.899999999999999</v>
      </c>
      <c r="F1505">
        <v>12.95</v>
      </c>
      <c r="G1505">
        <v>12.71</v>
      </c>
      <c r="H1505" t="s">
        <v>21</v>
      </c>
      <c r="I1505" t="s">
        <v>22</v>
      </c>
      <c r="J1505" t="s">
        <v>25</v>
      </c>
      <c r="K1505">
        <v>34</v>
      </c>
      <c r="L1505" t="s">
        <v>29</v>
      </c>
    </row>
    <row r="1506" spans="1:12" x14ac:dyDescent="0.25">
      <c r="A1506">
        <v>1505</v>
      </c>
      <c r="B1506">
        <v>68</v>
      </c>
      <c r="C1506" t="s">
        <v>12</v>
      </c>
      <c r="D1506" t="s">
        <v>14</v>
      </c>
      <c r="E1506">
        <v>31.69</v>
      </c>
      <c r="F1506">
        <v>20.54</v>
      </c>
      <c r="G1506">
        <v>13.02</v>
      </c>
      <c r="H1506" t="s">
        <v>21</v>
      </c>
      <c r="I1506" t="s">
        <v>24</v>
      </c>
      <c r="J1506" t="s">
        <v>26</v>
      </c>
      <c r="K1506">
        <v>20</v>
      </c>
      <c r="L1506" t="s">
        <v>29</v>
      </c>
    </row>
    <row r="1507" spans="1:12" x14ac:dyDescent="0.25">
      <c r="A1507">
        <v>1506</v>
      </c>
      <c r="B1507">
        <v>68</v>
      </c>
      <c r="C1507" t="s">
        <v>12</v>
      </c>
      <c r="D1507" t="s">
        <v>14</v>
      </c>
      <c r="E1507">
        <v>18.86</v>
      </c>
      <c r="F1507">
        <v>7.83</v>
      </c>
      <c r="G1507">
        <v>12.84</v>
      </c>
      <c r="H1507" t="s">
        <v>19</v>
      </c>
      <c r="I1507" t="s">
        <v>23</v>
      </c>
      <c r="J1507" t="s">
        <v>25</v>
      </c>
      <c r="K1507">
        <v>27</v>
      </c>
      <c r="L1507" t="s">
        <v>29</v>
      </c>
    </row>
    <row r="1508" spans="1:12" x14ac:dyDescent="0.25">
      <c r="A1508">
        <v>1507</v>
      </c>
      <c r="B1508">
        <v>53</v>
      </c>
      <c r="C1508" t="s">
        <v>12</v>
      </c>
      <c r="D1508" t="s">
        <v>16</v>
      </c>
      <c r="E1508">
        <v>12.31</v>
      </c>
      <c r="F1508">
        <v>17.079999999999998</v>
      </c>
      <c r="G1508">
        <v>15.44</v>
      </c>
      <c r="H1508" t="s">
        <v>20</v>
      </c>
      <c r="I1508" t="s">
        <v>23</v>
      </c>
      <c r="J1508" t="s">
        <v>25</v>
      </c>
      <c r="K1508">
        <v>9</v>
      </c>
      <c r="L1508" t="s">
        <v>30</v>
      </c>
    </row>
    <row r="1509" spans="1:12" x14ac:dyDescent="0.25">
      <c r="A1509">
        <v>1508</v>
      </c>
      <c r="B1509">
        <v>53</v>
      </c>
      <c r="C1509" t="s">
        <v>13</v>
      </c>
      <c r="D1509" t="s">
        <v>15</v>
      </c>
      <c r="E1509">
        <v>6.06</v>
      </c>
      <c r="F1509">
        <v>7.08</v>
      </c>
      <c r="G1509">
        <v>11.71</v>
      </c>
      <c r="H1509" t="s">
        <v>19</v>
      </c>
      <c r="I1509" t="s">
        <v>24</v>
      </c>
      <c r="J1509" t="s">
        <v>26</v>
      </c>
      <c r="K1509">
        <v>20</v>
      </c>
      <c r="L1509" t="s">
        <v>29</v>
      </c>
    </row>
    <row r="1510" spans="1:12" x14ac:dyDescent="0.25">
      <c r="A1510">
        <v>1509</v>
      </c>
      <c r="B1510">
        <v>43</v>
      </c>
      <c r="C1510" t="s">
        <v>13</v>
      </c>
      <c r="D1510" t="s">
        <v>15</v>
      </c>
      <c r="E1510">
        <v>17.48</v>
      </c>
      <c r="F1510">
        <v>2.31</v>
      </c>
      <c r="G1510">
        <v>4.79</v>
      </c>
      <c r="H1510" t="s">
        <v>20</v>
      </c>
      <c r="I1510" t="s">
        <v>22</v>
      </c>
      <c r="J1510" t="s">
        <v>27</v>
      </c>
      <c r="K1510">
        <v>20</v>
      </c>
      <c r="L1510" t="s">
        <v>29</v>
      </c>
    </row>
    <row r="1511" spans="1:12" x14ac:dyDescent="0.25">
      <c r="A1511">
        <v>1510</v>
      </c>
      <c r="B1511">
        <v>60</v>
      </c>
      <c r="C1511" t="s">
        <v>12</v>
      </c>
      <c r="D1511" t="s">
        <v>15</v>
      </c>
      <c r="E1511">
        <v>6.72</v>
      </c>
      <c r="F1511">
        <v>10.16</v>
      </c>
      <c r="G1511">
        <v>8.59</v>
      </c>
      <c r="H1511" t="s">
        <v>20</v>
      </c>
      <c r="I1511" t="s">
        <v>22</v>
      </c>
      <c r="J1511" t="s">
        <v>27</v>
      </c>
      <c r="K1511">
        <v>5</v>
      </c>
      <c r="L1511" t="s">
        <v>29</v>
      </c>
    </row>
    <row r="1512" spans="1:12" x14ac:dyDescent="0.25">
      <c r="A1512">
        <v>1511</v>
      </c>
      <c r="B1512">
        <v>44</v>
      </c>
      <c r="C1512" t="s">
        <v>13</v>
      </c>
      <c r="D1512" t="s">
        <v>16</v>
      </c>
      <c r="E1512">
        <v>35.64</v>
      </c>
      <c r="F1512">
        <v>2.0099999999999998</v>
      </c>
      <c r="G1512">
        <v>5.0199999999999996</v>
      </c>
      <c r="H1512" t="s">
        <v>21</v>
      </c>
      <c r="I1512" t="s">
        <v>24</v>
      </c>
      <c r="J1512" t="s">
        <v>26</v>
      </c>
      <c r="K1512">
        <v>3</v>
      </c>
      <c r="L1512" t="s">
        <v>29</v>
      </c>
    </row>
    <row r="1513" spans="1:12" x14ac:dyDescent="0.25">
      <c r="A1513">
        <v>1512</v>
      </c>
      <c r="B1513">
        <v>22</v>
      </c>
      <c r="C1513" t="s">
        <v>13</v>
      </c>
      <c r="D1513" t="s">
        <v>17</v>
      </c>
      <c r="E1513">
        <v>16.96</v>
      </c>
      <c r="F1513">
        <v>7.73</v>
      </c>
      <c r="G1513">
        <v>14.48</v>
      </c>
      <c r="H1513" t="s">
        <v>21</v>
      </c>
      <c r="I1513" t="s">
        <v>24</v>
      </c>
      <c r="J1513" t="s">
        <v>27</v>
      </c>
      <c r="K1513">
        <v>35</v>
      </c>
      <c r="L1513" t="s">
        <v>30</v>
      </c>
    </row>
    <row r="1514" spans="1:12" x14ac:dyDescent="0.25">
      <c r="A1514">
        <v>1513</v>
      </c>
      <c r="B1514">
        <v>37</v>
      </c>
      <c r="C1514" t="s">
        <v>13</v>
      </c>
      <c r="D1514" t="s">
        <v>17</v>
      </c>
      <c r="E1514">
        <v>24.22</v>
      </c>
      <c r="F1514">
        <v>11.22</v>
      </c>
      <c r="G1514">
        <v>11.83</v>
      </c>
      <c r="H1514" t="s">
        <v>18</v>
      </c>
      <c r="I1514" t="s">
        <v>22</v>
      </c>
      <c r="J1514" t="s">
        <v>26</v>
      </c>
      <c r="K1514">
        <v>9</v>
      </c>
      <c r="L1514" t="s">
        <v>29</v>
      </c>
    </row>
    <row r="1515" spans="1:12" x14ac:dyDescent="0.25">
      <c r="A1515">
        <v>1514</v>
      </c>
      <c r="B1515">
        <v>28</v>
      </c>
      <c r="C1515" t="s">
        <v>13</v>
      </c>
      <c r="D1515" t="s">
        <v>14</v>
      </c>
      <c r="E1515">
        <v>13.75</v>
      </c>
      <c r="F1515">
        <v>4.95</v>
      </c>
      <c r="G1515">
        <v>18.87</v>
      </c>
      <c r="H1515" t="s">
        <v>20</v>
      </c>
      <c r="I1515" t="s">
        <v>23</v>
      </c>
      <c r="J1515" t="s">
        <v>25</v>
      </c>
      <c r="K1515">
        <v>12</v>
      </c>
      <c r="L1515" t="s">
        <v>29</v>
      </c>
    </row>
    <row r="1516" spans="1:12" x14ac:dyDescent="0.25">
      <c r="A1516">
        <v>1515</v>
      </c>
      <c r="B1516">
        <v>79</v>
      </c>
      <c r="C1516" t="s">
        <v>12</v>
      </c>
      <c r="D1516" t="s">
        <v>14</v>
      </c>
      <c r="E1516">
        <v>29.05</v>
      </c>
      <c r="F1516">
        <v>15.23</v>
      </c>
      <c r="G1516">
        <v>3.42</v>
      </c>
      <c r="H1516" t="s">
        <v>19</v>
      </c>
      <c r="I1516" t="s">
        <v>24</v>
      </c>
      <c r="J1516" t="s">
        <v>27</v>
      </c>
      <c r="K1516">
        <v>10</v>
      </c>
      <c r="L1516" t="s">
        <v>29</v>
      </c>
    </row>
    <row r="1517" spans="1:12" x14ac:dyDescent="0.25">
      <c r="A1517">
        <v>1516</v>
      </c>
      <c r="B1517">
        <v>27</v>
      </c>
      <c r="C1517" t="s">
        <v>12</v>
      </c>
      <c r="D1517" t="s">
        <v>14</v>
      </c>
      <c r="E1517">
        <v>10.91</v>
      </c>
      <c r="F1517">
        <v>8.33</v>
      </c>
      <c r="G1517">
        <v>20.239999999999998</v>
      </c>
      <c r="H1517" t="s">
        <v>20</v>
      </c>
      <c r="I1517" t="s">
        <v>22</v>
      </c>
      <c r="J1517" t="s">
        <v>26</v>
      </c>
      <c r="K1517">
        <v>34</v>
      </c>
      <c r="L1517" t="s">
        <v>29</v>
      </c>
    </row>
    <row r="1518" spans="1:12" x14ac:dyDescent="0.25">
      <c r="A1518">
        <v>1517</v>
      </c>
      <c r="B1518">
        <v>57</v>
      </c>
      <c r="C1518" t="s">
        <v>13</v>
      </c>
      <c r="D1518" t="s">
        <v>15</v>
      </c>
      <c r="E1518">
        <v>20.99</v>
      </c>
      <c r="F1518">
        <v>15.57</v>
      </c>
      <c r="G1518">
        <v>0.97</v>
      </c>
      <c r="H1518" t="s">
        <v>21</v>
      </c>
      <c r="I1518" t="s">
        <v>23</v>
      </c>
      <c r="J1518" t="s">
        <v>26</v>
      </c>
      <c r="K1518">
        <v>25</v>
      </c>
      <c r="L1518" t="s">
        <v>29</v>
      </c>
    </row>
    <row r="1519" spans="1:12" x14ac:dyDescent="0.25">
      <c r="A1519">
        <v>1518</v>
      </c>
      <c r="B1519">
        <v>55</v>
      </c>
      <c r="C1519" t="s">
        <v>12</v>
      </c>
      <c r="D1519" t="s">
        <v>16</v>
      </c>
      <c r="E1519">
        <v>13.39</v>
      </c>
      <c r="F1519">
        <v>9.89</v>
      </c>
      <c r="G1519">
        <v>4.21</v>
      </c>
      <c r="H1519" t="s">
        <v>20</v>
      </c>
      <c r="I1519" t="s">
        <v>22</v>
      </c>
      <c r="J1519" t="s">
        <v>27</v>
      </c>
      <c r="K1519">
        <v>19</v>
      </c>
      <c r="L1519" t="s">
        <v>29</v>
      </c>
    </row>
    <row r="1520" spans="1:12" x14ac:dyDescent="0.25">
      <c r="A1520">
        <v>1519</v>
      </c>
      <c r="B1520">
        <v>23</v>
      </c>
      <c r="C1520" t="s">
        <v>13</v>
      </c>
      <c r="D1520" t="s">
        <v>15</v>
      </c>
      <c r="E1520">
        <v>14.85</v>
      </c>
      <c r="F1520">
        <v>8.5500000000000007</v>
      </c>
      <c r="G1520">
        <v>3.92</v>
      </c>
      <c r="H1520" t="s">
        <v>18</v>
      </c>
      <c r="I1520" t="s">
        <v>23</v>
      </c>
      <c r="J1520" t="s">
        <v>26</v>
      </c>
      <c r="K1520">
        <v>16</v>
      </c>
      <c r="L1520" t="s">
        <v>29</v>
      </c>
    </row>
    <row r="1521" spans="1:12" x14ac:dyDescent="0.25">
      <c r="A1521">
        <v>1520</v>
      </c>
      <c r="B1521">
        <v>25</v>
      </c>
      <c r="C1521" t="s">
        <v>13</v>
      </c>
      <c r="D1521" t="s">
        <v>15</v>
      </c>
      <c r="E1521">
        <v>31.44</v>
      </c>
      <c r="F1521">
        <v>4.9800000000000004</v>
      </c>
      <c r="G1521">
        <v>10.8</v>
      </c>
      <c r="H1521" t="s">
        <v>19</v>
      </c>
      <c r="I1521" t="s">
        <v>24</v>
      </c>
      <c r="J1521" t="s">
        <v>26</v>
      </c>
      <c r="K1521">
        <v>19</v>
      </c>
      <c r="L1521" t="s">
        <v>30</v>
      </c>
    </row>
    <row r="1522" spans="1:12" x14ac:dyDescent="0.25">
      <c r="A1522">
        <v>1521</v>
      </c>
      <c r="B1522">
        <v>40</v>
      </c>
      <c r="C1522" t="s">
        <v>12</v>
      </c>
      <c r="D1522" t="s">
        <v>15</v>
      </c>
      <c r="E1522">
        <v>9.8699999999999992</v>
      </c>
      <c r="F1522">
        <v>10.27</v>
      </c>
      <c r="G1522">
        <v>6.15</v>
      </c>
      <c r="H1522" t="s">
        <v>20</v>
      </c>
      <c r="I1522" t="s">
        <v>22</v>
      </c>
      <c r="J1522" t="s">
        <v>26</v>
      </c>
      <c r="K1522">
        <v>27</v>
      </c>
      <c r="L1522" t="s">
        <v>30</v>
      </c>
    </row>
    <row r="1523" spans="1:12" x14ac:dyDescent="0.25">
      <c r="A1523">
        <v>1522</v>
      </c>
      <c r="B1523">
        <v>64</v>
      </c>
      <c r="C1523" t="s">
        <v>12</v>
      </c>
      <c r="D1523" t="s">
        <v>15</v>
      </c>
      <c r="E1523">
        <v>21.93</v>
      </c>
      <c r="F1523">
        <v>11.29</v>
      </c>
      <c r="G1523">
        <v>9.59</v>
      </c>
      <c r="H1523" t="s">
        <v>19</v>
      </c>
      <c r="I1523" t="s">
        <v>24</v>
      </c>
      <c r="J1523" t="s">
        <v>27</v>
      </c>
      <c r="K1523">
        <v>23</v>
      </c>
      <c r="L1523" t="s">
        <v>29</v>
      </c>
    </row>
    <row r="1524" spans="1:12" x14ac:dyDescent="0.25">
      <c r="A1524">
        <v>1523</v>
      </c>
      <c r="B1524">
        <v>43</v>
      </c>
      <c r="C1524" t="s">
        <v>12</v>
      </c>
      <c r="D1524" t="s">
        <v>17</v>
      </c>
      <c r="E1524">
        <v>38.24</v>
      </c>
      <c r="F1524">
        <v>13.09</v>
      </c>
      <c r="G1524">
        <v>3.78</v>
      </c>
      <c r="H1524" t="s">
        <v>19</v>
      </c>
      <c r="I1524" t="s">
        <v>24</v>
      </c>
      <c r="J1524" t="s">
        <v>27</v>
      </c>
      <c r="K1524">
        <v>8</v>
      </c>
      <c r="L1524" t="s">
        <v>29</v>
      </c>
    </row>
    <row r="1525" spans="1:12" x14ac:dyDescent="0.25">
      <c r="A1525">
        <v>1524</v>
      </c>
      <c r="B1525">
        <v>63</v>
      </c>
      <c r="C1525" t="s">
        <v>13</v>
      </c>
      <c r="D1525" t="s">
        <v>14</v>
      </c>
      <c r="E1525">
        <v>30.73</v>
      </c>
      <c r="F1525">
        <v>12.19</v>
      </c>
      <c r="G1525">
        <v>11.04</v>
      </c>
      <c r="H1525" t="s">
        <v>21</v>
      </c>
      <c r="I1525" t="s">
        <v>24</v>
      </c>
      <c r="J1525" t="s">
        <v>26</v>
      </c>
      <c r="K1525">
        <v>22</v>
      </c>
      <c r="L1525" t="s">
        <v>29</v>
      </c>
    </row>
    <row r="1526" spans="1:12" x14ac:dyDescent="0.25">
      <c r="A1526">
        <v>1525</v>
      </c>
      <c r="B1526">
        <v>60</v>
      </c>
      <c r="C1526" t="s">
        <v>12</v>
      </c>
      <c r="D1526" t="s">
        <v>15</v>
      </c>
      <c r="E1526">
        <v>11.14</v>
      </c>
      <c r="F1526">
        <v>2.99</v>
      </c>
      <c r="G1526">
        <v>4.59</v>
      </c>
      <c r="H1526" t="s">
        <v>20</v>
      </c>
      <c r="I1526" t="s">
        <v>22</v>
      </c>
      <c r="J1526" t="s">
        <v>27</v>
      </c>
      <c r="K1526">
        <v>22</v>
      </c>
      <c r="L1526" t="s">
        <v>29</v>
      </c>
    </row>
    <row r="1527" spans="1:12" x14ac:dyDescent="0.25">
      <c r="A1527">
        <v>1526</v>
      </c>
      <c r="B1527">
        <v>29</v>
      </c>
      <c r="C1527" t="s">
        <v>13</v>
      </c>
      <c r="D1527" t="s">
        <v>16</v>
      </c>
      <c r="E1527">
        <v>23.88</v>
      </c>
      <c r="F1527">
        <v>19.940000000000001</v>
      </c>
      <c r="G1527">
        <v>11.33</v>
      </c>
      <c r="H1527" t="s">
        <v>19</v>
      </c>
      <c r="I1527" t="s">
        <v>24</v>
      </c>
      <c r="J1527" t="s">
        <v>26</v>
      </c>
      <c r="K1527">
        <v>28</v>
      </c>
      <c r="L1527" t="s">
        <v>30</v>
      </c>
    </row>
    <row r="1528" spans="1:12" x14ac:dyDescent="0.25">
      <c r="A1528">
        <v>1527</v>
      </c>
      <c r="B1528">
        <v>43</v>
      </c>
      <c r="C1528" t="s">
        <v>12</v>
      </c>
      <c r="D1528" t="s">
        <v>17</v>
      </c>
      <c r="E1528">
        <v>4.0599999999999996</v>
      </c>
      <c r="F1528">
        <v>13.43</v>
      </c>
      <c r="G1528">
        <v>9.49</v>
      </c>
      <c r="H1528" t="s">
        <v>21</v>
      </c>
      <c r="I1528" t="s">
        <v>23</v>
      </c>
      <c r="J1528" t="s">
        <v>28</v>
      </c>
      <c r="K1528">
        <v>34</v>
      </c>
      <c r="L1528" t="s">
        <v>29</v>
      </c>
    </row>
    <row r="1529" spans="1:12" x14ac:dyDescent="0.25">
      <c r="A1529">
        <v>1528</v>
      </c>
      <c r="B1529">
        <v>30</v>
      </c>
      <c r="C1529" t="s">
        <v>12</v>
      </c>
      <c r="D1529" t="s">
        <v>15</v>
      </c>
      <c r="E1529">
        <v>32.090000000000003</v>
      </c>
      <c r="F1529">
        <v>10.48</v>
      </c>
      <c r="G1529">
        <v>3.17</v>
      </c>
      <c r="H1529" t="s">
        <v>18</v>
      </c>
      <c r="I1529" t="s">
        <v>23</v>
      </c>
      <c r="J1529" t="s">
        <v>25</v>
      </c>
      <c r="K1529">
        <v>10</v>
      </c>
      <c r="L1529" t="s">
        <v>29</v>
      </c>
    </row>
    <row r="1530" spans="1:12" x14ac:dyDescent="0.25">
      <c r="A1530">
        <v>1529</v>
      </c>
      <c r="B1530">
        <v>57</v>
      </c>
      <c r="C1530" t="s">
        <v>13</v>
      </c>
      <c r="D1530" t="s">
        <v>17</v>
      </c>
      <c r="E1530">
        <v>70.650000000000006</v>
      </c>
      <c r="F1530">
        <v>12.99</v>
      </c>
      <c r="G1530">
        <v>2</v>
      </c>
      <c r="H1530" t="s">
        <v>18</v>
      </c>
      <c r="I1530" t="s">
        <v>24</v>
      </c>
      <c r="J1530" t="s">
        <v>26</v>
      </c>
      <c r="K1530">
        <v>31</v>
      </c>
      <c r="L1530" t="s">
        <v>30</v>
      </c>
    </row>
    <row r="1531" spans="1:12" x14ac:dyDescent="0.25">
      <c r="A1531">
        <v>1530</v>
      </c>
      <c r="B1531">
        <v>79</v>
      </c>
      <c r="C1531" t="s">
        <v>13</v>
      </c>
      <c r="D1531" t="s">
        <v>15</v>
      </c>
      <c r="E1531">
        <v>21.14</v>
      </c>
      <c r="F1531">
        <v>14.8</v>
      </c>
      <c r="G1531">
        <v>10.25</v>
      </c>
      <c r="H1531" t="s">
        <v>20</v>
      </c>
      <c r="I1531" t="s">
        <v>22</v>
      </c>
      <c r="J1531" t="s">
        <v>26</v>
      </c>
      <c r="K1531">
        <v>19</v>
      </c>
      <c r="L1531" t="s">
        <v>29</v>
      </c>
    </row>
    <row r="1532" spans="1:12" x14ac:dyDescent="0.25">
      <c r="A1532">
        <v>1531</v>
      </c>
      <c r="B1532">
        <v>35</v>
      </c>
      <c r="C1532" t="s">
        <v>13</v>
      </c>
      <c r="D1532" t="s">
        <v>17</v>
      </c>
      <c r="E1532">
        <v>39.39</v>
      </c>
      <c r="F1532">
        <v>33.75</v>
      </c>
      <c r="G1532">
        <v>10.99</v>
      </c>
      <c r="H1532" t="s">
        <v>19</v>
      </c>
      <c r="I1532" t="s">
        <v>23</v>
      </c>
      <c r="J1532" t="s">
        <v>26</v>
      </c>
      <c r="K1532">
        <v>20</v>
      </c>
      <c r="L1532" t="s">
        <v>29</v>
      </c>
    </row>
    <row r="1533" spans="1:12" x14ac:dyDescent="0.25">
      <c r="A1533">
        <v>1532</v>
      </c>
      <c r="B1533">
        <v>42</v>
      </c>
      <c r="C1533" t="s">
        <v>13</v>
      </c>
      <c r="D1533" t="s">
        <v>17</v>
      </c>
      <c r="E1533">
        <v>5.83</v>
      </c>
      <c r="F1533">
        <v>6.34</v>
      </c>
      <c r="G1533">
        <v>12.54</v>
      </c>
      <c r="H1533" t="s">
        <v>20</v>
      </c>
      <c r="I1533" t="s">
        <v>23</v>
      </c>
      <c r="J1533" t="s">
        <v>26</v>
      </c>
      <c r="K1533">
        <v>20</v>
      </c>
      <c r="L1533" t="s">
        <v>29</v>
      </c>
    </row>
    <row r="1534" spans="1:12" x14ac:dyDescent="0.25">
      <c r="A1534">
        <v>1533</v>
      </c>
      <c r="B1534">
        <v>50</v>
      </c>
      <c r="C1534" t="s">
        <v>13</v>
      </c>
      <c r="D1534" t="s">
        <v>15</v>
      </c>
      <c r="E1534">
        <v>8</v>
      </c>
      <c r="F1534">
        <v>6.49</v>
      </c>
      <c r="G1534">
        <v>2.1</v>
      </c>
      <c r="H1534" t="s">
        <v>19</v>
      </c>
      <c r="I1534" t="s">
        <v>23</v>
      </c>
      <c r="J1534" t="s">
        <v>25</v>
      </c>
      <c r="K1534">
        <v>13</v>
      </c>
      <c r="L1534" t="s">
        <v>30</v>
      </c>
    </row>
    <row r="1535" spans="1:12" x14ac:dyDescent="0.25">
      <c r="A1535">
        <v>1534</v>
      </c>
      <c r="B1535">
        <v>64</v>
      </c>
      <c r="C1535" t="s">
        <v>13</v>
      </c>
      <c r="D1535" t="s">
        <v>15</v>
      </c>
      <c r="E1535">
        <v>13.72</v>
      </c>
      <c r="F1535">
        <v>3.87</v>
      </c>
      <c r="G1535">
        <v>21.25</v>
      </c>
      <c r="H1535" t="s">
        <v>21</v>
      </c>
      <c r="I1535" t="s">
        <v>22</v>
      </c>
      <c r="J1535" t="s">
        <v>26</v>
      </c>
      <c r="K1535">
        <v>14</v>
      </c>
      <c r="L1535" t="s">
        <v>29</v>
      </c>
    </row>
    <row r="1536" spans="1:12" x14ac:dyDescent="0.25">
      <c r="A1536">
        <v>1535</v>
      </c>
      <c r="B1536">
        <v>57</v>
      </c>
      <c r="C1536" t="s">
        <v>13</v>
      </c>
      <c r="D1536" t="s">
        <v>17</v>
      </c>
      <c r="E1536">
        <v>15.54</v>
      </c>
      <c r="F1536">
        <v>1.42</v>
      </c>
      <c r="G1536">
        <v>9.25</v>
      </c>
      <c r="H1536" t="s">
        <v>18</v>
      </c>
      <c r="I1536" t="s">
        <v>22</v>
      </c>
      <c r="J1536" t="s">
        <v>28</v>
      </c>
      <c r="K1536">
        <v>17</v>
      </c>
      <c r="L1536" t="s">
        <v>29</v>
      </c>
    </row>
    <row r="1537" spans="1:12" x14ac:dyDescent="0.25">
      <c r="A1537">
        <v>1536</v>
      </c>
      <c r="B1537">
        <v>77</v>
      </c>
      <c r="C1537" t="s">
        <v>13</v>
      </c>
      <c r="D1537" t="s">
        <v>14</v>
      </c>
      <c r="E1537">
        <v>21.22</v>
      </c>
      <c r="F1537">
        <v>13.68</v>
      </c>
      <c r="G1537">
        <v>10.61</v>
      </c>
      <c r="H1537" t="s">
        <v>18</v>
      </c>
      <c r="I1537" t="s">
        <v>23</v>
      </c>
      <c r="J1537" t="s">
        <v>25</v>
      </c>
      <c r="K1537">
        <v>28</v>
      </c>
      <c r="L1537" t="s">
        <v>29</v>
      </c>
    </row>
    <row r="1538" spans="1:12" x14ac:dyDescent="0.25">
      <c r="A1538">
        <v>1537</v>
      </c>
      <c r="B1538">
        <v>60</v>
      </c>
      <c r="C1538" t="s">
        <v>12</v>
      </c>
      <c r="D1538" t="s">
        <v>15</v>
      </c>
      <c r="E1538">
        <v>11.18</v>
      </c>
      <c r="F1538">
        <v>34.65</v>
      </c>
      <c r="G1538">
        <v>1.35</v>
      </c>
      <c r="H1538" t="s">
        <v>18</v>
      </c>
      <c r="I1538" t="s">
        <v>24</v>
      </c>
      <c r="J1538" t="s">
        <v>25</v>
      </c>
      <c r="K1538">
        <v>5</v>
      </c>
      <c r="L1538" t="s">
        <v>29</v>
      </c>
    </row>
    <row r="1539" spans="1:12" x14ac:dyDescent="0.25">
      <c r="A1539">
        <v>1538</v>
      </c>
      <c r="B1539">
        <v>29</v>
      </c>
      <c r="C1539" t="s">
        <v>13</v>
      </c>
      <c r="D1539" t="s">
        <v>16</v>
      </c>
      <c r="E1539">
        <v>19.03</v>
      </c>
      <c r="F1539">
        <v>8.0399999999999991</v>
      </c>
      <c r="G1539">
        <v>2.44</v>
      </c>
      <c r="H1539" t="s">
        <v>18</v>
      </c>
      <c r="I1539" t="s">
        <v>23</v>
      </c>
      <c r="J1539" t="s">
        <v>26</v>
      </c>
      <c r="K1539">
        <v>5</v>
      </c>
      <c r="L1539" t="s">
        <v>29</v>
      </c>
    </row>
    <row r="1540" spans="1:12" x14ac:dyDescent="0.25">
      <c r="A1540">
        <v>1539</v>
      </c>
      <c r="B1540">
        <v>61</v>
      </c>
      <c r="C1540" t="s">
        <v>13</v>
      </c>
      <c r="D1540" t="s">
        <v>16</v>
      </c>
      <c r="E1540">
        <v>31.4</v>
      </c>
      <c r="F1540">
        <v>22.92</v>
      </c>
      <c r="G1540">
        <v>13.56</v>
      </c>
      <c r="H1540" t="s">
        <v>20</v>
      </c>
      <c r="I1540" t="s">
        <v>22</v>
      </c>
      <c r="J1540" t="s">
        <v>27</v>
      </c>
      <c r="K1540">
        <v>11</v>
      </c>
      <c r="L1540" t="s">
        <v>29</v>
      </c>
    </row>
    <row r="1541" spans="1:12" x14ac:dyDescent="0.25">
      <c r="A1541">
        <v>1540</v>
      </c>
      <c r="B1541">
        <v>53</v>
      </c>
      <c r="C1541" t="s">
        <v>12</v>
      </c>
      <c r="D1541" t="s">
        <v>14</v>
      </c>
      <c r="E1541">
        <v>23.83</v>
      </c>
      <c r="F1541">
        <v>8.14</v>
      </c>
      <c r="G1541">
        <v>12.03</v>
      </c>
      <c r="H1541" t="s">
        <v>19</v>
      </c>
      <c r="I1541" t="s">
        <v>22</v>
      </c>
      <c r="J1541" t="s">
        <v>25</v>
      </c>
      <c r="K1541">
        <v>6</v>
      </c>
      <c r="L1541" t="s">
        <v>29</v>
      </c>
    </row>
    <row r="1542" spans="1:12" x14ac:dyDescent="0.25">
      <c r="A1542">
        <v>1541</v>
      </c>
      <c r="B1542">
        <v>65</v>
      </c>
      <c r="C1542" t="s">
        <v>13</v>
      </c>
      <c r="D1542" t="s">
        <v>14</v>
      </c>
      <c r="E1542">
        <v>13.41</v>
      </c>
      <c r="F1542">
        <v>22.19</v>
      </c>
      <c r="G1542">
        <v>7.45</v>
      </c>
      <c r="H1542" t="s">
        <v>20</v>
      </c>
      <c r="I1542" t="s">
        <v>22</v>
      </c>
      <c r="J1542" t="s">
        <v>27</v>
      </c>
      <c r="K1542">
        <v>22</v>
      </c>
      <c r="L1542" t="s">
        <v>29</v>
      </c>
    </row>
    <row r="1543" spans="1:12" x14ac:dyDescent="0.25">
      <c r="A1543">
        <v>1542</v>
      </c>
      <c r="B1543">
        <v>21</v>
      </c>
      <c r="C1543" t="s">
        <v>12</v>
      </c>
      <c r="D1543" t="s">
        <v>17</v>
      </c>
      <c r="E1543">
        <v>27.62</v>
      </c>
      <c r="F1543">
        <v>12.92</v>
      </c>
      <c r="G1543">
        <v>15.36</v>
      </c>
      <c r="H1543" t="s">
        <v>21</v>
      </c>
      <c r="I1543" t="s">
        <v>23</v>
      </c>
      <c r="J1543" t="s">
        <v>28</v>
      </c>
      <c r="K1543">
        <v>17</v>
      </c>
      <c r="L1543" t="s">
        <v>29</v>
      </c>
    </row>
    <row r="1544" spans="1:12" x14ac:dyDescent="0.25">
      <c r="A1544">
        <v>1543</v>
      </c>
      <c r="B1544">
        <v>22</v>
      </c>
      <c r="C1544" t="s">
        <v>12</v>
      </c>
      <c r="D1544" t="s">
        <v>16</v>
      </c>
      <c r="E1544">
        <v>13</v>
      </c>
      <c r="F1544">
        <v>10.34</v>
      </c>
      <c r="G1544">
        <v>7.5</v>
      </c>
      <c r="H1544" t="s">
        <v>18</v>
      </c>
      <c r="I1544" t="s">
        <v>23</v>
      </c>
      <c r="J1544" t="s">
        <v>26</v>
      </c>
      <c r="K1544">
        <v>31</v>
      </c>
      <c r="L1544" t="s">
        <v>29</v>
      </c>
    </row>
    <row r="1545" spans="1:12" x14ac:dyDescent="0.25">
      <c r="A1545">
        <v>1544</v>
      </c>
      <c r="B1545">
        <v>73</v>
      </c>
      <c r="C1545" t="s">
        <v>13</v>
      </c>
      <c r="D1545" t="s">
        <v>14</v>
      </c>
      <c r="E1545">
        <v>18.350000000000001</v>
      </c>
      <c r="F1545">
        <v>6.4</v>
      </c>
      <c r="G1545">
        <v>8.5</v>
      </c>
      <c r="H1545" t="s">
        <v>19</v>
      </c>
      <c r="I1545" t="s">
        <v>24</v>
      </c>
      <c r="J1545" t="s">
        <v>26</v>
      </c>
      <c r="K1545">
        <v>7</v>
      </c>
      <c r="L1545" t="s">
        <v>30</v>
      </c>
    </row>
    <row r="1546" spans="1:12" x14ac:dyDescent="0.25">
      <c r="A1546">
        <v>1545</v>
      </c>
      <c r="B1546">
        <v>54</v>
      </c>
      <c r="C1546" t="s">
        <v>12</v>
      </c>
      <c r="D1546" t="s">
        <v>17</v>
      </c>
      <c r="E1546">
        <v>30.41</v>
      </c>
      <c r="F1546">
        <v>10.73</v>
      </c>
      <c r="G1546">
        <v>19.02</v>
      </c>
      <c r="H1546" t="s">
        <v>20</v>
      </c>
      <c r="I1546" t="s">
        <v>23</v>
      </c>
      <c r="J1546" t="s">
        <v>27</v>
      </c>
      <c r="K1546">
        <v>9</v>
      </c>
      <c r="L1546" t="s">
        <v>29</v>
      </c>
    </row>
    <row r="1547" spans="1:12" x14ac:dyDescent="0.25">
      <c r="A1547">
        <v>1546</v>
      </c>
      <c r="B1547">
        <v>25</v>
      </c>
      <c r="C1547" t="s">
        <v>13</v>
      </c>
      <c r="D1547" t="s">
        <v>15</v>
      </c>
      <c r="E1547">
        <v>15.26</v>
      </c>
      <c r="F1547">
        <v>18.350000000000001</v>
      </c>
      <c r="G1547">
        <v>2.4700000000000002</v>
      </c>
      <c r="H1547" t="s">
        <v>19</v>
      </c>
      <c r="I1547" t="s">
        <v>24</v>
      </c>
      <c r="J1547" t="s">
        <v>27</v>
      </c>
      <c r="K1547">
        <v>10</v>
      </c>
      <c r="L1547" t="s">
        <v>29</v>
      </c>
    </row>
    <row r="1548" spans="1:12" x14ac:dyDescent="0.25">
      <c r="A1548">
        <v>1547</v>
      </c>
      <c r="B1548">
        <v>59</v>
      </c>
      <c r="C1548" t="s">
        <v>12</v>
      </c>
      <c r="D1548" t="s">
        <v>15</v>
      </c>
      <c r="E1548">
        <v>6.64</v>
      </c>
      <c r="F1548">
        <v>5.73</v>
      </c>
      <c r="G1548">
        <v>8.31</v>
      </c>
      <c r="H1548" t="s">
        <v>20</v>
      </c>
      <c r="I1548" t="s">
        <v>22</v>
      </c>
      <c r="J1548" t="s">
        <v>25</v>
      </c>
      <c r="K1548">
        <v>34</v>
      </c>
      <c r="L1548" t="s">
        <v>29</v>
      </c>
    </row>
    <row r="1549" spans="1:12" x14ac:dyDescent="0.25">
      <c r="A1549">
        <v>1548</v>
      </c>
      <c r="B1549">
        <v>66</v>
      </c>
      <c r="C1549" t="s">
        <v>12</v>
      </c>
      <c r="D1549" t="s">
        <v>14</v>
      </c>
      <c r="E1549">
        <v>18.010000000000002</v>
      </c>
      <c r="F1549">
        <v>9.52</v>
      </c>
      <c r="G1549">
        <v>17.100000000000001</v>
      </c>
      <c r="H1549" t="s">
        <v>19</v>
      </c>
      <c r="I1549" t="s">
        <v>23</v>
      </c>
      <c r="J1549" t="s">
        <v>26</v>
      </c>
      <c r="K1549">
        <v>35</v>
      </c>
      <c r="L1549" t="s">
        <v>29</v>
      </c>
    </row>
    <row r="1550" spans="1:12" x14ac:dyDescent="0.25">
      <c r="A1550">
        <v>1549</v>
      </c>
      <c r="B1550">
        <v>45</v>
      </c>
      <c r="C1550" t="s">
        <v>12</v>
      </c>
      <c r="D1550" t="s">
        <v>14</v>
      </c>
      <c r="E1550">
        <v>30.58</v>
      </c>
      <c r="F1550">
        <v>11.77</v>
      </c>
      <c r="G1550">
        <v>26.52</v>
      </c>
      <c r="H1550" t="s">
        <v>19</v>
      </c>
      <c r="I1550" t="s">
        <v>22</v>
      </c>
      <c r="J1550" t="s">
        <v>25</v>
      </c>
      <c r="K1550">
        <v>34</v>
      </c>
      <c r="L1550" t="s">
        <v>30</v>
      </c>
    </row>
    <row r="1551" spans="1:12" x14ac:dyDescent="0.25">
      <c r="A1551">
        <v>1550</v>
      </c>
      <c r="B1551">
        <v>48</v>
      </c>
      <c r="C1551" t="s">
        <v>13</v>
      </c>
      <c r="D1551" t="s">
        <v>15</v>
      </c>
      <c r="E1551">
        <v>32.31</v>
      </c>
      <c r="F1551">
        <v>17.920000000000002</v>
      </c>
      <c r="G1551">
        <v>6.1</v>
      </c>
      <c r="H1551" t="s">
        <v>18</v>
      </c>
      <c r="I1551" t="s">
        <v>23</v>
      </c>
      <c r="J1551" t="s">
        <v>26</v>
      </c>
      <c r="K1551">
        <v>27</v>
      </c>
      <c r="L1551" t="s">
        <v>30</v>
      </c>
    </row>
    <row r="1552" spans="1:12" x14ac:dyDescent="0.25">
      <c r="A1552">
        <v>1551</v>
      </c>
      <c r="B1552">
        <v>75</v>
      </c>
      <c r="C1552" t="s">
        <v>13</v>
      </c>
      <c r="D1552" t="s">
        <v>17</v>
      </c>
      <c r="E1552">
        <v>7.74</v>
      </c>
      <c r="F1552">
        <v>10.97</v>
      </c>
      <c r="G1552">
        <v>14.76</v>
      </c>
      <c r="H1552" t="s">
        <v>20</v>
      </c>
      <c r="I1552" t="s">
        <v>22</v>
      </c>
      <c r="J1552" t="s">
        <v>26</v>
      </c>
      <c r="K1552">
        <v>34</v>
      </c>
      <c r="L1552" t="s">
        <v>30</v>
      </c>
    </row>
    <row r="1553" spans="1:12" x14ac:dyDescent="0.25">
      <c r="A1553">
        <v>1552</v>
      </c>
      <c r="B1553">
        <v>26</v>
      </c>
      <c r="C1553" t="s">
        <v>12</v>
      </c>
      <c r="D1553" t="s">
        <v>17</v>
      </c>
      <c r="E1553">
        <v>26.93</v>
      </c>
      <c r="F1553">
        <v>8.1999999999999993</v>
      </c>
      <c r="G1553">
        <v>19.14</v>
      </c>
      <c r="H1553" t="s">
        <v>21</v>
      </c>
      <c r="I1553" t="s">
        <v>24</v>
      </c>
      <c r="J1553" t="s">
        <v>26</v>
      </c>
      <c r="K1553">
        <v>4</v>
      </c>
      <c r="L1553" t="s">
        <v>30</v>
      </c>
    </row>
    <row r="1554" spans="1:12" x14ac:dyDescent="0.25">
      <c r="A1554">
        <v>1553</v>
      </c>
      <c r="B1554">
        <v>71</v>
      </c>
      <c r="C1554" t="s">
        <v>12</v>
      </c>
      <c r="D1554" t="s">
        <v>15</v>
      </c>
      <c r="E1554">
        <v>14.64</v>
      </c>
      <c r="F1554">
        <v>12.34</v>
      </c>
      <c r="G1554">
        <v>14.79</v>
      </c>
      <c r="H1554" t="s">
        <v>19</v>
      </c>
      <c r="I1554" t="s">
        <v>23</v>
      </c>
      <c r="J1554" t="s">
        <v>26</v>
      </c>
      <c r="K1554">
        <v>11</v>
      </c>
      <c r="L1554" t="s">
        <v>30</v>
      </c>
    </row>
    <row r="1555" spans="1:12" x14ac:dyDescent="0.25">
      <c r="A1555">
        <v>1554</v>
      </c>
      <c r="B1555">
        <v>68</v>
      </c>
      <c r="C1555" t="s">
        <v>13</v>
      </c>
      <c r="D1555" t="s">
        <v>14</v>
      </c>
      <c r="E1555">
        <v>40.98</v>
      </c>
      <c r="F1555">
        <v>21.83</v>
      </c>
      <c r="G1555">
        <v>18.579999999999998</v>
      </c>
      <c r="H1555" t="s">
        <v>21</v>
      </c>
      <c r="I1555" t="s">
        <v>22</v>
      </c>
      <c r="J1555" t="s">
        <v>26</v>
      </c>
      <c r="K1555">
        <v>31</v>
      </c>
      <c r="L1555" t="s">
        <v>29</v>
      </c>
    </row>
    <row r="1556" spans="1:12" x14ac:dyDescent="0.25">
      <c r="A1556">
        <v>1555</v>
      </c>
      <c r="B1556">
        <v>46</v>
      </c>
      <c r="C1556" t="s">
        <v>13</v>
      </c>
      <c r="D1556" t="s">
        <v>15</v>
      </c>
      <c r="E1556">
        <v>6.75</v>
      </c>
      <c r="F1556">
        <v>13.96</v>
      </c>
      <c r="G1556">
        <v>2.76</v>
      </c>
      <c r="H1556" t="s">
        <v>18</v>
      </c>
      <c r="I1556" t="s">
        <v>23</v>
      </c>
      <c r="J1556" t="s">
        <v>28</v>
      </c>
      <c r="K1556">
        <v>20</v>
      </c>
      <c r="L1556" t="s">
        <v>29</v>
      </c>
    </row>
    <row r="1557" spans="1:12" x14ac:dyDescent="0.25">
      <c r="A1557">
        <v>1556</v>
      </c>
      <c r="B1557">
        <v>31</v>
      </c>
      <c r="C1557" t="s">
        <v>12</v>
      </c>
      <c r="D1557" t="s">
        <v>15</v>
      </c>
      <c r="E1557">
        <v>26.62</v>
      </c>
      <c r="F1557">
        <v>9.7100000000000009</v>
      </c>
      <c r="G1557">
        <v>11.68</v>
      </c>
      <c r="H1557" t="s">
        <v>21</v>
      </c>
      <c r="I1557" t="s">
        <v>22</v>
      </c>
      <c r="J1557" t="s">
        <v>27</v>
      </c>
      <c r="K1557">
        <v>24</v>
      </c>
      <c r="L1557" t="s">
        <v>30</v>
      </c>
    </row>
    <row r="1558" spans="1:12" x14ac:dyDescent="0.25">
      <c r="A1558">
        <v>1557</v>
      </c>
      <c r="B1558">
        <v>57</v>
      </c>
      <c r="C1558" t="s">
        <v>12</v>
      </c>
      <c r="D1558" t="s">
        <v>17</v>
      </c>
      <c r="E1558">
        <v>13.56</v>
      </c>
      <c r="F1558">
        <v>10.59</v>
      </c>
      <c r="G1558">
        <v>7.85</v>
      </c>
      <c r="H1558" t="s">
        <v>19</v>
      </c>
      <c r="I1558" t="s">
        <v>23</v>
      </c>
      <c r="J1558" t="s">
        <v>27</v>
      </c>
      <c r="K1558">
        <v>17</v>
      </c>
      <c r="L1558" t="s">
        <v>29</v>
      </c>
    </row>
    <row r="1559" spans="1:12" x14ac:dyDescent="0.25">
      <c r="A1559">
        <v>1558</v>
      </c>
      <c r="B1559">
        <v>58</v>
      </c>
      <c r="C1559" t="s">
        <v>13</v>
      </c>
      <c r="D1559" t="s">
        <v>16</v>
      </c>
      <c r="E1559">
        <v>11.31</v>
      </c>
      <c r="F1559">
        <v>4.08</v>
      </c>
      <c r="G1559">
        <v>12.55</v>
      </c>
      <c r="H1559" t="s">
        <v>19</v>
      </c>
      <c r="I1559" t="s">
        <v>22</v>
      </c>
      <c r="J1559" t="s">
        <v>27</v>
      </c>
      <c r="K1559">
        <v>9</v>
      </c>
      <c r="L1559" t="s">
        <v>29</v>
      </c>
    </row>
    <row r="1560" spans="1:12" x14ac:dyDescent="0.25">
      <c r="A1560">
        <v>1559</v>
      </c>
      <c r="B1560">
        <v>39</v>
      </c>
      <c r="C1560" t="s">
        <v>13</v>
      </c>
      <c r="D1560" t="s">
        <v>15</v>
      </c>
      <c r="E1560">
        <v>31.25</v>
      </c>
      <c r="F1560">
        <v>16.899999999999999</v>
      </c>
      <c r="G1560">
        <v>15.87</v>
      </c>
      <c r="H1560" t="s">
        <v>19</v>
      </c>
      <c r="I1560" t="s">
        <v>24</v>
      </c>
      <c r="J1560" t="s">
        <v>26</v>
      </c>
      <c r="K1560">
        <v>15</v>
      </c>
      <c r="L1560" t="s">
        <v>29</v>
      </c>
    </row>
    <row r="1561" spans="1:12" x14ac:dyDescent="0.25">
      <c r="A1561">
        <v>1560</v>
      </c>
      <c r="B1561">
        <v>28</v>
      </c>
      <c r="C1561" t="s">
        <v>13</v>
      </c>
      <c r="D1561" t="s">
        <v>16</v>
      </c>
      <c r="E1561">
        <v>34.29</v>
      </c>
      <c r="F1561">
        <v>3.07</v>
      </c>
      <c r="G1561">
        <v>7.1</v>
      </c>
      <c r="H1561" t="s">
        <v>20</v>
      </c>
      <c r="I1561" t="s">
        <v>23</v>
      </c>
      <c r="J1561" t="s">
        <v>27</v>
      </c>
      <c r="K1561">
        <v>18</v>
      </c>
      <c r="L1561" t="s">
        <v>29</v>
      </c>
    </row>
    <row r="1562" spans="1:12" x14ac:dyDescent="0.25">
      <c r="A1562">
        <v>1561</v>
      </c>
      <c r="B1562">
        <v>40</v>
      </c>
      <c r="C1562" t="s">
        <v>13</v>
      </c>
      <c r="D1562" t="s">
        <v>17</v>
      </c>
      <c r="E1562">
        <v>3.03</v>
      </c>
      <c r="F1562">
        <v>7.18</v>
      </c>
      <c r="G1562">
        <v>5.45</v>
      </c>
      <c r="H1562" t="s">
        <v>21</v>
      </c>
      <c r="I1562" t="s">
        <v>22</v>
      </c>
      <c r="J1562" t="s">
        <v>27</v>
      </c>
      <c r="K1562">
        <v>23</v>
      </c>
      <c r="L1562" t="s">
        <v>30</v>
      </c>
    </row>
    <row r="1563" spans="1:12" x14ac:dyDescent="0.25">
      <c r="A1563">
        <v>1562</v>
      </c>
      <c r="B1563">
        <v>18</v>
      </c>
      <c r="C1563" t="s">
        <v>13</v>
      </c>
      <c r="D1563" t="s">
        <v>15</v>
      </c>
      <c r="E1563">
        <v>31.6</v>
      </c>
      <c r="F1563">
        <v>8.84</v>
      </c>
      <c r="G1563">
        <v>4.3600000000000003</v>
      </c>
      <c r="H1563" t="s">
        <v>20</v>
      </c>
      <c r="I1563" t="s">
        <v>22</v>
      </c>
      <c r="J1563" t="s">
        <v>27</v>
      </c>
      <c r="K1563">
        <v>30</v>
      </c>
      <c r="L1563" t="s">
        <v>29</v>
      </c>
    </row>
    <row r="1564" spans="1:12" x14ac:dyDescent="0.25">
      <c r="A1564">
        <v>1563</v>
      </c>
      <c r="B1564">
        <v>63</v>
      </c>
      <c r="C1564" t="s">
        <v>12</v>
      </c>
      <c r="D1564" t="s">
        <v>15</v>
      </c>
      <c r="E1564">
        <v>16.54</v>
      </c>
      <c r="F1564">
        <v>7.17</v>
      </c>
      <c r="G1564">
        <v>5.53</v>
      </c>
      <c r="H1564" t="s">
        <v>19</v>
      </c>
      <c r="I1564" t="s">
        <v>22</v>
      </c>
      <c r="J1564" t="s">
        <v>25</v>
      </c>
      <c r="K1564">
        <v>12</v>
      </c>
      <c r="L1564" t="s">
        <v>29</v>
      </c>
    </row>
    <row r="1565" spans="1:12" x14ac:dyDescent="0.25">
      <c r="A1565">
        <v>1564</v>
      </c>
      <c r="B1565">
        <v>54</v>
      </c>
      <c r="C1565" t="s">
        <v>13</v>
      </c>
      <c r="D1565" t="s">
        <v>17</v>
      </c>
      <c r="E1565">
        <v>17.670000000000002</v>
      </c>
      <c r="F1565">
        <v>4.26</v>
      </c>
      <c r="G1565">
        <v>13.17</v>
      </c>
      <c r="H1565" t="s">
        <v>19</v>
      </c>
      <c r="I1565" t="s">
        <v>22</v>
      </c>
      <c r="J1565" t="s">
        <v>26</v>
      </c>
      <c r="K1565">
        <v>21</v>
      </c>
      <c r="L1565" t="s">
        <v>29</v>
      </c>
    </row>
    <row r="1566" spans="1:12" x14ac:dyDescent="0.25">
      <c r="A1566">
        <v>1565</v>
      </c>
      <c r="B1566">
        <v>38</v>
      </c>
      <c r="C1566" t="s">
        <v>12</v>
      </c>
      <c r="D1566" t="s">
        <v>15</v>
      </c>
      <c r="E1566">
        <v>6.45</v>
      </c>
      <c r="F1566">
        <v>5.84</v>
      </c>
      <c r="G1566">
        <v>3.58</v>
      </c>
      <c r="H1566" t="s">
        <v>18</v>
      </c>
      <c r="I1566" t="s">
        <v>22</v>
      </c>
      <c r="J1566" t="s">
        <v>26</v>
      </c>
      <c r="K1566">
        <v>19</v>
      </c>
      <c r="L1566" t="s">
        <v>29</v>
      </c>
    </row>
    <row r="1567" spans="1:12" x14ac:dyDescent="0.25">
      <c r="A1567">
        <v>1566</v>
      </c>
      <c r="B1567">
        <v>43</v>
      </c>
      <c r="C1567" t="s">
        <v>13</v>
      </c>
      <c r="D1567" t="s">
        <v>14</v>
      </c>
      <c r="E1567">
        <v>25.52</v>
      </c>
      <c r="F1567">
        <v>2.89</v>
      </c>
      <c r="G1567">
        <v>14.95</v>
      </c>
      <c r="H1567" t="s">
        <v>18</v>
      </c>
      <c r="I1567" t="s">
        <v>23</v>
      </c>
      <c r="J1567" t="s">
        <v>26</v>
      </c>
      <c r="K1567">
        <v>3</v>
      </c>
      <c r="L1567" t="s">
        <v>30</v>
      </c>
    </row>
    <row r="1568" spans="1:12" x14ac:dyDescent="0.25">
      <c r="A1568">
        <v>1567</v>
      </c>
      <c r="B1568">
        <v>63</v>
      </c>
      <c r="C1568" t="s">
        <v>12</v>
      </c>
      <c r="D1568" t="s">
        <v>14</v>
      </c>
      <c r="E1568">
        <v>61.65</v>
      </c>
      <c r="F1568">
        <v>27.74</v>
      </c>
      <c r="G1568">
        <v>23.87</v>
      </c>
      <c r="H1568" t="s">
        <v>19</v>
      </c>
      <c r="I1568" t="s">
        <v>24</v>
      </c>
      <c r="J1568" t="s">
        <v>28</v>
      </c>
      <c r="K1568">
        <v>15</v>
      </c>
      <c r="L1568" t="s">
        <v>29</v>
      </c>
    </row>
    <row r="1569" spans="1:12" x14ac:dyDescent="0.25">
      <c r="A1569">
        <v>1568</v>
      </c>
      <c r="B1569">
        <v>53</v>
      </c>
      <c r="C1569" t="s">
        <v>13</v>
      </c>
      <c r="D1569" t="s">
        <v>14</v>
      </c>
      <c r="E1569">
        <v>11.82</v>
      </c>
      <c r="F1569">
        <v>6.55</v>
      </c>
      <c r="G1569">
        <v>11.85</v>
      </c>
      <c r="H1569" t="s">
        <v>20</v>
      </c>
      <c r="I1569" t="s">
        <v>24</v>
      </c>
      <c r="J1569" t="s">
        <v>26</v>
      </c>
      <c r="K1569">
        <v>22</v>
      </c>
      <c r="L1569" t="s">
        <v>30</v>
      </c>
    </row>
    <row r="1570" spans="1:12" x14ac:dyDescent="0.25">
      <c r="A1570">
        <v>1569</v>
      </c>
      <c r="B1570">
        <v>71</v>
      </c>
      <c r="C1570" t="s">
        <v>13</v>
      </c>
      <c r="D1570" t="s">
        <v>15</v>
      </c>
      <c r="E1570">
        <v>36.29</v>
      </c>
      <c r="F1570">
        <v>6.03</v>
      </c>
      <c r="G1570">
        <v>17.63</v>
      </c>
      <c r="H1570" t="s">
        <v>20</v>
      </c>
      <c r="I1570" t="s">
        <v>23</v>
      </c>
      <c r="J1570" t="s">
        <v>27</v>
      </c>
      <c r="K1570">
        <v>8</v>
      </c>
      <c r="L1570" t="s">
        <v>29</v>
      </c>
    </row>
    <row r="1571" spans="1:12" x14ac:dyDescent="0.25">
      <c r="A1571">
        <v>1570</v>
      </c>
      <c r="B1571">
        <v>40</v>
      </c>
      <c r="C1571" t="s">
        <v>12</v>
      </c>
      <c r="D1571" t="s">
        <v>14</v>
      </c>
      <c r="E1571">
        <v>17.239999999999998</v>
      </c>
      <c r="F1571">
        <v>34.54</v>
      </c>
      <c r="G1571">
        <v>8.5</v>
      </c>
      <c r="H1571" t="s">
        <v>19</v>
      </c>
      <c r="I1571" t="s">
        <v>23</v>
      </c>
      <c r="J1571" t="s">
        <v>26</v>
      </c>
      <c r="K1571">
        <v>25</v>
      </c>
      <c r="L1571" t="s">
        <v>29</v>
      </c>
    </row>
    <row r="1572" spans="1:12" x14ac:dyDescent="0.25">
      <c r="A1572">
        <v>1571</v>
      </c>
      <c r="B1572">
        <v>74</v>
      </c>
      <c r="C1572" t="s">
        <v>12</v>
      </c>
      <c r="D1572" t="s">
        <v>17</v>
      </c>
      <c r="E1572">
        <v>12.17</v>
      </c>
      <c r="F1572">
        <v>2.19</v>
      </c>
      <c r="G1572">
        <v>15.22</v>
      </c>
      <c r="H1572" t="s">
        <v>21</v>
      </c>
      <c r="I1572" t="s">
        <v>22</v>
      </c>
      <c r="J1572" t="s">
        <v>25</v>
      </c>
      <c r="K1572">
        <v>26</v>
      </c>
      <c r="L1572" t="s">
        <v>29</v>
      </c>
    </row>
    <row r="1573" spans="1:12" x14ac:dyDescent="0.25">
      <c r="A1573">
        <v>1572</v>
      </c>
      <c r="B1573">
        <v>18</v>
      </c>
      <c r="C1573" t="s">
        <v>13</v>
      </c>
      <c r="D1573" t="s">
        <v>15</v>
      </c>
      <c r="E1573">
        <v>5.45</v>
      </c>
      <c r="F1573">
        <v>15.09</v>
      </c>
      <c r="G1573">
        <v>1.63</v>
      </c>
      <c r="H1573" t="s">
        <v>20</v>
      </c>
      <c r="I1573" t="s">
        <v>24</v>
      </c>
      <c r="J1573" t="s">
        <v>26</v>
      </c>
      <c r="K1573">
        <v>7</v>
      </c>
      <c r="L1573" t="s">
        <v>30</v>
      </c>
    </row>
    <row r="1574" spans="1:12" x14ac:dyDescent="0.25">
      <c r="A1574">
        <v>1573</v>
      </c>
      <c r="B1574">
        <v>71</v>
      </c>
      <c r="C1574" t="s">
        <v>13</v>
      </c>
      <c r="D1574" t="s">
        <v>15</v>
      </c>
      <c r="E1574">
        <v>39.44</v>
      </c>
      <c r="F1574">
        <v>10.41</v>
      </c>
      <c r="G1574">
        <v>5.34</v>
      </c>
      <c r="H1574" t="s">
        <v>19</v>
      </c>
      <c r="I1574" t="s">
        <v>24</v>
      </c>
      <c r="J1574" t="s">
        <v>26</v>
      </c>
      <c r="K1574">
        <v>34</v>
      </c>
      <c r="L1574" t="s">
        <v>29</v>
      </c>
    </row>
    <row r="1575" spans="1:12" x14ac:dyDescent="0.25">
      <c r="A1575">
        <v>1574</v>
      </c>
      <c r="B1575">
        <v>72</v>
      </c>
      <c r="C1575" t="s">
        <v>13</v>
      </c>
      <c r="D1575" t="s">
        <v>15</v>
      </c>
      <c r="E1575">
        <v>18.68</v>
      </c>
      <c r="F1575">
        <v>4.32</v>
      </c>
      <c r="G1575">
        <v>17.09</v>
      </c>
      <c r="H1575" t="s">
        <v>18</v>
      </c>
      <c r="I1575" t="s">
        <v>24</v>
      </c>
      <c r="J1575" t="s">
        <v>26</v>
      </c>
      <c r="K1575">
        <v>19</v>
      </c>
      <c r="L1575" t="s">
        <v>29</v>
      </c>
    </row>
    <row r="1576" spans="1:12" x14ac:dyDescent="0.25">
      <c r="A1576">
        <v>1575</v>
      </c>
      <c r="B1576">
        <v>68</v>
      </c>
      <c r="C1576" t="s">
        <v>13</v>
      </c>
      <c r="D1576" t="s">
        <v>16</v>
      </c>
      <c r="E1576">
        <v>12.62</v>
      </c>
      <c r="F1576">
        <v>10.99</v>
      </c>
      <c r="G1576">
        <v>27.44</v>
      </c>
      <c r="H1576" t="s">
        <v>19</v>
      </c>
      <c r="I1576" t="s">
        <v>23</v>
      </c>
      <c r="J1576" t="s">
        <v>25</v>
      </c>
      <c r="K1576">
        <v>13</v>
      </c>
      <c r="L1576" t="s">
        <v>29</v>
      </c>
    </row>
    <row r="1577" spans="1:12" x14ac:dyDescent="0.25">
      <c r="A1577">
        <v>1576</v>
      </c>
      <c r="B1577">
        <v>57</v>
      </c>
      <c r="C1577" t="s">
        <v>13</v>
      </c>
      <c r="D1577" t="s">
        <v>17</v>
      </c>
      <c r="E1577">
        <v>14.15</v>
      </c>
      <c r="F1577">
        <v>30.73</v>
      </c>
      <c r="G1577">
        <v>14.88</v>
      </c>
      <c r="H1577" t="s">
        <v>20</v>
      </c>
      <c r="I1577" t="s">
        <v>24</v>
      </c>
      <c r="J1577" t="s">
        <v>26</v>
      </c>
      <c r="K1577">
        <v>29</v>
      </c>
      <c r="L1577" t="s">
        <v>29</v>
      </c>
    </row>
    <row r="1578" spans="1:12" x14ac:dyDescent="0.25">
      <c r="A1578">
        <v>1577</v>
      </c>
      <c r="B1578">
        <v>32</v>
      </c>
      <c r="C1578" t="s">
        <v>12</v>
      </c>
      <c r="D1578" t="s">
        <v>15</v>
      </c>
      <c r="E1578">
        <v>26.81</v>
      </c>
      <c r="F1578">
        <v>15</v>
      </c>
      <c r="G1578">
        <v>4.29</v>
      </c>
      <c r="H1578" t="s">
        <v>19</v>
      </c>
      <c r="I1578" t="s">
        <v>24</v>
      </c>
      <c r="J1578" t="s">
        <v>25</v>
      </c>
      <c r="K1578">
        <v>6</v>
      </c>
      <c r="L1578" t="s">
        <v>29</v>
      </c>
    </row>
    <row r="1579" spans="1:12" x14ac:dyDescent="0.25">
      <c r="A1579">
        <v>1578</v>
      </c>
      <c r="B1579">
        <v>38</v>
      </c>
      <c r="C1579" t="s">
        <v>12</v>
      </c>
      <c r="D1579" t="s">
        <v>16</v>
      </c>
      <c r="E1579">
        <v>12.61</v>
      </c>
      <c r="F1579">
        <v>13.64</v>
      </c>
      <c r="G1579">
        <v>22.9</v>
      </c>
      <c r="H1579" t="s">
        <v>21</v>
      </c>
      <c r="I1579" t="s">
        <v>23</v>
      </c>
      <c r="J1579" t="s">
        <v>26</v>
      </c>
      <c r="K1579">
        <v>25</v>
      </c>
      <c r="L1579" t="s">
        <v>30</v>
      </c>
    </row>
    <row r="1580" spans="1:12" x14ac:dyDescent="0.25">
      <c r="A1580">
        <v>1579</v>
      </c>
      <c r="B1580">
        <v>64</v>
      </c>
      <c r="C1580" t="s">
        <v>13</v>
      </c>
      <c r="D1580" t="s">
        <v>15</v>
      </c>
      <c r="E1580">
        <v>8.56</v>
      </c>
      <c r="F1580">
        <v>3.35</v>
      </c>
      <c r="G1580">
        <v>7.64</v>
      </c>
      <c r="H1580" t="s">
        <v>21</v>
      </c>
      <c r="I1580" t="s">
        <v>23</v>
      </c>
      <c r="J1580" t="s">
        <v>27</v>
      </c>
      <c r="K1580">
        <v>25</v>
      </c>
      <c r="L1580" t="s">
        <v>29</v>
      </c>
    </row>
    <row r="1581" spans="1:12" x14ac:dyDescent="0.25">
      <c r="A1581">
        <v>1580</v>
      </c>
      <c r="B1581">
        <v>26</v>
      </c>
      <c r="C1581" t="s">
        <v>12</v>
      </c>
      <c r="D1581" t="s">
        <v>17</v>
      </c>
      <c r="E1581">
        <v>16.03</v>
      </c>
      <c r="F1581">
        <v>5.01</v>
      </c>
      <c r="G1581">
        <v>11.42</v>
      </c>
      <c r="H1581" t="s">
        <v>20</v>
      </c>
      <c r="I1581" t="s">
        <v>22</v>
      </c>
      <c r="J1581" t="s">
        <v>26</v>
      </c>
      <c r="K1581">
        <v>23</v>
      </c>
      <c r="L1581" t="s">
        <v>30</v>
      </c>
    </row>
    <row r="1582" spans="1:12" x14ac:dyDescent="0.25">
      <c r="A1582">
        <v>1581</v>
      </c>
      <c r="B1582">
        <v>70</v>
      </c>
      <c r="C1582" t="s">
        <v>12</v>
      </c>
      <c r="D1582" t="s">
        <v>17</v>
      </c>
      <c r="E1582">
        <v>15.7</v>
      </c>
      <c r="F1582">
        <v>2.38</v>
      </c>
      <c r="G1582">
        <v>14.97</v>
      </c>
      <c r="H1582" t="s">
        <v>19</v>
      </c>
      <c r="I1582" t="s">
        <v>22</v>
      </c>
      <c r="J1582" t="s">
        <v>25</v>
      </c>
      <c r="K1582">
        <v>24</v>
      </c>
      <c r="L1582" t="s">
        <v>30</v>
      </c>
    </row>
    <row r="1583" spans="1:12" x14ac:dyDescent="0.25">
      <c r="A1583">
        <v>1582</v>
      </c>
      <c r="B1583">
        <v>26</v>
      </c>
      <c r="C1583" t="s">
        <v>12</v>
      </c>
      <c r="D1583" t="s">
        <v>14</v>
      </c>
      <c r="E1583">
        <v>15.46</v>
      </c>
      <c r="F1583">
        <v>10.68</v>
      </c>
      <c r="G1583">
        <v>14.73</v>
      </c>
      <c r="H1583" t="s">
        <v>21</v>
      </c>
      <c r="I1583" t="s">
        <v>23</v>
      </c>
      <c r="J1583" t="s">
        <v>26</v>
      </c>
      <c r="K1583">
        <v>3</v>
      </c>
      <c r="L1583" t="s">
        <v>29</v>
      </c>
    </row>
    <row r="1584" spans="1:12" x14ac:dyDescent="0.25">
      <c r="A1584">
        <v>1583</v>
      </c>
      <c r="B1584">
        <v>27</v>
      </c>
      <c r="C1584" t="s">
        <v>13</v>
      </c>
      <c r="D1584" t="s">
        <v>14</v>
      </c>
      <c r="E1584">
        <v>12.72</v>
      </c>
      <c r="F1584">
        <v>10.34</v>
      </c>
      <c r="G1584">
        <v>24.13</v>
      </c>
      <c r="H1584" t="s">
        <v>21</v>
      </c>
      <c r="I1584" t="s">
        <v>23</v>
      </c>
      <c r="J1584" t="s">
        <v>25</v>
      </c>
      <c r="K1584">
        <v>34</v>
      </c>
      <c r="L1584" t="s">
        <v>29</v>
      </c>
    </row>
    <row r="1585" spans="1:12" x14ac:dyDescent="0.25">
      <c r="A1585">
        <v>1584</v>
      </c>
      <c r="B1585">
        <v>69</v>
      </c>
      <c r="C1585" t="s">
        <v>12</v>
      </c>
      <c r="D1585" t="s">
        <v>17</v>
      </c>
      <c r="E1585">
        <v>37.049999999999997</v>
      </c>
      <c r="F1585">
        <v>5.04</v>
      </c>
      <c r="G1585">
        <v>13.79</v>
      </c>
      <c r="H1585" t="s">
        <v>18</v>
      </c>
      <c r="I1585" t="s">
        <v>23</v>
      </c>
      <c r="J1585" t="s">
        <v>26</v>
      </c>
      <c r="K1585">
        <v>30</v>
      </c>
      <c r="L1585" t="s">
        <v>30</v>
      </c>
    </row>
    <row r="1586" spans="1:12" x14ac:dyDescent="0.25">
      <c r="A1586">
        <v>1585</v>
      </c>
      <c r="B1586">
        <v>74</v>
      </c>
      <c r="C1586" t="s">
        <v>13</v>
      </c>
      <c r="D1586" t="s">
        <v>17</v>
      </c>
      <c r="E1586">
        <v>75</v>
      </c>
      <c r="F1586">
        <v>18.41</v>
      </c>
      <c r="G1586">
        <v>4.09</v>
      </c>
      <c r="H1586" t="s">
        <v>20</v>
      </c>
      <c r="I1586" t="s">
        <v>23</v>
      </c>
      <c r="J1586" t="s">
        <v>25</v>
      </c>
      <c r="K1586">
        <v>20</v>
      </c>
      <c r="L1586" t="s">
        <v>29</v>
      </c>
    </row>
    <row r="1587" spans="1:12" x14ac:dyDescent="0.25">
      <c r="A1587">
        <v>1586</v>
      </c>
      <c r="B1587">
        <v>70</v>
      </c>
      <c r="C1587" t="s">
        <v>12</v>
      </c>
      <c r="D1587" t="s">
        <v>17</v>
      </c>
      <c r="E1587">
        <v>7.76</v>
      </c>
      <c r="F1587">
        <v>3.13</v>
      </c>
      <c r="G1587">
        <v>18.68</v>
      </c>
      <c r="H1587" t="s">
        <v>18</v>
      </c>
      <c r="I1587" t="s">
        <v>23</v>
      </c>
      <c r="J1587" t="s">
        <v>27</v>
      </c>
      <c r="K1587">
        <v>9</v>
      </c>
      <c r="L1587" t="s">
        <v>29</v>
      </c>
    </row>
    <row r="1588" spans="1:12" x14ac:dyDescent="0.25">
      <c r="A1588">
        <v>1587</v>
      </c>
      <c r="B1588">
        <v>43</v>
      </c>
      <c r="C1588" t="s">
        <v>13</v>
      </c>
      <c r="D1588" t="s">
        <v>14</v>
      </c>
      <c r="E1588">
        <v>2.58</v>
      </c>
      <c r="F1588">
        <v>5.4</v>
      </c>
      <c r="G1588">
        <v>16.34</v>
      </c>
      <c r="H1588" t="s">
        <v>18</v>
      </c>
      <c r="I1588" t="s">
        <v>22</v>
      </c>
      <c r="J1588" t="s">
        <v>26</v>
      </c>
      <c r="K1588">
        <v>8</v>
      </c>
      <c r="L1588" t="s">
        <v>29</v>
      </c>
    </row>
    <row r="1589" spans="1:12" x14ac:dyDescent="0.25">
      <c r="A1589">
        <v>1588</v>
      </c>
      <c r="B1589">
        <v>58</v>
      </c>
      <c r="C1589" t="s">
        <v>12</v>
      </c>
      <c r="D1589" t="s">
        <v>15</v>
      </c>
      <c r="E1589">
        <v>14.71</v>
      </c>
      <c r="F1589">
        <v>10.95</v>
      </c>
      <c r="G1589">
        <v>1.92</v>
      </c>
      <c r="H1589" t="s">
        <v>21</v>
      </c>
      <c r="I1589" t="s">
        <v>23</v>
      </c>
      <c r="J1589" t="s">
        <v>26</v>
      </c>
      <c r="K1589">
        <v>16</v>
      </c>
      <c r="L1589" t="s">
        <v>29</v>
      </c>
    </row>
    <row r="1590" spans="1:12" x14ac:dyDescent="0.25">
      <c r="A1590">
        <v>1589</v>
      </c>
      <c r="B1590">
        <v>52</v>
      </c>
      <c r="C1590" t="s">
        <v>13</v>
      </c>
      <c r="D1590" t="s">
        <v>15</v>
      </c>
      <c r="E1590">
        <v>2.9</v>
      </c>
      <c r="F1590">
        <v>3.55</v>
      </c>
      <c r="G1590">
        <v>7.52</v>
      </c>
      <c r="H1590" t="s">
        <v>19</v>
      </c>
      <c r="I1590" t="s">
        <v>24</v>
      </c>
      <c r="J1590" t="s">
        <v>25</v>
      </c>
      <c r="K1590">
        <v>32</v>
      </c>
      <c r="L1590" t="s">
        <v>29</v>
      </c>
    </row>
    <row r="1591" spans="1:12" x14ac:dyDescent="0.25">
      <c r="A1591">
        <v>1590</v>
      </c>
      <c r="B1591">
        <v>69</v>
      </c>
      <c r="C1591" t="s">
        <v>13</v>
      </c>
      <c r="D1591" t="s">
        <v>15</v>
      </c>
      <c r="E1591">
        <v>4.99</v>
      </c>
      <c r="F1591">
        <v>7.89</v>
      </c>
      <c r="G1591">
        <v>6.06</v>
      </c>
      <c r="H1591" t="s">
        <v>18</v>
      </c>
      <c r="I1591" t="s">
        <v>24</v>
      </c>
      <c r="J1591" t="s">
        <v>25</v>
      </c>
      <c r="K1591">
        <v>16</v>
      </c>
      <c r="L1591" t="s">
        <v>29</v>
      </c>
    </row>
    <row r="1592" spans="1:12" x14ac:dyDescent="0.25">
      <c r="A1592">
        <v>1591</v>
      </c>
      <c r="B1592">
        <v>42</v>
      </c>
      <c r="C1592" t="s">
        <v>12</v>
      </c>
      <c r="D1592" t="s">
        <v>17</v>
      </c>
      <c r="E1592">
        <v>11.97</v>
      </c>
      <c r="F1592">
        <v>5.75</v>
      </c>
      <c r="G1592">
        <v>3.99</v>
      </c>
      <c r="H1592" t="s">
        <v>20</v>
      </c>
      <c r="I1592" t="s">
        <v>24</v>
      </c>
      <c r="J1592" t="s">
        <v>26</v>
      </c>
      <c r="K1592">
        <v>11</v>
      </c>
      <c r="L1592" t="s">
        <v>29</v>
      </c>
    </row>
    <row r="1593" spans="1:12" x14ac:dyDescent="0.25">
      <c r="A1593">
        <v>1592</v>
      </c>
      <c r="B1593">
        <v>43</v>
      </c>
      <c r="C1593" t="s">
        <v>13</v>
      </c>
      <c r="D1593" t="s">
        <v>17</v>
      </c>
      <c r="E1593">
        <v>26.69</v>
      </c>
      <c r="F1593">
        <v>12.17</v>
      </c>
      <c r="G1593">
        <v>10.48</v>
      </c>
      <c r="H1593" t="s">
        <v>20</v>
      </c>
      <c r="I1593" t="s">
        <v>22</v>
      </c>
      <c r="J1593" t="s">
        <v>26</v>
      </c>
      <c r="K1593">
        <v>33</v>
      </c>
      <c r="L1593" t="s">
        <v>29</v>
      </c>
    </row>
    <row r="1594" spans="1:12" x14ac:dyDescent="0.25">
      <c r="A1594">
        <v>1593</v>
      </c>
      <c r="B1594">
        <v>28</v>
      </c>
      <c r="C1594" t="s">
        <v>13</v>
      </c>
      <c r="D1594" t="s">
        <v>14</v>
      </c>
      <c r="E1594">
        <v>14.59</v>
      </c>
      <c r="F1594">
        <v>2.86</v>
      </c>
      <c r="G1594">
        <v>10.74</v>
      </c>
      <c r="H1594" t="s">
        <v>19</v>
      </c>
      <c r="I1594" t="s">
        <v>23</v>
      </c>
      <c r="J1594" t="s">
        <v>26</v>
      </c>
      <c r="K1594">
        <v>4</v>
      </c>
      <c r="L1594" t="s">
        <v>29</v>
      </c>
    </row>
    <row r="1595" spans="1:12" x14ac:dyDescent="0.25">
      <c r="A1595">
        <v>1594</v>
      </c>
      <c r="B1595">
        <v>55</v>
      </c>
      <c r="C1595" t="s">
        <v>13</v>
      </c>
      <c r="D1595" t="s">
        <v>15</v>
      </c>
      <c r="E1595">
        <v>1.9</v>
      </c>
      <c r="F1595">
        <v>1.1299999999999999</v>
      </c>
      <c r="G1595">
        <v>6.33</v>
      </c>
      <c r="H1595" t="s">
        <v>20</v>
      </c>
      <c r="I1595" t="s">
        <v>23</v>
      </c>
      <c r="J1595" t="s">
        <v>26</v>
      </c>
      <c r="K1595">
        <v>20</v>
      </c>
      <c r="L1595" t="s">
        <v>29</v>
      </c>
    </row>
    <row r="1596" spans="1:12" x14ac:dyDescent="0.25">
      <c r="A1596">
        <v>1595</v>
      </c>
      <c r="B1596">
        <v>19</v>
      </c>
      <c r="C1596" t="s">
        <v>13</v>
      </c>
      <c r="D1596" t="s">
        <v>17</v>
      </c>
      <c r="E1596">
        <v>14.46</v>
      </c>
      <c r="F1596">
        <v>3.4</v>
      </c>
      <c r="G1596">
        <v>18.46</v>
      </c>
      <c r="H1596" t="s">
        <v>18</v>
      </c>
      <c r="I1596" t="s">
        <v>23</v>
      </c>
      <c r="J1596" t="s">
        <v>26</v>
      </c>
      <c r="K1596">
        <v>7</v>
      </c>
      <c r="L1596" t="s">
        <v>29</v>
      </c>
    </row>
    <row r="1597" spans="1:12" x14ac:dyDescent="0.25">
      <c r="A1597">
        <v>1596</v>
      </c>
      <c r="B1597">
        <v>24</v>
      </c>
      <c r="C1597" t="s">
        <v>13</v>
      </c>
      <c r="D1597" t="s">
        <v>14</v>
      </c>
      <c r="E1597">
        <v>15.21</v>
      </c>
      <c r="F1597">
        <v>18.600000000000001</v>
      </c>
      <c r="G1597">
        <v>5.04</v>
      </c>
      <c r="H1597" t="s">
        <v>19</v>
      </c>
      <c r="I1597" t="s">
        <v>24</v>
      </c>
      <c r="J1597" t="s">
        <v>27</v>
      </c>
      <c r="K1597">
        <v>28</v>
      </c>
      <c r="L1597" t="s">
        <v>29</v>
      </c>
    </row>
    <row r="1598" spans="1:12" x14ac:dyDescent="0.25">
      <c r="A1598">
        <v>1597</v>
      </c>
      <c r="B1598">
        <v>35</v>
      </c>
      <c r="C1598" t="s">
        <v>13</v>
      </c>
      <c r="D1598" t="s">
        <v>14</v>
      </c>
      <c r="E1598">
        <v>15.39</v>
      </c>
      <c r="F1598">
        <v>17.68</v>
      </c>
      <c r="G1598">
        <v>6.36</v>
      </c>
      <c r="H1598" t="s">
        <v>20</v>
      </c>
      <c r="I1598" t="s">
        <v>23</v>
      </c>
      <c r="J1598" t="s">
        <v>26</v>
      </c>
      <c r="K1598">
        <v>25</v>
      </c>
      <c r="L1598" t="s">
        <v>29</v>
      </c>
    </row>
    <row r="1599" spans="1:12" x14ac:dyDescent="0.25">
      <c r="A1599">
        <v>1598</v>
      </c>
      <c r="B1599">
        <v>44</v>
      </c>
      <c r="C1599" t="s">
        <v>13</v>
      </c>
      <c r="D1599" t="s">
        <v>17</v>
      </c>
      <c r="E1599">
        <v>33.75</v>
      </c>
      <c r="F1599">
        <v>4.5199999999999996</v>
      </c>
      <c r="G1599">
        <v>7.83</v>
      </c>
      <c r="H1599" t="s">
        <v>20</v>
      </c>
      <c r="I1599" t="s">
        <v>22</v>
      </c>
      <c r="J1599" t="s">
        <v>25</v>
      </c>
      <c r="K1599">
        <v>14</v>
      </c>
      <c r="L1599" t="s">
        <v>29</v>
      </c>
    </row>
    <row r="1600" spans="1:12" x14ac:dyDescent="0.25">
      <c r="A1600">
        <v>1599</v>
      </c>
      <c r="B1600">
        <v>51</v>
      </c>
      <c r="C1600" t="s">
        <v>13</v>
      </c>
      <c r="D1600" t="s">
        <v>17</v>
      </c>
      <c r="E1600">
        <v>30.35</v>
      </c>
      <c r="F1600">
        <v>9.5</v>
      </c>
      <c r="G1600">
        <v>14.29</v>
      </c>
      <c r="H1600" t="s">
        <v>18</v>
      </c>
      <c r="I1600" t="s">
        <v>22</v>
      </c>
      <c r="J1600" t="s">
        <v>27</v>
      </c>
      <c r="K1600">
        <v>16</v>
      </c>
      <c r="L1600" t="s">
        <v>29</v>
      </c>
    </row>
    <row r="1601" spans="1:12" x14ac:dyDescent="0.25">
      <c r="A1601">
        <v>1600</v>
      </c>
      <c r="B1601">
        <v>44</v>
      </c>
      <c r="C1601" t="s">
        <v>12</v>
      </c>
      <c r="D1601" t="s">
        <v>15</v>
      </c>
      <c r="E1601">
        <v>18.2</v>
      </c>
      <c r="F1601">
        <v>10.14</v>
      </c>
      <c r="G1601">
        <v>19.440000000000001</v>
      </c>
      <c r="H1601" t="s">
        <v>18</v>
      </c>
      <c r="I1601" t="s">
        <v>24</v>
      </c>
      <c r="J1601" t="s">
        <v>26</v>
      </c>
      <c r="K1601">
        <v>15</v>
      </c>
      <c r="L1601" t="s">
        <v>30</v>
      </c>
    </row>
    <row r="1602" spans="1:12" x14ac:dyDescent="0.25">
      <c r="A1602">
        <v>1601</v>
      </c>
      <c r="B1602">
        <v>34</v>
      </c>
      <c r="C1602" t="s">
        <v>12</v>
      </c>
      <c r="D1602" t="s">
        <v>14</v>
      </c>
      <c r="E1602">
        <v>54.61</v>
      </c>
      <c r="F1602">
        <v>2.7</v>
      </c>
      <c r="G1602">
        <v>4.03</v>
      </c>
      <c r="H1602" t="s">
        <v>18</v>
      </c>
      <c r="I1602" t="s">
        <v>22</v>
      </c>
      <c r="J1602" t="s">
        <v>25</v>
      </c>
      <c r="K1602">
        <v>17</v>
      </c>
      <c r="L1602" t="s">
        <v>29</v>
      </c>
    </row>
    <row r="1603" spans="1:12" x14ac:dyDescent="0.25">
      <c r="A1603">
        <v>1602</v>
      </c>
      <c r="B1603">
        <v>60</v>
      </c>
      <c r="C1603" t="s">
        <v>13</v>
      </c>
      <c r="D1603" t="s">
        <v>15</v>
      </c>
      <c r="E1603">
        <v>11.95</v>
      </c>
      <c r="F1603">
        <v>5.88</v>
      </c>
      <c r="G1603">
        <v>12.46</v>
      </c>
      <c r="H1603" t="s">
        <v>18</v>
      </c>
      <c r="I1603" t="s">
        <v>22</v>
      </c>
      <c r="J1603" t="s">
        <v>27</v>
      </c>
      <c r="K1603">
        <v>21</v>
      </c>
      <c r="L1603" t="s">
        <v>29</v>
      </c>
    </row>
    <row r="1604" spans="1:12" x14ac:dyDescent="0.25">
      <c r="A1604">
        <v>1603</v>
      </c>
      <c r="B1604">
        <v>76</v>
      </c>
      <c r="C1604" t="s">
        <v>13</v>
      </c>
      <c r="D1604" t="s">
        <v>14</v>
      </c>
      <c r="E1604">
        <v>15.89</v>
      </c>
      <c r="F1604">
        <v>8.5299999999999994</v>
      </c>
      <c r="G1604">
        <v>14.86</v>
      </c>
      <c r="H1604" t="s">
        <v>19</v>
      </c>
      <c r="I1604" t="s">
        <v>22</v>
      </c>
      <c r="J1604" t="s">
        <v>26</v>
      </c>
      <c r="K1604">
        <v>17</v>
      </c>
      <c r="L1604" t="s">
        <v>29</v>
      </c>
    </row>
    <row r="1605" spans="1:12" x14ac:dyDescent="0.25">
      <c r="A1605">
        <v>1604</v>
      </c>
      <c r="B1605">
        <v>61</v>
      </c>
      <c r="C1605" t="s">
        <v>12</v>
      </c>
      <c r="D1605" t="s">
        <v>16</v>
      </c>
      <c r="E1605">
        <v>17.05</v>
      </c>
      <c r="F1605">
        <v>0.86</v>
      </c>
      <c r="G1605">
        <v>18.489999999999998</v>
      </c>
      <c r="H1605" t="s">
        <v>19</v>
      </c>
      <c r="I1605" t="s">
        <v>22</v>
      </c>
      <c r="J1605" t="s">
        <v>26</v>
      </c>
      <c r="K1605">
        <v>10</v>
      </c>
      <c r="L1605" t="s">
        <v>29</v>
      </c>
    </row>
    <row r="1606" spans="1:12" x14ac:dyDescent="0.25">
      <c r="A1606">
        <v>1605</v>
      </c>
      <c r="B1606">
        <v>76</v>
      </c>
      <c r="C1606" t="s">
        <v>12</v>
      </c>
      <c r="D1606" t="s">
        <v>17</v>
      </c>
      <c r="E1606">
        <v>5.4</v>
      </c>
      <c r="F1606">
        <v>10.91</v>
      </c>
      <c r="G1606">
        <v>7.08</v>
      </c>
      <c r="H1606" t="s">
        <v>19</v>
      </c>
      <c r="I1606" t="s">
        <v>23</v>
      </c>
      <c r="J1606" t="s">
        <v>28</v>
      </c>
      <c r="K1606">
        <v>25</v>
      </c>
      <c r="L1606" t="s">
        <v>29</v>
      </c>
    </row>
    <row r="1607" spans="1:12" x14ac:dyDescent="0.25">
      <c r="A1607">
        <v>1606</v>
      </c>
      <c r="B1607">
        <v>68</v>
      </c>
      <c r="C1607" t="s">
        <v>12</v>
      </c>
      <c r="D1607" t="s">
        <v>15</v>
      </c>
      <c r="E1607">
        <v>17.29</v>
      </c>
      <c r="F1607">
        <v>14.19</v>
      </c>
      <c r="G1607">
        <v>8.5299999999999994</v>
      </c>
      <c r="H1607" t="s">
        <v>21</v>
      </c>
      <c r="I1607" t="s">
        <v>24</v>
      </c>
      <c r="J1607" t="s">
        <v>28</v>
      </c>
      <c r="K1607">
        <v>15</v>
      </c>
      <c r="L1607" t="s">
        <v>29</v>
      </c>
    </row>
    <row r="1608" spans="1:12" x14ac:dyDescent="0.25">
      <c r="A1608">
        <v>1607</v>
      </c>
      <c r="B1608">
        <v>71</v>
      </c>
      <c r="C1608" t="s">
        <v>13</v>
      </c>
      <c r="D1608" t="s">
        <v>17</v>
      </c>
      <c r="E1608">
        <v>4.54</v>
      </c>
      <c r="F1608">
        <v>11.79</v>
      </c>
      <c r="G1608">
        <v>6.9</v>
      </c>
      <c r="H1608" t="s">
        <v>18</v>
      </c>
      <c r="I1608" t="s">
        <v>22</v>
      </c>
      <c r="J1608" t="s">
        <v>26</v>
      </c>
      <c r="K1608">
        <v>25</v>
      </c>
      <c r="L1608" t="s">
        <v>29</v>
      </c>
    </row>
    <row r="1609" spans="1:12" x14ac:dyDescent="0.25">
      <c r="A1609">
        <v>1608</v>
      </c>
      <c r="B1609">
        <v>41</v>
      </c>
      <c r="C1609" t="s">
        <v>12</v>
      </c>
      <c r="D1609" t="s">
        <v>17</v>
      </c>
      <c r="E1609">
        <v>10.63</v>
      </c>
      <c r="F1609">
        <v>16.559999999999999</v>
      </c>
      <c r="G1609">
        <v>7.88</v>
      </c>
      <c r="H1609" t="s">
        <v>18</v>
      </c>
      <c r="I1609" t="s">
        <v>23</v>
      </c>
      <c r="J1609" t="s">
        <v>26</v>
      </c>
      <c r="K1609">
        <v>33</v>
      </c>
      <c r="L1609" t="s">
        <v>30</v>
      </c>
    </row>
    <row r="1610" spans="1:12" x14ac:dyDescent="0.25">
      <c r="A1610">
        <v>1609</v>
      </c>
      <c r="B1610">
        <v>42</v>
      </c>
      <c r="C1610" t="s">
        <v>13</v>
      </c>
      <c r="D1610" t="s">
        <v>15</v>
      </c>
      <c r="E1610">
        <v>18.75</v>
      </c>
      <c r="F1610">
        <v>13.68</v>
      </c>
      <c r="G1610">
        <v>5.8</v>
      </c>
      <c r="H1610" t="s">
        <v>19</v>
      </c>
      <c r="I1610" t="s">
        <v>24</v>
      </c>
      <c r="J1610" t="s">
        <v>26</v>
      </c>
      <c r="K1610">
        <v>32</v>
      </c>
      <c r="L1610" t="s">
        <v>29</v>
      </c>
    </row>
    <row r="1611" spans="1:12" x14ac:dyDescent="0.25">
      <c r="A1611">
        <v>1610</v>
      </c>
      <c r="B1611">
        <v>24</v>
      </c>
      <c r="C1611" t="s">
        <v>13</v>
      </c>
      <c r="D1611" t="s">
        <v>16</v>
      </c>
      <c r="E1611">
        <v>6.17</v>
      </c>
      <c r="F1611">
        <v>18.309999999999999</v>
      </c>
      <c r="G1611">
        <v>9.81</v>
      </c>
      <c r="H1611" t="s">
        <v>20</v>
      </c>
      <c r="I1611" t="s">
        <v>22</v>
      </c>
      <c r="J1611" t="s">
        <v>26</v>
      </c>
      <c r="K1611">
        <v>4</v>
      </c>
      <c r="L1611" t="s">
        <v>30</v>
      </c>
    </row>
    <row r="1612" spans="1:12" x14ac:dyDescent="0.25">
      <c r="A1612">
        <v>1611</v>
      </c>
      <c r="B1612">
        <v>69</v>
      </c>
      <c r="C1612" t="s">
        <v>12</v>
      </c>
      <c r="D1612" t="s">
        <v>14</v>
      </c>
      <c r="E1612">
        <v>21.52</v>
      </c>
      <c r="F1612">
        <v>1.27</v>
      </c>
      <c r="G1612">
        <v>1.05</v>
      </c>
      <c r="H1612" t="s">
        <v>20</v>
      </c>
      <c r="I1612" t="s">
        <v>24</v>
      </c>
      <c r="J1612" t="s">
        <v>26</v>
      </c>
      <c r="K1612">
        <v>13</v>
      </c>
      <c r="L1612" t="s">
        <v>29</v>
      </c>
    </row>
    <row r="1613" spans="1:12" x14ac:dyDescent="0.25">
      <c r="A1613">
        <v>1612</v>
      </c>
      <c r="B1613">
        <v>23</v>
      </c>
      <c r="C1613" t="s">
        <v>13</v>
      </c>
      <c r="D1613" t="s">
        <v>17</v>
      </c>
      <c r="E1613">
        <v>9.41</v>
      </c>
      <c r="F1613">
        <v>7.29</v>
      </c>
      <c r="G1613">
        <v>4.79</v>
      </c>
      <c r="H1613" t="s">
        <v>18</v>
      </c>
      <c r="I1613" t="s">
        <v>24</v>
      </c>
      <c r="J1613" t="s">
        <v>25</v>
      </c>
      <c r="K1613">
        <v>27</v>
      </c>
      <c r="L1613" t="s">
        <v>30</v>
      </c>
    </row>
    <row r="1614" spans="1:12" x14ac:dyDescent="0.25">
      <c r="A1614">
        <v>1613</v>
      </c>
      <c r="B1614">
        <v>70</v>
      </c>
      <c r="C1614" t="s">
        <v>13</v>
      </c>
      <c r="D1614" t="s">
        <v>16</v>
      </c>
      <c r="E1614">
        <v>13.37</v>
      </c>
      <c r="F1614">
        <v>4.0999999999999996</v>
      </c>
      <c r="G1614">
        <v>6.43</v>
      </c>
      <c r="H1614" t="s">
        <v>18</v>
      </c>
      <c r="I1614" t="s">
        <v>24</v>
      </c>
      <c r="J1614" t="s">
        <v>27</v>
      </c>
      <c r="K1614">
        <v>31</v>
      </c>
      <c r="L1614" t="s">
        <v>29</v>
      </c>
    </row>
    <row r="1615" spans="1:12" x14ac:dyDescent="0.25">
      <c r="A1615">
        <v>1614</v>
      </c>
      <c r="B1615">
        <v>41</v>
      </c>
      <c r="C1615" t="s">
        <v>13</v>
      </c>
      <c r="D1615" t="s">
        <v>15</v>
      </c>
      <c r="E1615">
        <v>23.98</v>
      </c>
      <c r="F1615">
        <v>1.31</v>
      </c>
      <c r="G1615">
        <v>10.57</v>
      </c>
      <c r="H1615" t="s">
        <v>19</v>
      </c>
      <c r="I1615" t="s">
        <v>23</v>
      </c>
      <c r="J1615" t="s">
        <v>26</v>
      </c>
      <c r="K1615">
        <v>24</v>
      </c>
      <c r="L1615" t="s">
        <v>29</v>
      </c>
    </row>
    <row r="1616" spans="1:12" x14ac:dyDescent="0.25">
      <c r="A1616">
        <v>1615</v>
      </c>
      <c r="B1616">
        <v>50</v>
      </c>
      <c r="C1616" t="s">
        <v>13</v>
      </c>
      <c r="D1616" t="s">
        <v>17</v>
      </c>
      <c r="E1616">
        <v>16.38</v>
      </c>
      <c r="F1616">
        <v>8.94</v>
      </c>
      <c r="G1616">
        <v>15.32</v>
      </c>
      <c r="H1616" t="s">
        <v>18</v>
      </c>
      <c r="I1616" t="s">
        <v>23</v>
      </c>
      <c r="J1616" t="s">
        <v>27</v>
      </c>
      <c r="K1616">
        <v>21</v>
      </c>
      <c r="L1616" t="s">
        <v>29</v>
      </c>
    </row>
    <row r="1617" spans="1:12" x14ac:dyDescent="0.25">
      <c r="A1617">
        <v>1616</v>
      </c>
      <c r="B1617">
        <v>66</v>
      </c>
      <c r="C1617" t="s">
        <v>12</v>
      </c>
      <c r="D1617" t="s">
        <v>15</v>
      </c>
      <c r="E1617">
        <v>21.2</v>
      </c>
      <c r="F1617">
        <v>19</v>
      </c>
      <c r="G1617">
        <v>21.67</v>
      </c>
      <c r="H1617" t="s">
        <v>20</v>
      </c>
      <c r="I1617" t="s">
        <v>24</v>
      </c>
      <c r="J1617" t="s">
        <v>26</v>
      </c>
      <c r="K1617">
        <v>11</v>
      </c>
      <c r="L1617" t="s">
        <v>29</v>
      </c>
    </row>
    <row r="1618" spans="1:12" x14ac:dyDescent="0.25">
      <c r="A1618">
        <v>1617</v>
      </c>
      <c r="B1618">
        <v>46</v>
      </c>
      <c r="C1618" t="s">
        <v>12</v>
      </c>
      <c r="D1618" t="s">
        <v>16</v>
      </c>
      <c r="E1618">
        <v>23.04</v>
      </c>
      <c r="F1618">
        <v>6.09</v>
      </c>
      <c r="G1618">
        <v>7.89</v>
      </c>
      <c r="H1618" t="s">
        <v>20</v>
      </c>
      <c r="I1618" t="s">
        <v>24</v>
      </c>
      <c r="J1618" t="s">
        <v>26</v>
      </c>
      <c r="K1618">
        <v>31</v>
      </c>
      <c r="L1618" t="s">
        <v>29</v>
      </c>
    </row>
    <row r="1619" spans="1:12" x14ac:dyDescent="0.25">
      <c r="A1619">
        <v>1618</v>
      </c>
      <c r="B1619">
        <v>60</v>
      </c>
      <c r="C1619" t="s">
        <v>13</v>
      </c>
      <c r="D1619" t="s">
        <v>14</v>
      </c>
      <c r="E1619">
        <v>16.2</v>
      </c>
      <c r="F1619">
        <v>12.75</v>
      </c>
      <c r="G1619">
        <v>18.28</v>
      </c>
      <c r="H1619" t="s">
        <v>18</v>
      </c>
      <c r="I1619" t="s">
        <v>22</v>
      </c>
      <c r="J1619" t="s">
        <v>26</v>
      </c>
      <c r="K1619">
        <v>12</v>
      </c>
      <c r="L1619" t="s">
        <v>30</v>
      </c>
    </row>
    <row r="1620" spans="1:12" x14ac:dyDescent="0.25">
      <c r="A1620">
        <v>1619</v>
      </c>
      <c r="B1620">
        <v>39</v>
      </c>
      <c r="C1620" t="s">
        <v>13</v>
      </c>
      <c r="D1620" t="s">
        <v>16</v>
      </c>
      <c r="E1620">
        <v>21.99</v>
      </c>
      <c r="F1620">
        <v>23.04</v>
      </c>
      <c r="G1620">
        <v>8.2799999999999994</v>
      </c>
      <c r="H1620" t="s">
        <v>19</v>
      </c>
      <c r="I1620" t="s">
        <v>23</v>
      </c>
      <c r="J1620" t="s">
        <v>26</v>
      </c>
      <c r="K1620">
        <v>24</v>
      </c>
      <c r="L1620" t="s">
        <v>30</v>
      </c>
    </row>
    <row r="1621" spans="1:12" x14ac:dyDescent="0.25">
      <c r="A1621">
        <v>1620</v>
      </c>
      <c r="B1621">
        <v>43</v>
      </c>
      <c r="C1621" t="s">
        <v>12</v>
      </c>
      <c r="D1621" t="s">
        <v>15</v>
      </c>
      <c r="E1621">
        <v>10.49</v>
      </c>
      <c r="F1621">
        <v>8.14</v>
      </c>
      <c r="G1621">
        <v>27.31</v>
      </c>
      <c r="H1621" t="s">
        <v>19</v>
      </c>
      <c r="I1621" t="s">
        <v>23</v>
      </c>
      <c r="J1621" t="s">
        <v>26</v>
      </c>
      <c r="K1621">
        <v>26</v>
      </c>
      <c r="L1621" t="s">
        <v>29</v>
      </c>
    </row>
    <row r="1622" spans="1:12" x14ac:dyDescent="0.25">
      <c r="A1622">
        <v>1621</v>
      </c>
      <c r="B1622">
        <v>45</v>
      </c>
      <c r="C1622" t="s">
        <v>13</v>
      </c>
      <c r="D1622" t="s">
        <v>17</v>
      </c>
      <c r="E1622">
        <v>23.79</v>
      </c>
      <c r="F1622">
        <v>20.6</v>
      </c>
      <c r="G1622">
        <v>8.66</v>
      </c>
      <c r="H1622" t="s">
        <v>20</v>
      </c>
      <c r="I1622" t="s">
        <v>24</v>
      </c>
      <c r="J1622" t="s">
        <v>27</v>
      </c>
      <c r="K1622">
        <v>10</v>
      </c>
      <c r="L1622" t="s">
        <v>29</v>
      </c>
    </row>
    <row r="1623" spans="1:12" x14ac:dyDescent="0.25">
      <c r="A1623">
        <v>1622</v>
      </c>
      <c r="B1623">
        <v>67</v>
      </c>
      <c r="C1623" t="s">
        <v>12</v>
      </c>
      <c r="D1623" t="s">
        <v>17</v>
      </c>
      <c r="E1623">
        <v>14.77</v>
      </c>
      <c r="F1623">
        <v>19.239999999999998</v>
      </c>
      <c r="G1623">
        <v>19.48</v>
      </c>
      <c r="H1623" t="s">
        <v>19</v>
      </c>
      <c r="I1623" t="s">
        <v>23</v>
      </c>
      <c r="J1623" t="s">
        <v>26</v>
      </c>
      <c r="K1623">
        <v>8</v>
      </c>
      <c r="L1623" t="s">
        <v>29</v>
      </c>
    </row>
    <row r="1624" spans="1:12" x14ac:dyDescent="0.25">
      <c r="A1624">
        <v>1623</v>
      </c>
      <c r="B1624">
        <v>38</v>
      </c>
      <c r="C1624" t="s">
        <v>13</v>
      </c>
      <c r="D1624" t="s">
        <v>17</v>
      </c>
      <c r="E1624">
        <v>37.64</v>
      </c>
      <c r="F1624">
        <v>12.46</v>
      </c>
      <c r="G1624">
        <v>6.44</v>
      </c>
      <c r="H1624" t="s">
        <v>20</v>
      </c>
      <c r="I1624" t="s">
        <v>23</v>
      </c>
      <c r="J1624" t="s">
        <v>25</v>
      </c>
      <c r="K1624">
        <v>9</v>
      </c>
      <c r="L1624" t="s">
        <v>29</v>
      </c>
    </row>
    <row r="1625" spans="1:12" x14ac:dyDescent="0.25">
      <c r="A1625">
        <v>1624</v>
      </c>
      <c r="B1625">
        <v>66</v>
      </c>
      <c r="C1625" t="s">
        <v>13</v>
      </c>
      <c r="D1625" t="s">
        <v>14</v>
      </c>
      <c r="E1625">
        <v>19.010000000000002</v>
      </c>
      <c r="F1625">
        <v>3.26</v>
      </c>
      <c r="G1625">
        <v>5.72</v>
      </c>
      <c r="H1625" t="s">
        <v>18</v>
      </c>
      <c r="I1625" t="s">
        <v>22</v>
      </c>
      <c r="J1625" t="s">
        <v>26</v>
      </c>
      <c r="K1625">
        <v>22</v>
      </c>
      <c r="L1625" t="s">
        <v>29</v>
      </c>
    </row>
    <row r="1626" spans="1:12" x14ac:dyDescent="0.25">
      <c r="A1626">
        <v>1625</v>
      </c>
      <c r="B1626">
        <v>24</v>
      </c>
      <c r="C1626" t="s">
        <v>12</v>
      </c>
      <c r="D1626" t="s">
        <v>14</v>
      </c>
      <c r="E1626">
        <v>11.62</v>
      </c>
      <c r="F1626">
        <v>1.24</v>
      </c>
      <c r="G1626">
        <v>4.9000000000000004</v>
      </c>
      <c r="H1626" t="s">
        <v>20</v>
      </c>
      <c r="I1626" t="s">
        <v>23</v>
      </c>
      <c r="J1626" t="s">
        <v>26</v>
      </c>
      <c r="K1626">
        <v>19</v>
      </c>
      <c r="L1626" t="s">
        <v>29</v>
      </c>
    </row>
    <row r="1627" spans="1:12" x14ac:dyDescent="0.25">
      <c r="A1627">
        <v>1626</v>
      </c>
      <c r="B1627">
        <v>34</v>
      </c>
      <c r="C1627" t="s">
        <v>12</v>
      </c>
      <c r="D1627" t="s">
        <v>16</v>
      </c>
      <c r="E1627">
        <v>24.05</v>
      </c>
      <c r="F1627">
        <v>5.47</v>
      </c>
      <c r="G1627">
        <v>4.6399999999999997</v>
      </c>
      <c r="H1627" t="s">
        <v>18</v>
      </c>
      <c r="I1627" t="s">
        <v>24</v>
      </c>
      <c r="J1627" t="s">
        <v>25</v>
      </c>
      <c r="K1627">
        <v>10</v>
      </c>
      <c r="L1627" t="s">
        <v>29</v>
      </c>
    </row>
    <row r="1628" spans="1:12" x14ac:dyDescent="0.25">
      <c r="A1628">
        <v>1627</v>
      </c>
      <c r="B1628">
        <v>37</v>
      </c>
      <c r="C1628" t="s">
        <v>12</v>
      </c>
      <c r="D1628" t="s">
        <v>17</v>
      </c>
      <c r="E1628">
        <v>38.64</v>
      </c>
      <c r="F1628">
        <v>6.93</v>
      </c>
      <c r="G1628">
        <v>18.82</v>
      </c>
      <c r="H1628" t="s">
        <v>19</v>
      </c>
      <c r="I1628" t="s">
        <v>23</v>
      </c>
      <c r="J1628" t="s">
        <v>27</v>
      </c>
      <c r="K1628">
        <v>15</v>
      </c>
      <c r="L1628" t="s">
        <v>29</v>
      </c>
    </row>
    <row r="1629" spans="1:12" x14ac:dyDescent="0.25">
      <c r="A1629">
        <v>1628</v>
      </c>
      <c r="B1629">
        <v>58</v>
      </c>
      <c r="C1629" t="s">
        <v>12</v>
      </c>
      <c r="D1629" t="s">
        <v>15</v>
      </c>
      <c r="E1629">
        <v>12.4</v>
      </c>
      <c r="F1629">
        <v>8.14</v>
      </c>
      <c r="G1629">
        <v>14.9</v>
      </c>
      <c r="H1629" t="s">
        <v>21</v>
      </c>
      <c r="I1629" t="s">
        <v>23</v>
      </c>
      <c r="J1629" t="s">
        <v>26</v>
      </c>
      <c r="K1629">
        <v>26</v>
      </c>
      <c r="L1629" t="s">
        <v>29</v>
      </c>
    </row>
    <row r="1630" spans="1:12" x14ac:dyDescent="0.25">
      <c r="A1630">
        <v>1629</v>
      </c>
      <c r="B1630">
        <v>66</v>
      </c>
      <c r="C1630" t="s">
        <v>13</v>
      </c>
      <c r="D1630" t="s">
        <v>15</v>
      </c>
      <c r="E1630">
        <v>10.93</v>
      </c>
      <c r="F1630">
        <v>15.27</v>
      </c>
      <c r="G1630">
        <v>3.28</v>
      </c>
      <c r="H1630" t="s">
        <v>21</v>
      </c>
      <c r="I1630" t="s">
        <v>22</v>
      </c>
      <c r="J1630" t="s">
        <v>25</v>
      </c>
      <c r="K1630">
        <v>33</v>
      </c>
      <c r="L1630" t="s">
        <v>30</v>
      </c>
    </row>
    <row r="1631" spans="1:12" x14ac:dyDescent="0.25">
      <c r="A1631">
        <v>1630</v>
      </c>
      <c r="B1631">
        <v>37</v>
      </c>
      <c r="C1631" t="s">
        <v>12</v>
      </c>
      <c r="D1631" t="s">
        <v>17</v>
      </c>
      <c r="E1631">
        <v>1.17</v>
      </c>
      <c r="F1631">
        <v>5.26</v>
      </c>
      <c r="G1631">
        <v>6.3</v>
      </c>
      <c r="H1631" t="s">
        <v>21</v>
      </c>
      <c r="I1631" t="s">
        <v>22</v>
      </c>
      <c r="J1631" t="s">
        <v>27</v>
      </c>
      <c r="K1631">
        <v>25</v>
      </c>
      <c r="L1631" t="s">
        <v>30</v>
      </c>
    </row>
    <row r="1632" spans="1:12" x14ac:dyDescent="0.25">
      <c r="A1632">
        <v>1631</v>
      </c>
      <c r="B1632">
        <v>71</v>
      </c>
      <c r="C1632" t="s">
        <v>13</v>
      </c>
      <c r="D1632" t="s">
        <v>17</v>
      </c>
      <c r="E1632">
        <v>18.97</v>
      </c>
      <c r="F1632">
        <v>15.56</v>
      </c>
      <c r="G1632">
        <v>3.08</v>
      </c>
      <c r="H1632" t="s">
        <v>20</v>
      </c>
      <c r="I1632" t="s">
        <v>23</v>
      </c>
      <c r="J1632" t="s">
        <v>25</v>
      </c>
      <c r="K1632">
        <v>19</v>
      </c>
      <c r="L1632" t="s">
        <v>30</v>
      </c>
    </row>
    <row r="1633" spans="1:12" x14ac:dyDescent="0.25">
      <c r="A1633">
        <v>1632</v>
      </c>
      <c r="B1633">
        <v>39</v>
      </c>
      <c r="C1633" t="s">
        <v>12</v>
      </c>
      <c r="D1633" t="s">
        <v>16</v>
      </c>
      <c r="E1633">
        <v>13.77</v>
      </c>
      <c r="F1633">
        <v>28.89</v>
      </c>
      <c r="G1633">
        <v>22.14</v>
      </c>
      <c r="H1633" t="s">
        <v>21</v>
      </c>
      <c r="I1633" t="s">
        <v>22</v>
      </c>
      <c r="J1633" t="s">
        <v>26</v>
      </c>
      <c r="K1633">
        <v>26</v>
      </c>
      <c r="L1633" t="s">
        <v>29</v>
      </c>
    </row>
    <row r="1634" spans="1:12" x14ac:dyDescent="0.25">
      <c r="A1634">
        <v>1633</v>
      </c>
      <c r="B1634">
        <v>45</v>
      </c>
      <c r="C1634" t="s">
        <v>12</v>
      </c>
      <c r="D1634" t="s">
        <v>16</v>
      </c>
      <c r="E1634">
        <v>23.99</v>
      </c>
      <c r="F1634">
        <v>8.69</v>
      </c>
      <c r="G1634">
        <v>8.41</v>
      </c>
      <c r="H1634" t="s">
        <v>20</v>
      </c>
      <c r="I1634" t="s">
        <v>23</v>
      </c>
      <c r="J1634" t="s">
        <v>25</v>
      </c>
      <c r="K1634">
        <v>12</v>
      </c>
      <c r="L1634" t="s">
        <v>29</v>
      </c>
    </row>
    <row r="1635" spans="1:12" x14ac:dyDescent="0.25">
      <c r="A1635">
        <v>1634</v>
      </c>
      <c r="B1635">
        <v>78</v>
      </c>
      <c r="C1635" t="s">
        <v>13</v>
      </c>
      <c r="D1635" t="s">
        <v>15</v>
      </c>
      <c r="E1635">
        <v>24.32</v>
      </c>
      <c r="F1635">
        <v>11.57</v>
      </c>
      <c r="G1635">
        <v>12.62</v>
      </c>
      <c r="H1635" t="s">
        <v>19</v>
      </c>
      <c r="I1635" t="s">
        <v>24</v>
      </c>
      <c r="J1635" t="s">
        <v>26</v>
      </c>
      <c r="K1635">
        <v>33</v>
      </c>
      <c r="L1635" t="s">
        <v>29</v>
      </c>
    </row>
    <row r="1636" spans="1:12" x14ac:dyDescent="0.25">
      <c r="A1636">
        <v>1635</v>
      </c>
      <c r="B1636">
        <v>57</v>
      </c>
      <c r="C1636" t="s">
        <v>12</v>
      </c>
      <c r="D1636" t="s">
        <v>17</v>
      </c>
      <c r="E1636">
        <v>5.61</v>
      </c>
      <c r="F1636">
        <v>27.72</v>
      </c>
      <c r="G1636">
        <v>14.17</v>
      </c>
      <c r="H1636" t="s">
        <v>18</v>
      </c>
      <c r="I1636" t="s">
        <v>23</v>
      </c>
      <c r="J1636" t="s">
        <v>25</v>
      </c>
      <c r="K1636">
        <v>22</v>
      </c>
      <c r="L1636" t="s">
        <v>29</v>
      </c>
    </row>
    <row r="1637" spans="1:12" x14ac:dyDescent="0.25">
      <c r="A1637">
        <v>1636</v>
      </c>
      <c r="B1637">
        <v>66</v>
      </c>
      <c r="C1637" t="s">
        <v>12</v>
      </c>
      <c r="D1637" t="s">
        <v>15</v>
      </c>
      <c r="E1637">
        <v>30.27</v>
      </c>
      <c r="F1637">
        <v>16.989999999999998</v>
      </c>
      <c r="G1637">
        <v>4.3899999999999997</v>
      </c>
      <c r="H1637" t="s">
        <v>21</v>
      </c>
      <c r="I1637" t="s">
        <v>24</v>
      </c>
      <c r="J1637" t="s">
        <v>26</v>
      </c>
      <c r="K1637">
        <v>18</v>
      </c>
      <c r="L1637" t="s">
        <v>29</v>
      </c>
    </row>
    <row r="1638" spans="1:12" x14ac:dyDescent="0.25">
      <c r="A1638">
        <v>1637</v>
      </c>
      <c r="B1638">
        <v>24</v>
      </c>
      <c r="C1638" t="s">
        <v>12</v>
      </c>
      <c r="D1638" t="s">
        <v>15</v>
      </c>
      <c r="E1638">
        <v>9.7899999999999991</v>
      </c>
      <c r="F1638">
        <v>5.41</v>
      </c>
      <c r="G1638">
        <v>4.37</v>
      </c>
      <c r="H1638" t="s">
        <v>20</v>
      </c>
      <c r="I1638" t="s">
        <v>22</v>
      </c>
      <c r="J1638" t="s">
        <v>26</v>
      </c>
      <c r="K1638">
        <v>16</v>
      </c>
      <c r="L1638" t="s">
        <v>30</v>
      </c>
    </row>
    <row r="1639" spans="1:12" x14ac:dyDescent="0.25">
      <c r="A1639">
        <v>1638</v>
      </c>
      <c r="B1639">
        <v>18</v>
      </c>
      <c r="C1639" t="s">
        <v>12</v>
      </c>
      <c r="D1639" t="s">
        <v>14</v>
      </c>
      <c r="E1639">
        <v>12.45</v>
      </c>
      <c r="F1639">
        <v>30.42</v>
      </c>
      <c r="G1639">
        <v>4.04</v>
      </c>
      <c r="H1639" t="s">
        <v>19</v>
      </c>
      <c r="I1639" t="s">
        <v>23</v>
      </c>
      <c r="J1639" t="s">
        <v>25</v>
      </c>
      <c r="K1639">
        <v>5</v>
      </c>
      <c r="L1639" t="s">
        <v>29</v>
      </c>
    </row>
    <row r="1640" spans="1:12" x14ac:dyDescent="0.25">
      <c r="A1640">
        <v>1639</v>
      </c>
      <c r="B1640">
        <v>49</v>
      </c>
      <c r="C1640" t="s">
        <v>13</v>
      </c>
      <c r="D1640" t="s">
        <v>15</v>
      </c>
      <c r="E1640">
        <v>21.6</v>
      </c>
      <c r="F1640">
        <v>11.38</v>
      </c>
      <c r="G1640">
        <v>12</v>
      </c>
      <c r="H1640" t="s">
        <v>19</v>
      </c>
      <c r="I1640" t="s">
        <v>23</v>
      </c>
      <c r="J1640" t="s">
        <v>26</v>
      </c>
      <c r="K1640">
        <v>32</v>
      </c>
      <c r="L1640" t="s">
        <v>29</v>
      </c>
    </row>
    <row r="1641" spans="1:12" x14ac:dyDescent="0.25">
      <c r="A1641">
        <v>1640</v>
      </c>
      <c r="B1641">
        <v>30</v>
      </c>
      <c r="C1641" t="s">
        <v>13</v>
      </c>
      <c r="D1641" t="s">
        <v>17</v>
      </c>
      <c r="E1641">
        <v>7.35</v>
      </c>
      <c r="F1641">
        <v>5.96</v>
      </c>
      <c r="G1641">
        <v>2.5499999999999998</v>
      </c>
      <c r="H1641" t="s">
        <v>21</v>
      </c>
      <c r="I1641" t="s">
        <v>22</v>
      </c>
      <c r="J1641" t="s">
        <v>26</v>
      </c>
      <c r="K1641">
        <v>20</v>
      </c>
      <c r="L1641" t="s">
        <v>29</v>
      </c>
    </row>
    <row r="1642" spans="1:12" x14ac:dyDescent="0.25">
      <c r="A1642">
        <v>1641</v>
      </c>
      <c r="B1642">
        <v>47</v>
      </c>
      <c r="C1642" t="s">
        <v>12</v>
      </c>
      <c r="D1642" t="s">
        <v>15</v>
      </c>
      <c r="E1642">
        <v>11.02</v>
      </c>
      <c r="F1642">
        <v>2.0099999999999998</v>
      </c>
      <c r="G1642">
        <v>21.66</v>
      </c>
      <c r="H1642" t="s">
        <v>19</v>
      </c>
      <c r="I1642" t="s">
        <v>23</v>
      </c>
      <c r="J1642" t="s">
        <v>27</v>
      </c>
      <c r="K1642">
        <v>8</v>
      </c>
      <c r="L1642" t="s">
        <v>30</v>
      </c>
    </row>
    <row r="1643" spans="1:12" x14ac:dyDescent="0.25">
      <c r="A1643">
        <v>1642</v>
      </c>
      <c r="B1643">
        <v>40</v>
      </c>
      <c r="C1643" t="s">
        <v>12</v>
      </c>
      <c r="D1643" t="s">
        <v>14</v>
      </c>
      <c r="E1643">
        <v>6.81</v>
      </c>
      <c r="F1643">
        <v>5.32</v>
      </c>
      <c r="G1643">
        <v>3.49</v>
      </c>
      <c r="H1643" t="s">
        <v>19</v>
      </c>
      <c r="I1643" t="s">
        <v>23</v>
      </c>
      <c r="J1643" t="s">
        <v>27</v>
      </c>
      <c r="K1643">
        <v>22</v>
      </c>
      <c r="L1643" t="s">
        <v>30</v>
      </c>
    </row>
    <row r="1644" spans="1:12" x14ac:dyDescent="0.25">
      <c r="A1644">
        <v>1643</v>
      </c>
      <c r="B1644">
        <v>68</v>
      </c>
      <c r="C1644" t="s">
        <v>12</v>
      </c>
      <c r="D1644" t="s">
        <v>17</v>
      </c>
      <c r="E1644">
        <v>31.91</v>
      </c>
      <c r="F1644">
        <v>11.02</v>
      </c>
      <c r="G1644">
        <v>3.16</v>
      </c>
      <c r="H1644" t="s">
        <v>19</v>
      </c>
      <c r="I1644" t="s">
        <v>23</v>
      </c>
      <c r="J1644" t="s">
        <v>26</v>
      </c>
      <c r="K1644">
        <v>21</v>
      </c>
      <c r="L1644" t="s">
        <v>29</v>
      </c>
    </row>
    <row r="1645" spans="1:12" x14ac:dyDescent="0.25">
      <c r="A1645">
        <v>1644</v>
      </c>
      <c r="B1645">
        <v>76</v>
      </c>
      <c r="C1645" t="s">
        <v>13</v>
      </c>
      <c r="D1645" t="s">
        <v>15</v>
      </c>
      <c r="E1645">
        <v>13.23</v>
      </c>
      <c r="F1645">
        <v>4.1100000000000003</v>
      </c>
      <c r="G1645">
        <v>16.97</v>
      </c>
      <c r="H1645" t="s">
        <v>20</v>
      </c>
      <c r="I1645" t="s">
        <v>22</v>
      </c>
      <c r="J1645" t="s">
        <v>26</v>
      </c>
      <c r="K1645">
        <v>28</v>
      </c>
      <c r="L1645" t="s">
        <v>29</v>
      </c>
    </row>
    <row r="1646" spans="1:12" x14ac:dyDescent="0.25">
      <c r="A1646">
        <v>1645</v>
      </c>
      <c r="B1646">
        <v>73</v>
      </c>
      <c r="C1646" t="s">
        <v>13</v>
      </c>
      <c r="D1646" t="s">
        <v>17</v>
      </c>
      <c r="E1646">
        <v>6.27</v>
      </c>
      <c r="F1646">
        <v>4.71</v>
      </c>
      <c r="G1646">
        <v>22.49</v>
      </c>
      <c r="H1646" t="s">
        <v>19</v>
      </c>
      <c r="I1646" t="s">
        <v>22</v>
      </c>
      <c r="J1646" t="s">
        <v>26</v>
      </c>
      <c r="K1646">
        <v>14</v>
      </c>
      <c r="L1646" t="s">
        <v>29</v>
      </c>
    </row>
    <row r="1647" spans="1:12" x14ac:dyDescent="0.25">
      <c r="A1647">
        <v>1646</v>
      </c>
      <c r="B1647">
        <v>36</v>
      </c>
      <c r="C1647" t="s">
        <v>13</v>
      </c>
      <c r="D1647" t="s">
        <v>16</v>
      </c>
      <c r="E1647">
        <v>6.65</v>
      </c>
      <c r="F1647">
        <v>23.82</v>
      </c>
      <c r="G1647">
        <v>27.09</v>
      </c>
      <c r="H1647" t="s">
        <v>19</v>
      </c>
      <c r="I1647" t="s">
        <v>23</v>
      </c>
      <c r="J1647" t="s">
        <v>26</v>
      </c>
      <c r="K1647">
        <v>10</v>
      </c>
      <c r="L1647" t="s">
        <v>30</v>
      </c>
    </row>
    <row r="1648" spans="1:12" x14ac:dyDescent="0.25">
      <c r="A1648">
        <v>1647</v>
      </c>
      <c r="B1648">
        <v>79</v>
      </c>
      <c r="C1648" t="s">
        <v>13</v>
      </c>
      <c r="D1648" t="s">
        <v>14</v>
      </c>
      <c r="E1648">
        <v>28.71</v>
      </c>
      <c r="F1648">
        <v>11.52</v>
      </c>
      <c r="G1648">
        <v>17.53</v>
      </c>
      <c r="H1648" t="s">
        <v>19</v>
      </c>
      <c r="I1648" t="s">
        <v>22</v>
      </c>
      <c r="J1648" t="s">
        <v>28</v>
      </c>
      <c r="K1648">
        <v>12</v>
      </c>
      <c r="L1648" t="s">
        <v>29</v>
      </c>
    </row>
    <row r="1649" spans="1:12" x14ac:dyDescent="0.25">
      <c r="A1649">
        <v>1648</v>
      </c>
      <c r="B1649">
        <v>49</v>
      </c>
      <c r="C1649" t="s">
        <v>12</v>
      </c>
      <c r="D1649" t="s">
        <v>15</v>
      </c>
      <c r="E1649">
        <v>9.1300000000000008</v>
      </c>
      <c r="F1649">
        <v>2.39</v>
      </c>
      <c r="G1649">
        <v>0.85</v>
      </c>
      <c r="H1649" t="s">
        <v>19</v>
      </c>
      <c r="I1649" t="s">
        <v>22</v>
      </c>
      <c r="J1649" t="s">
        <v>25</v>
      </c>
      <c r="K1649">
        <v>23</v>
      </c>
      <c r="L1649" t="s">
        <v>29</v>
      </c>
    </row>
    <row r="1650" spans="1:12" x14ac:dyDescent="0.25">
      <c r="A1650">
        <v>1649</v>
      </c>
      <c r="B1650">
        <v>47</v>
      </c>
      <c r="C1650" t="s">
        <v>12</v>
      </c>
      <c r="D1650" t="s">
        <v>14</v>
      </c>
      <c r="E1650">
        <v>12.25</v>
      </c>
      <c r="F1650">
        <v>16.05</v>
      </c>
      <c r="G1650">
        <v>14.4</v>
      </c>
      <c r="H1650" t="s">
        <v>19</v>
      </c>
      <c r="I1650" t="s">
        <v>23</v>
      </c>
      <c r="J1650" t="s">
        <v>26</v>
      </c>
      <c r="K1650">
        <v>31</v>
      </c>
      <c r="L1650" t="s">
        <v>29</v>
      </c>
    </row>
    <row r="1651" spans="1:12" x14ac:dyDescent="0.25">
      <c r="A1651">
        <v>1650</v>
      </c>
      <c r="B1651">
        <v>46</v>
      </c>
      <c r="C1651" t="s">
        <v>12</v>
      </c>
      <c r="D1651" t="s">
        <v>14</v>
      </c>
      <c r="E1651">
        <v>17.78</v>
      </c>
      <c r="F1651">
        <v>1.25</v>
      </c>
      <c r="G1651">
        <v>5.12</v>
      </c>
      <c r="H1651" t="s">
        <v>20</v>
      </c>
      <c r="I1651" t="s">
        <v>24</v>
      </c>
      <c r="J1651" t="s">
        <v>26</v>
      </c>
      <c r="K1651">
        <v>33</v>
      </c>
      <c r="L1651" t="s">
        <v>30</v>
      </c>
    </row>
    <row r="1652" spans="1:12" x14ac:dyDescent="0.25">
      <c r="A1652">
        <v>1651</v>
      </c>
      <c r="B1652">
        <v>66</v>
      </c>
      <c r="C1652" t="s">
        <v>13</v>
      </c>
      <c r="D1652" t="s">
        <v>14</v>
      </c>
      <c r="E1652">
        <v>13.89</v>
      </c>
      <c r="F1652">
        <v>11.02</v>
      </c>
      <c r="G1652">
        <v>13.32</v>
      </c>
      <c r="H1652" t="s">
        <v>19</v>
      </c>
      <c r="I1652" t="s">
        <v>22</v>
      </c>
      <c r="J1652" t="s">
        <v>25</v>
      </c>
      <c r="K1652">
        <v>9</v>
      </c>
      <c r="L1652" t="s">
        <v>29</v>
      </c>
    </row>
    <row r="1653" spans="1:12" x14ac:dyDescent="0.25">
      <c r="A1653">
        <v>1652</v>
      </c>
      <c r="B1653">
        <v>62</v>
      </c>
      <c r="C1653" t="s">
        <v>12</v>
      </c>
      <c r="D1653" t="s">
        <v>16</v>
      </c>
      <c r="E1653">
        <v>3.48</v>
      </c>
      <c r="F1653">
        <v>10.01</v>
      </c>
      <c r="G1653">
        <v>4.0199999999999996</v>
      </c>
      <c r="H1653" t="s">
        <v>19</v>
      </c>
      <c r="I1653" t="s">
        <v>24</v>
      </c>
      <c r="J1653" t="s">
        <v>25</v>
      </c>
      <c r="K1653">
        <v>32</v>
      </c>
      <c r="L1653" t="s">
        <v>29</v>
      </c>
    </row>
    <row r="1654" spans="1:12" x14ac:dyDescent="0.25">
      <c r="A1654">
        <v>1653</v>
      </c>
      <c r="B1654">
        <v>46</v>
      </c>
      <c r="C1654" t="s">
        <v>13</v>
      </c>
      <c r="D1654" t="s">
        <v>16</v>
      </c>
      <c r="E1654">
        <v>25.65</v>
      </c>
      <c r="F1654">
        <v>40.090000000000003</v>
      </c>
      <c r="G1654">
        <v>8.6</v>
      </c>
      <c r="H1654" t="s">
        <v>18</v>
      </c>
      <c r="I1654" t="s">
        <v>23</v>
      </c>
      <c r="J1654" t="s">
        <v>25</v>
      </c>
      <c r="K1654">
        <v>6</v>
      </c>
      <c r="L1654" t="s">
        <v>29</v>
      </c>
    </row>
    <row r="1655" spans="1:12" x14ac:dyDescent="0.25">
      <c r="A1655">
        <v>1654</v>
      </c>
      <c r="B1655">
        <v>47</v>
      </c>
      <c r="C1655" t="s">
        <v>13</v>
      </c>
      <c r="D1655" t="s">
        <v>17</v>
      </c>
      <c r="E1655">
        <v>14.62</v>
      </c>
      <c r="F1655">
        <v>19.98</v>
      </c>
      <c r="G1655">
        <v>18.53</v>
      </c>
      <c r="H1655" t="s">
        <v>19</v>
      </c>
      <c r="I1655" t="s">
        <v>24</v>
      </c>
      <c r="J1655" t="s">
        <v>26</v>
      </c>
      <c r="K1655">
        <v>32</v>
      </c>
      <c r="L1655" t="s">
        <v>30</v>
      </c>
    </row>
    <row r="1656" spans="1:12" x14ac:dyDescent="0.25">
      <c r="A1656">
        <v>1655</v>
      </c>
      <c r="B1656">
        <v>33</v>
      </c>
      <c r="C1656" t="s">
        <v>12</v>
      </c>
      <c r="D1656" t="s">
        <v>16</v>
      </c>
      <c r="E1656">
        <v>21.04</v>
      </c>
      <c r="F1656">
        <v>9.6</v>
      </c>
      <c r="G1656">
        <v>6.46</v>
      </c>
      <c r="H1656" t="s">
        <v>19</v>
      </c>
      <c r="I1656" t="s">
        <v>22</v>
      </c>
      <c r="J1656" t="s">
        <v>26</v>
      </c>
      <c r="K1656">
        <v>27</v>
      </c>
      <c r="L1656" t="s">
        <v>29</v>
      </c>
    </row>
    <row r="1657" spans="1:12" x14ac:dyDescent="0.25">
      <c r="A1657">
        <v>1656</v>
      </c>
      <c r="B1657">
        <v>57</v>
      </c>
      <c r="C1657" t="s">
        <v>12</v>
      </c>
      <c r="D1657" t="s">
        <v>17</v>
      </c>
      <c r="E1657">
        <v>26.84</v>
      </c>
      <c r="F1657">
        <v>17.89</v>
      </c>
      <c r="G1657">
        <v>11.24</v>
      </c>
      <c r="H1657" t="s">
        <v>20</v>
      </c>
      <c r="I1657" t="s">
        <v>22</v>
      </c>
      <c r="J1657" t="s">
        <v>26</v>
      </c>
      <c r="K1657">
        <v>16</v>
      </c>
      <c r="L1657" t="s">
        <v>30</v>
      </c>
    </row>
    <row r="1658" spans="1:12" x14ac:dyDescent="0.25">
      <c r="A1658">
        <v>1657</v>
      </c>
      <c r="B1658">
        <v>36</v>
      </c>
      <c r="C1658" t="s">
        <v>12</v>
      </c>
      <c r="D1658" t="s">
        <v>16</v>
      </c>
      <c r="E1658">
        <v>2.74</v>
      </c>
      <c r="F1658">
        <v>1.39</v>
      </c>
      <c r="G1658">
        <v>9.6</v>
      </c>
      <c r="H1658" t="s">
        <v>19</v>
      </c>
      <c r="I1658" t="s">
        <v>22</v>
      </c>
      <c r="J1658" t="s">
        <v>26</v>
      </c>
      <c r="K1658">
        <v>26</v>
      </c>
      <c r="L1658" t="s">
        <v>29</v>
      </c>
    </row>
    <row r="1659" spans="1:12" x14ac:dyDescent="0.25">
      <c r="A1659">
        <v>1658</v>
      </c>
      <c r="B1659">
        <v>35</v>
      </c>
      <c r="C1659" t="s">
        <v>13</v>
      </c>
      <c r="D1659" t="s">
        <v>17</v>
      </c>
      <c r="E1659">
        <v>27</v>
      </c>
      <c r="F1659">
        <v>9.92</v>
      </c>
      <c r="G1659">
        <v>6.62</v>
      </c>
      <c r="H1659" t="s">
        <v>20</v>
      </c>
      <c r="I1659" t="s">
        <v>23</v>
      </c>
      <c r="J1659" t="s">
        <v>26</v>
      </c>
      <c r="K1659">
        <v>33</v>
      </c>
      <c r="L1659" t="s">
        <v>29</v>
      </c>
    </row>
    <row r="1660" spans="1:12" x14ac:dyDescent="0.25">
      <c r="A1660">
        <v>1659</v>
      </c>
      <c r="B1660">
        <v>18</v>
      </c>
      <c r="C1660" t="s">
        <v>13</v>
      </c>
      <c r="D1660" t="s">
        <v>16</v>
      </c>
      <c r="E1660">
        <v>66.540000000000006</v>
      </c>
      <c r="F1660">
        <v>5.75</v>
      </c>
      <c r="G1660">
        <v>17.760000000000002</v>
      </c>
      <c r="H1660" t="s">
        <v>21</v>
      </c>
      <c r="I1660" t="s">
        <v>24</v>
      </c>
      <c r="J1660" t="s">
        <v>27</v>
      </c>
      <c r="K1660">
        <v>30</v>
      </c>
      <c r="L1660" t="s">
        <v>30</v>
      </c>
    </row>
    <row r="1661" spans="1:12" x14ac:dyDescent="0.25">
      <c r="A1661">
        <v>1660</v>
      </c>
      <c r="B1661">
        <v>31</v>
      </c>
      <c r="C1661" t="s">
        <v>12</v>
      </c>
      <c r="D1661" t="s">
        <v>14</v>
      </c>
      <c r="E1661">
        <v>22.51</v>
      </c>
      <c r="F1661">
        <v>10.82</v>
      </c>
      <c r="G1661">
        <v>8.81</v>
      </c>
      <c r="H1661" t="s">
        <v>19</v>
      </c>
      <c r="I1661" t="s">
        <v>22</v>
      </c>
      <c r="J1661" t="s">
        <v>26</v>
      </c>
      <c r="K1661">
        <v>27</v>
      </c>
      <c r="L1661" t="s">
        <v>30</v>
      </c>
    </row>
    <row r="1662" spans="1:12" x14ac:dyDescent="0.25">
      <c r="A1662">
        <v>1661</v>
      </c>
      <c r="B1662">
        <v>68</v>
      </c>
      <c r="C1662" t="s">
        <v>12</v>
      </c>
      <c r="D1662" t="s">
        <v>15</v>
      </c>
      <c r="E1662">
        <v>38.01</v>
      </c>
      <c r="F1662">
        <v>1.19</v>
      </c>
      <c r="G1662">
        <v>10.130000000000001</v>
      </c>
      <c r="H1662" t="s">
        <v>18</v>
      </c>
      <c r="I1662" t="s">
        <v>23</v>
      </c>
      <c r="J1662" t="s">
        <v>27</v>
      </c>
      <c r="K1662">
        <v>21</v>
      </c>
      <c r="L1662" t="s">
        <v>29</v>
      </c>
    </row>
    <row r="1663" spans="1:12" x14ac:dyDescent="0.25">
      <c r="A1663">
        <v>1662</v>
      </c>
      <c r="B1663">
        <v>64</v>
      </c>
      <c r="C1663" t="s">
        <v>13</v>
      </c>
      <c r="D1663" t="s">
        <v>14</v>
      </c>
      <c r="E1663">
        <v>31.24</v>
      </c>
      <c r="F1663">
        <v>15.74</v>
      </c>
      <c r="G1663">
        <v>9.8800000000000008</v>
      </c>
      <c r="H1663" t="s">
        <v>20</v>
      </c>
      <c r="I1663" t="s">
        <v>23</v>
      </c>
      <c r="J1663" t="s">
        <v>26</v>
      </c>
      <c r="K1663">
        <v>6</v>
      </c>
      <c r="L1663" t="s">
        <v>30</v>
      </c>
    </row>
    <row r="1664" spans="1:12" x14ac:dyDescent="0.25">
      <c r="A1664">
        <v>1663</v>
      </c>
      <c r="B1664">
        <v>67</v>
      </c>
      <c r="C1664" t="s">
        <v>12</v>
      </c>
      <c r="D1664" t="s">
        <v>17</v>
      </c>
      <c r="E1664">
        <v>26.38</v>
      </c>
      <c r="F1664">
        <v>13.74</v>
      </c>
      <c r="G1664">
        <v>13.24</v>
      </c>
      <c r="H1664" t="s">
        <v>21</v>
      </c>
      <c r="I1664" t="s">
        <v>23</v>
      </c>
      <c r="J1664" t="s">
        <v>26</v>
      </c>
      <c r="K1664">
        <v>34</v>
      </c>
      <c r="L1664" t="s">
        <v>29</v>
      </c>
    </row>
    <row r="1665" spans="1:12" x14ac:dyDescent="0.25">
      <c r="A1665">
        <v>1664</v>
      </c>
      <c r="B1665">
        <v>19</v>
      </c>
      <c r="C1665" t="s">
        <v>13</v>
      </c>
      <c r="D1665" t="s">
        <v>14</v>
      </c>
      <c r="E1665">
        <v>31.93</v>
      </c>
      <c r="F1665">
        <v>20.440000000000001</v>
      </c>
      <c r="G1665">
        <v>3.85</v>
      </c>
      <c r="H1665" t="s">
        <v>18</v>
      </c>
      <c r="I1665" t="s">
        <v>22</v>
      </c>
      <c r="J1665" t="s">
        <v>26</v>
      </c>
      <c r="K1665">
        <v>27</v>
      </c>
      <c r="L1665" t="s">
        <v>29</v>
      </c>
    </row>
    <row r="1666" spans="1:12" x14ac:dyDescent="0.25">
      <c r="A1666">
        <v>1665</v>
      </c>
      <c r="B1666">
        <v>71</v>
      </c>
      <c r="C1666" t="s">
        <v>13</v>
      </c>
      <c r="D1666" t="s">
        <v>17</v>
      </c>
      <c r="E1666">
        <v>35.31</v>
      </c>
      <c r="F1666">
        <v>6.91</v>
      </c>
      <c r="G1666">
        <v>14.97</v>
      </c>
      <c r="H1666" t="s">
        <v>20</v>
      </c>
      <c r="I1666" t="s">
        <v>22</v>
      </c>
      <c r="J1666" t="s">
        <v>26</v>
      </c>
      <c r="K1666">
        <v>24</v>
      </c>
      <c r="L1666" t="s">
        <v>29</v>
      </c>
    </row>
    <row r="1667" spans="1:12" x14ac:dyDescent="0.25">
      <c r="A1667">
        <v>1666</v>
      </c>
      <c r="B1667">
        <v>45</v>
      </c>
      <c r="C1667" t="s">
        <v>12</v>
      </c>
      <c r="D1667" t="s">
        <v>17</v>
      </c>
      <c r="E1667">
        <v>36.17</v>
      </c>
      <c r="F1667">
        <v>16.16</v>
      </c>
      <c r="G1667">
        <v>2.56</v>
      </c>
      <c r="H1667" t="s">
        <v>21</v>
      </c>
      <c r="I1667" t="s">
        <v>22</v>
      </c>
      <c r="J1667" t="s">
        <v>27</v>
      </c>
      <c r="K1667">
        <v>30</v>
      </c>
      <c r="L1667" t="s">
        <v>30</v>
      </c>
    </row>
    <row r="1668" spans="1:12" x14ac:dyDescent="0.25">
      <c r="A1668">
        <v>1667</v>
      </c>
      <c r="B1668">
        <v>66</v>
      </c>
      <c r="C1668" t="s">
        <v>12</v>
      </c>
      <c r="D1668" t="s">
        <v>14</v>
      </c>
      <c r="E1668">
        <v>6.63</v>
      </c>
      <c r="F1668">
        <v>32.15</v>
      </c>
      <c r="G1668">
        <v>2.54</v>
      </c>
      <c r="H1668" t="s">
        <v>18</v>
      </c>
      <c r="I1668" t="s">
        <v>23</v>
      </c>
      <c r="J1668" t="s">
        <v>26</v>
      </c>
      <c r="K1668">
        <v>20</v>
      </c>
      <c r="L1668" t="s">
        <v>30</v>
      </c>
    </row>
    <row r="1669" spans="1:12" x14ac:dyDescent="0.25">
      <c r="A1669">
        <v>1668</v>
      </c>
      <c r="B1669">
        <v>67</v>
      </c>
      <c r="C1669" t="s">
        <v>12</v>
      </c>
      <c r="D1669" t="s">
        <v>15</v>
      </c>
      <c r="E1669">
        <v>33.15</v>
      </c>
      <c r="F1669">
        <v>7.8</v>
      </c>
      <c r="G1669">
        <v>15.69</v>
      </c>
      <c r="H1669" t="s">
        <v>19</v>
      </c>
      <c r="I1669" t="s">
        <v>22</v>
      </c>
      <c r="J1669" t="s">
        <v>26</v>
      </c>
      <c r="K1669">
        <v>9</v>
      </c>
      <c r="L1669" t="s">
        <v>29</v>
      </c>
    </row>
    <row r="1670" spans="1:12" x14ac:dyDescent="0.25">
      <c r="A1670">
        <v>1669</v>
      </c>
      <c r="B1670">
        <v>47</v>
      </c>
      <c r="C1670" t="s">
        <v>12</v>
      </c>
      <c r="D1670" t="s">
        <v>14</v>
      </c>
      <c r="E1670">
        <v>14.47</v>
      </c>
      <c r="F1670">
        <v>2.78</v>
      </c>
      <c r="G1670">
        <v>16.510000000000002</v>
      </c>
      <c r="H1670" t="s">
        <v>18</v>
      </c>
      <c r="I1670" t="s">
        <v>22</v>
      </c>
      <c r="J1670" t="s">
        <v>27</v>
      </c>
      <c r="K1670">
        <v>13</v>
      </c>
      <c r="L1670" t="s">
        <v>29</v>
      </c>
    </row>
    <row r="1671" spans="1:12" x14ac:dyDescent="0.25">
      <c r="A1671">
        <v>1670</v>
      </c>
      <c r="B1671">
        <v>55</v>
      </c>
      <c r="C1671" t="s">
        <v>13</v>
      </c>
      <c r="D1671" t="s">
        <v>17</v>
      </c>
      <c r="E1671">
        <v>36.97</v>
      </c>
      <c r="F1671">
        <v>15.47</v>
      </c>
      <c r="G1671">
        <v>4.13</v>
      </c>
      <c r="H1671" t="s">
        <v>18</v>
      </c>
      <c r="I1671" t="s">
        <v>23</v>
      </c>
      <c r="J1671" t="s">
        <v>26</v>
      </c>
      <c r="K1671">
        <v>13</v>
      </c>
      <c r="L1671" t="s">
        <v>29</v>
      </c>
    </row>
    <row r="1672" spans="1:12" x14ac:dyDescent="0.25">
      <c r="A1672">
        <v>1671</v>
      </c>
      <c r="B1672">
        <v>68</v>
      </c>
      <c r="C1672" t="s">
        <v>13</v>
      </c>
      <c r="D1672" t="s">
        <v>17</v>
      </c>
      <c r="E1672">
        <v>23.79</v>
      </c>
      <c r="F1672">
        <v>7.25</v>
      </c>
      <c r="G1672">
        <v>33.97</v>
      </c>
      <c r="H1672" t="s">
        <v>18</v>
      </c>
      <c r="I1672" t="s">
        <v>23</v>
      </c>
      <c r="J1672" t="s">
        <v>26</v>
      </c>
      <c r="K1672">
        <v>11</v>
      </c>
      <c r="L1672" t="s">
        <v>29</v>
      </c>
    </row>
    <row r="1673" spans="1:12" x14ac:dyDescent="0.25">
      <c r="A1673">
        <v>1672</v>
      </c>
      <c r="B1673">
        <v>21</v>
      </c>
      <c r="C1673" t="s">
        <v>13</v>
      </c>
      <c r="D1673" t="s">
        <v>15</v>
      </c>
      <c r="E1673">
        <v>6.55</v>
      </c>
      <c r="F1673">
        <v>3.92</v>
      </c>
      <c r="G1673">
        <v>16.02</v>
      </c>
      <c r="H1673" t="s">
        <v>20</v>
      </c>
      <c r="I1673" t="s">
        <v>23</v>
      </c>
      <c r="J1673" t="s">
        <v>26</v>
      </c>
      <c r="K1673">
        <v>25</v>
      </c>
      <c r="L1673" t="s">
        <v>29</v>
      </c>
    </row>
    <row r="1674" spans="1:12" x14ac:dyDescent="0.25">
      <c r="A1674">
        <v>1673</v>
      </c>
      <c r="B1674">
        <v>18</v>
      </c>
      <c r="C1674" t="s">
        <v>12</v>
      </c>
      <c r="D1674" t="s">
        <v>17</v>
      </c>
      <c r="E1674">
        <v>40.1</v>
      </c>
      <c r="F1674">
        <v>4.67</v>
      </c>
      <c r="G1674">
        <v>4.2</v>
      </c>
      <c r="H1674" t="s">
        <v>19</v>
      </c>
      <c r="I1674" t="s">
        <v>24</v>
      </c>
      <c r="J1674" t="s">
        <v>26</v>
      </c>
      <c r="K1674">
        <v>35</v>
      </c>
      <c r="L1674" t="s">
        <v>30</v>
      </c>
    </row>
    <row r="1675" spans="1:12" x14ac:dyDescent="0.25">
      <c r="A1675">
        <v>1674</v>
      </c>
      <c r="B1675">
        <v>25</v>
      </c>
      <c r="C1675" t="s">
        <v>13</v>
      </c>
      <c r="D1675" t="s">
        <v>15</v>
      </c>
      <c r="E1675">
        <v>9.82</v>
      </c>
      <c r="F1675">
        <v>2.38</v>
      </c>
      <c r="G1675">
        <v>2.83</v>
      </c>
      <c r="H1675" t="s">
        <v>19</v>
      </c>
      <c r="I1675" t="s">
        <v>22</v>
      </c>
      <c r="J1675" t="s">
        <v>26</v>
      </c>
      <c r="K1675">
        <v>3</v>
      </c>
      <c r="L1675" t="s">
        <v>29</v>
      </c>
    </row>
    <row r="1676" spans="1:12" x14ac:dyDescent="0.25">
      <c r="A1676">
        <v>1675</v>
      </c>
      <c r="B1676">
        <v>46</v>
      </c>
      <c r="C1676" t="s">
        <v>12</v>
      </c>
      <c r="D1676" t="s">
        <v>15</v>
      </c>
      <c r="E1676">
        <v>13.97</v>
      </c>
      <c r="F1676">
        <v>3.93</v>
      </c>
      <c r="G1676">
        <v>7.71</v>
      </c>
      <c r="H1676" t="s">
        <v>20</v>
      </c>
      <c r="I1676" t="s">
        <v>24</v>
      </c>
      <c r="J1676" t="s">
        <v>26</v>
      </c>
      <c r="K1676">
        <v>22</v>
      </c>
      <c r="L1676" t="s">
        <v>30</v>
      </c>
    </row>
    <row r="1677" spans="1:12" x14ac:dyDescent="0.25">
      <c r="A1677">
        <v>1676</v>
      </c>
      <c r="B1677">
        <v>72</v>
      </c>
      <c r="C1677" t="s">
        <v>12</v>
      </c>
      <c r="D1677" t="s">
        <v>15</v>
      </c>
      <c r="E1677">
        <v>45.87</v>
      </c>
      <c r="F1677">
        <v>13.01</v>
      </c>
      <c r="G1677">
        <v>29.74</v>
      </c>
      <c r="H1677" t="s">
        <v>18</v>
      </c>
      <c r="I1677" t="s">
        <v>23</v>
      </c>
      <c r="J1677" t="s">
        <v>27</v>
      </c>
      <c r="K1677">
        <v>7</v>
      </c>
      <c r="L1677" t="s">
        <v>29</v>
      </c>
    </row>
    <row r="1678" spans="1:12" x14ac:dyDescent="0.25">
      <c r="A1678">
        <v>1677</v>
      </c>
      <c r="B1678">
        <v>56</v>
      </c>
      <c r="C1678" t="s">
        <v>12</v>
      </c>
      <c r="D1678" t="s">
        <v>15</v>
      </c>
      <c r="E1678">
        <v>19.09</v>
      </c>
      <c r="F1678">
        <v>13.36</v>
      </c>
      <c r="G1678">
        <v>14.95</v>
      </c>
      <c r="H1678" t="s">
        <v>19</v>
      </c>
      <c r="I1678" t="s">
        <v>24</v>
      </c>
      <c r="J1678" t="s">
        <v>27</v>
      </c>
      <c r="K1678">
        <v>31</v>
      </c>
      <c r="L1678" t="s">
        <v>29</v>
      </c>
    </row>
    <row r="1679" spans="1:12" x14ac:dyDescent="0.25">
      <c r="A1679">
        <v>1678</v>
      </c>
      <c r="B1679">
        <v>20</v>
      </c>
      <c r="C1679" t="s">
        <v>12</v>
      </c>
      <c r="D1679" t="s">
        <v>14</v>
      </c>
      <c r="E1679">
        <v>13.55</v>
      </c>
      <c r="F1679">
        <v>5.09</v>
      </c>
      <c r="G1679">
        <v>6.02</v>
      </c>
      <c r="H1679" t="s">
        <v>18</v>
      </c>
      <c r="I1679" t="s">
        <v>22</v>
      </c>
      <c r="J1679" t="s">
        <v>26</v>
      </c>
      <c r="K1679">
        <v>28</v>
      </c>
      <c r="L1679" t="s">
        <v>29</v>
      </c>
    </row>
    <row r="1680" spans="1:12" x14ac:dyDescent="0.25">
      <c r="A1680">
        <v>1679</v>
      </c>
      <c r="B1680">
        <v>49</v>
      </c>
      <c r="C1680" t="s">
        <v>12</v>
      </c>
      <c r="D1680" t="s">
        <v>14</v>
      </c>
      <c r="E1680">
        <v>16.47</v>
      </c>
      <c r="F1680">
        <v>38.770000000000003</v>
      </c>
      <c r="G1680">
        <v>5.61</v>
      </c>
      <c r="H1680" t="s">
        <v>19</v>
      </c>
      <c r="I1680" t="s">
        <v>22</v>
      </c>
      <c r="J1680" t="s">
        <v>26</v>
      </c>
      <c r="K1680">
        <v>5</v>
      </c>
      <c r="L1680" t="s">
        <v>29</v>
      </c>
    </row>
    <row r="1681" spans="1:12" x14ac:dyDescent="0.25">
      <c r="A1681">
        <v>1680</v>
      </c>
      <c r="B1681">
        <v>27</v>
      </c>
      <c r="C1681" t="s">
        <v>12</v>
      </c>
      <c r="D1681" t="s">
        <v>17</v>
      </c>
      <c r="E1681">
        <v>13.34</v>
      </c>
      <c r="F1681">
        <v>10.66</v>
      </c>
      <c r="G1681">
        <v>3.7</v>
      </c>
      <c r="H1681" t="s">
        <v>20</v>
      </c>
      <c r="I1681" t="s">
        <v>23</v>
      </c>
      <c r="J1681" t="s">
        <v>26</v>
      </c>
      <c r="K1681">
        <v>23</v>
      </c>
      <c r="L1681" t="s">
        <v>29</v>
      </c>
    </row>
    <row r="1682" spans="1:12" x14ac:dyDescent="0.25">
      <c r="A1682">
        <v>1681</v>
      </c>
      <c r="B1682">
        <v>27</v>
      </c>
      <c r="C1682" t="s">
        <v>13</v>
      </c>
      <c r="D1682" t="s">
        <v>16</v>
      </c>
      <c r="E1682">
        <v>28.68</v>
      </c>
      <c r="F1682">
        <v>12.42</v>
      </c>
      <c r="G1682">
        <v>9.32</v>
      </c>
      <c r="H1682" t="s">
        <v>21</v>
      </c>
      <c r="I1682" t="s">
        <v>22</v>
      </c>
      <c r="J1682" t="s">
        <v>25</v>
      </c>
      <c r="K1682">
        <v>15</v>
      </c>
      <c r="L1682" t="s">
        <v>29</v>
      </c>
    </row>
    <row r="1683" spans="1:12" x14ac:dyDescent="0.25">
      <c r="A1683">
        <v>1682</v>
      </c>
      <c r="B1683">
        <v>36</v>
      </c>
      <c r="C1683" t="s">
        <v>12</v>
      </c>
      <c r="D1683" t="s">
        <v>15</v>
      </c>
      <c r="E1683">
        <v>13.64</v>
      </c>
      <c r="F1683">
        <v>14.39</v>
      </c>
      <c r="G1683">
        <v>7.24</v>
      </c>
      <c r="H1683" t="s">
        <v>18</v>
      </c>
      <c r="I1683" t="s">
        <v>24</v>
      </c>
      <c r="J1683" t="s">
        <v>26</v>
      </c>
      <c r="K1683">
        <v>33</v>
      </c>
      <c r="L1683" t="s">
        <v>29</v>
      </c>
    </row>
    <row r="1684" spans="1:12" x14ac:dyDescent="0.25">
      <c r="A1684">
        <v>1683</v>
      </c>
      <c r="B1684">
        <v>63</v>
      </c>
      <c r="C1684" t="s">
        <v>13</v>
      </c>
      <c r="D1684" t="s">
        <v>16</v>
      </c>
      <c r="E1684">
        <v>16.850000000000001</v>
      </c>
      <c r="F1684">
        <v>5.36</v>
      </c>
      <c r="G1684">
        <v>4.18</v>
      </c>
      <c r="H1684" t="s">
        <v>19</v>
      </c>
      <c r="I1684" t="s">
        <v>23</v>
      </c>
      <c r="J1684" t="s">
        <v>27</v>
      </c>
      <c r="K1684">
        <v>19</v>
      </c>
      <c r="L1684" t="s">
        <v>30</v>
      </c>
    </row>
    <row r="1685" spans="1:12" x14ac:dyDescent="0.25">
      <c r="A1685">
        <v>1684</v>
      </c>
      <c r="B1685">
        <v>51</v>
      </c>
      <c r="C1685" t="s">
        <v>13</v>
      </c>
      <c r="D1685" t="s">
        <v>14</v>
      </c>
      <c r="E1685">
        <v>25.08</v>
      </c>
      <c r="F1685">
        <v>18.57</v>
      </c>
      <c r="G1685">
        <v>7.59</v>
      </c>
      <c r="H1685" t="s">
        <v>19</v>
      </c>
      <c r="I1685" t="s">
        <v>23</v>
      </c>
      <c r="J1685" t="s">
        <v>25</v>
      </c>
      <c r="K1685">
        <v>25</v>
      </c>
      <c r="L1685" t="s">
        <v>30</v>
      </c>
    </row>
    <row r="1686" spans="1:12" x14ac:dyDescent="0.25">
      <c r="A1686">
        <v>1685</v>
      </c>
      <c r="B1686">
        <v>77</v>
      </c>
      <c r="C1686" t="s">
        <v>12</v>
      </c>
      <c r="D1686" t="s">
        <v>14</v>
      </c>
      <c r="E1686">
        <v>23.33</v>
      </c>
      <c r="F1686">
        <v>2.0699999999999998</v>
      </c>
      <c r="G1686">
        <v>4.6900000000000004</v>
      </c>
      <c r="H1686" t="s">
        <v>19</v>
      </c>
      <c r="I1686" t="s">
        <v>22</v>
      </c>
      <c r="J1686" t="s">
        <v>26</v>
      </c>
      <c r="K1686">
        <v>5</v>
      </c>
      <c r="L1686" t="s">
        <v>29</v>
      </c>
    </row>
    <row r="1687" spans="1:12" x14ac:dyDescent="0.25">
      <c r="A1687">
        <v>1686</v>
      </c>
      <c r="B1687">
        <v>50</v>
      </c>
      <c r="C1687" t="s">
        <v>12</v>
      </c>
      <c r="D1687" t="s">
        <v>17</v>
      </c>
      <c r="E1687">
        <v>10.45</v>
      </c>
      <c r="F1687">
        <v>3.52</v>
      </c>
      <c r="G1687">
        <v>7.92</v>
      </c>
      <c r="H1687" t="s">
        <v>20</v>
      </c>
      <c r="I1687" t="s">
        <v>24</v>
      </c>
      <c r="J1687" t="s">
        <v>25</v>
      </c>
      <c r="K1687">
        <v>4</v>
      </c>
      <c r="L1687" t="s">
        <v>29</v>
      </c>
    </row>
    <row r="1688" spans="1:12" x14ac:dyDescent="0.25">
      <c r="A1688">
        <v>1687</v>
      </c>
      <c r="B1688">
        <v>40</v>
      </c>
      <c r="C1688" t="s">
        <v>12</v>
      </c>
      <c r="D1688" t="s">
        <v>16</v>
      </c>
      <c r="E1688">
        <v>28.9</v>
      </c>
      <c r="F1688">
        <v>5.4</v>
      </c>
      <c r="G1688">
        <v>19.920000000000002</v>
      </c>
      <c r="H1688" t="s">
        <v>20</v>
      </c>
      <c r="I1688" t="s">
        <v>22</v>
      </c>
      <c r="J1688" t="s">
        <v>26</v>
      </c>
      <c r="K1688">
        <v>5</v>
      </c>
      <c r="L1688" t="s">
        <v>29</v>
      </c>
    </row>
    <row r="1689" spans="1:12" x14ac:dyDescent="0.25">
      <c r="A1689">
        <v>1688</v>
      </c>
      <c r="B1689">
        <v>72</v>
      </c>
      <c r="C1689" t="s">
        <v>13</v>
      </c>
      <c r="D1689" t="s">
        <v>15</v>
      </c>
      <c r="E1689">
        <v>11.93</v>
      </c>
      <c r="F1689">
        <v>11.58</v>
      </c>
      <c r="G1689">
        <v>25.88</v>
      </c>
      <c r="H1689" t="s">
        <v>21</v>
      </c>
      <c r="I1689" t="s">
        <v>23</v>
      </c>
      <c r="J1689" t="s">
        <v>26</v>
      </c>
      <c r="K1689">
        <v>22</v>
      </c>
      <c r="L1689" t="s">
        <v>29</v>
      </c>
    </row>
    <row r="1690" spans="1:12" x14ac:dyDescent="0.25">
      <c r="A1690">
        <v>1689</v>
      </c>
      <c r="B1690">
        <v>45</v>
      </c>
      <c r="C1690" t="s">
        <v>12</v>
      </c>
      <c r="D1690" t="s">
        <v>14</v>
      </c>
      <c r="E1690">
        <v>7.86</v>
      </c>
      <c r="F1690">
        <v>2.97</v>
      </c>
      <c r="G1690">
        <v>29.4</v>
      </c>
      <c r="H1690" t="s">
        <v>20</v>
      </c>
      <c r="I1690" t="s">
        <v>23</v>
      </c>
      <c r="J1690" t="s">
        <v>26</v>
      </c>
      <c r="K1690">
        <v>11</v>
      </c>
      <c r="L1690" t="s">
        <v>29</v>
      </c>
    </row>
    <row r="1691" spans="1:12" x14ac:dyDescent="0.25">
      <c r="A1691">
        <v>1690</v>
      </c>
      <c r="B1691">
        <v>49</v>
      </c>
      <c r="C1691" t="s">
        <v>13</v>
      </c>
      <c r="D1691" t="s">
        <v>15</v>
      </c>
      <c r="E1691">
        <v>3.81</v>
      </c>
      <c r="F1691">
        <v>3.25</v>
      </c>
      <c r="G1691">
        <v>22.33</v>
      </c>
      <c r="H1691" t="s">
        <v>18</v>
      </c>
      <c r="I1691" t="s">
        <v>23</v>
      </c>
      <c r="J1691" t="s">
        <v>26</v>
      </c>
      <c r="K1691">
        <v>6</v>
      </c>
      <c r="L1691" t="s">
        <v>29</v>
      </c>
    </row>
    <row r="1692" spans="1:12" x14ac:dyDescent="0.25">
      <c r="A1692">
        <v>1691</v>
      </c>
      <c r="B1692">
        <v>67</v>
      </c>
      <c r="C1692" t="s">
        <v>12</v>
      </c>
      <c r="D1692" t="s">
        <v>16</v>
      </c>
      <c r="E1692">
        <v>15.33</v>
      </c>
      <c r="F1692">
        <v>25.64</v>
      </c>
      <c r="G1692">
        <v>11.11</v>
      </c>
      <c r="H1692" t="s">
        <v>20</v>
      </c>
      <c r="I1692" t="s">
        <v>24</v>
      </c>
      <c r="J1692" t="s">
        <v>25</v>
      </c>
      <c r="K1692">
        <v>27</v>
      </c>
      <c r="L1692" t="s">
        <v>29</v>
      </c>
    </row>
    <row r="1693" spans="1:12" x14ac:dyDescent="0.25">
      <c r="A1693">
        <v>1692</v>
      </c>
      <c r="B1693">
        <v>24</v>
      </c>
      <c r="C1693" t="s">
        <v>12</v>
      </c>
      <c r="D1693" t="s">
        <v>16</v>
      </c>
      <c r="E1693">
        <v>4.59</v>
      </c>
      <c r="F1693">
        <v>23.45</v>
      </c>
      <c r="G1693">
        <v>25.56</v>
      </c>
      <c r="H1693" t="s">
        <v>19</v>
      </c>
      <c r="I1693" t="s">
        <v>22</v>
      </c>
      <c r="J1693" t="s">
        <v>25</v>
      </c>
      <c r="K1693">
        <v>3</v>
      </c>
      <c r="L1693" t="s">
        <v>29</v>
      </c>
    </row>
    <row r="1694" spans="1:12" x14ac:dyDescent="0.25">
      <c r="A1694">
        <v>1693</v>
      </c>
      <c r="B1694">
        <v>46</v>
      </c>
      <c r="C1694" t="s">
        <v>13</v>
      </c>
      <c r="D1694" t="s">
        <v>16</v>
      </c>
      <c r="E1694">
        <v>9.3800000000000008</v>
      </c>
      <c r="F1694">
        <v>2.85</v>
      </c>
      <c r="G1694">
        <v>18.28</v>
      </c>
      <c r="H1694" t="s">
        <v>18</v>
      </c>
      <c r="I1694" t="s">
        <v>22</v>
      </c>
      <c r="J1694" t="s">
        <v>26</v>
      </c>
      <c r="K1694">
        <v>14</v>
      </c>
      <c r="L1694" t="s">
        <v>29</v>
      </c>
    </row>
    <row r="1695" spans="1:12" x14ac:dyDescent="0.25">
      <c r="A1695">
        <v>1694</v>
      </c>
      <c r="B1695">
        <v>25</v>
      </c>
      <c r="C1695" t="s">
        <v>13</v>
      </c>
      <c r="D1695" t="s">
        <v>15</v>
      </c>
      <c r="E1695">
        <v>17.14</v>
      </c>
      <c r="F1695">
        <v>4.96</v>
      </c>
      <c r="G1695">
        <v>5.18</v>
      </c>
      <c r="H1695" t="s">
        <v>20</v>
      </c>
      <c r="I1695" t="s">
        <v>23</v>
      </c>
      <c r="J1695" t="s">
        <v>28</v>
      </c>
      <c r="K1695">
        <v>26</v>
      </c>
      <c r="L1695" t="s">
        <v>29</v>
      </c>
    </row>
    <row r="1696" spans="1:12" x14ac:dyDescent="0.25">
      <c r="A1696">
        <v>1695</v>
      </c>
      <c r="B1696">
        <v>18</v>
      </c>
      <c r="C1696" t="s">
        <v>12</v>
      </c>
      <c r="D1696" t="s">
        <v>14</v>
      </c>
      <c r="E1696">
        <v>34.840000000000003</v>
      </c>
      <c r="F1696">
        <v>9.41</v>
      </c>
      <c r="G1696">
        <v>9.5299999999999994</v>
      </c>
      <c r="H1696" t="s">
        <v>18</v>
      </c>
      <c r="I1696" t="s">
        <v>24</v>
      </c>
      <c r="J1696" t="s">
        <v>26</v>
      </c>
      <c r="K1696">
        <v>11</v>
      </c>
      <c r="L1696" t="s">
        <v>29</v>
      </c>
    </row>
    <row r="1697" spans="1:12" x14ac:dyDescent="0.25">
      <c r="A1697">
        <v>1696</v>
      </c>
      <c r="B1697">
        <v>74</v>
      </c>
      <c r="C1697" t="s">
        <v>13</v>
      </c>
      <c r="D1697" t="s">
        <v>15</v>
      </c>
      <c r="E1697">
        <v>14.24</v>
      </c>
      <c r="F1697">
        <v>15.01</v>
      </c>
      <c r="G1697">
        <v>3.36</v>
      </c>
      <c r="H1697" t="s">
        <v>18</v>
      </c>
      <c r="I1697" t="s">
        <v>22</v>
      </c>
      <c r="J1697" t="s">
        <v>26</v>
      </c>
      <c r="K1697">
        <v>22</v>
      </c>
      <c r="L1697" t="s">
        <v>29</v>
      </c>
    </row>
    <row r="1698" spans="1:12" x14ac:dyDescent="0.25">
      <c r="A1698">
        <v>1697</v>
      </c>
      <c r="B1698">
        <v>72</v>
      </c>
      <c r="C1698" t="s">
        <v>13</v>
      </c>
      <c r="D1698" t="s">
        <v>16</v>
      </c>
      <c r="E1698">
        <v>5.51</v>
      </c>
      <c r="F1698">
        <v>6.8</v>
      </c>
      <c r="G1698">
        <v>12.24</v>
      </c>
      <c r="H1698" t="s">
        <v>20</v>
      </c>
      <c r="I1698" t="s">
        <v>24</v>
      </c>
      <c r="J1698" t="s">
        <v>26</v>
      </c>
      <c r="K1698">
        <v>7</v>
      </c>
      <c r="L1698" t="s">
        <v>30</v>
      </c>
    </row>
    <row r="1699" spans="1:12" x14ac:dyDescent="0.25">
      <c r="A1699">
        <v>1698</v>
      </c>
      <c r="B1699">
        <v>20</v>
      </c>
      <c r="C1699" t="s">
        <v>13</v>
      </c>
      <c r="D1699" t="s">
        <v>15</v>
      </c>
      <c r="E1699">
        <v>16.09</v>
      </c>
      <c r="F1699">
        <v>6.13</v>
      </c>
      <c r="G1699">
        <v>4.9000000000000004</v>
      </c>
      <c r="H1699" t="s">
        <v>18</v>
      </c>
      <c r="I1699" t="s">
        <v>22</v>
      </c>
      <c r="J1699" t="s">
        <v>25</v>
      </c>
      <c r="K1699">
        <v>22</v>
      </c>
      <c r="L1699" t="s">
        <v>29</v>
      </c>
    </row>
    <row r="1700" spans="1:12" x14ac:dyDescent="0.25">
      <c r="A1700">
        <v>1699</v>
      </c>
      <c r="B1700">
        <v>41</v>
      </c>
      <c r="C1700" t="s">
        <v>13</v>
      </c>
      <c r="D1700" t="s">
        <v>15</v>
      </c>
      <c r="E1700">
        <v>34</v>
      </c>
      <c r="F1700">
        <v>21.52</v>
      </c>
      <c r="G1700">
        <v>26.72</v>
      </c>
      <c r="H1700" t="s">
        <v>19</v>
      </c>
      <c r="I1700" t="s">
        <v>24</v>
      </c>
      <c r="J1700" t="s">
        <v>28</v>
      </c>
      <c r="K1700">
        <v>23</v>
      </c>
      <c r="L1700" t="s">
        <v>30</v>
      </c>
    </row>
    <row r="1701" spans="1:12" x14ac:dyDescent="0.25">
      <c r="A1701">
        <v>1700</v>
      </c>
      <c r="B1701">
        <v>40</v>
      </c>
      <c r="C1701" t="s">
        <v>13</v>
      </c>
      <c r="D1701" t="s">
        <v>17</v>
      </c>
      <c r="E1701">
        <v>14.01</v>
      </c>
      <c r="F1701">
        <v>5.38</v>
      </c>
      <c r="G1701">
        <v>3.05</v>
      </c>
      <c r="H1701" t="s">
        <v>19</v>
      </c>
      <c r="I1701" t="s">
        <v>24</v>
      </c>
      <c r="J1701" t="s">
        <v>25</v>
      </c>
      <c r="K1701">
        <v>4</v>
      </c>
      <c r="L1701" t="s">
        <v>30</v>
      </c>
    </row>
    <row r="1702" spans="1:12" x14ac:dyDescent="0.25">
      <c r="A1702">
        <v>1701</v>
      </c>
      <c r="B1702">
        <v>76</v>
      </c>
      <c r="C1702" t="s">
        <v>12</v>
      </c>
      <c r="D1702" t="s">
        <v>17</v>
      </c>
      <c r="E1702">
        <v>38.51</v>
      </c>
      <c r="F1702">
        <v>7.75</v>
      </c>
      <c r="G1702">
        <v>4.58</v>
      </c>
      <c r="H1702" t="s">
        <v>20</v>
      </c>
      <c r="I1702" t="s">
        <v>23</v>
      </c>
      <c r="J1702" t="s">
        <v>27</v>
      </c>
      <c r="K1702">
        <v>23</v>
      </c>
      <c r="L1702" t="s">
        <v>29</v>
      </c>
    </row>
    <row r="1703" spans="1:12" x14ac:dyDescent="0.25">
      <c r="A1703">
        <v>1702</v>
      </c>
      <c r="B1703">
        <v>78</v>
      </c>
      <c r="C1703" t="s">
        <v>12</v>
      </c>
      <c r="D1703" t="s">
        <v>15</v>
      </c>
      <c r="E1703">
        <v>17.079999999999998</v>
      </c>
      <c r="F1703">
        <v>13.98</v>
      </c>
      <c r="G1703">
        <v>9.91</v>
      </c>
      <c r="H1703" t="s">
        <v>20</v>
      </c>
      <c r="I1703" t="s">
        <v>24</v>
      </c>
      <c r="J1703" t="s">
        <v>26</v>
      </c>
      <c r="K1703">
        <v>26</v>
      </c>
      <c r="L1703" t="s">
        <v>30</v>
      </c>
    </row>
    <row r="1704" spans="1:12" x14ac:dyDescent="0.25">
      <c r="A1704">
        <v>1703</v>
      </c>
      <c r="B1704">
        <v>25</v>
      </c>
      <c r="C1704" t="s">
        <v>13</v>
      </c>
      <c r="D1704" t="s">
        <v>15</v>
      </c>
      <c r="E1704">
        <v>27.07</v>
      </c>
      <c r="F1704">
        <v>14.42</v>
      </c>
      <c r="G1704">
        <v>17.2</v>
      </c>
      <c r="H1704" t="s">
        <v>19</v>
      </c>
      <c r="I1704" t="s">
        <v>23</v>
      </c>
      <c r="J1704" t="s">
        <v>26</v>
      </c>
      <c r="K1704">
        <v>11</v>
      </c>
      <c r="L1704" t="s">
        <v>29</v>
      </c>
    </row>
    <row r="1705" spans="1:12" x14ac:dyDescent="0.25">
      <c r="A1705">
        <v>1704</v>
      </c>
      <c r="B1705">
        <v>71</v>
      </c>
      <c r="C1705" t="s">
        <v>12</v>
      </c>
      <c r="D1705" t="s">
        <v>17</v>
      </c>
      <c r="E1705">
        <v>20.03</v>
      </c>
      <c r="F1705">
        <v>13.37</v>
      </c>
      <c r="G1705">
        <v>8.75</v>
      </c>
      <c r="H1705" t="s">
        <v>20</v>
      </c>
      <c r="I1705" t="s">
        <v>22</v>
      </c>
      <c r="J1705" t="s">
        <v>26</v>
      </c>
      <c r="K1705">
        <v>32</v>
      </c>
      <c r="L1705" t="s">
        <v>29</v>
      </c>
    </row>
    <row r="1706" spans="1:12" x14ac:dyDescent="0.25">
      <c r="A1706">
        <v>1705</v>
      </c>
      <c r="B1706">
        <v>74</v>
      </c>
      <c r="C1706" t="s">
        <v>12</v>
      </c>
      <c r="D1706" t="s">
        <v>16</v>
      </c>
      <c r="E1706">
        <v>37.369999999999997</v>
      </c>
      <c r="F1706">
        <v>12.81</v>
      </c>
      <c r="G1706">
        <v>23.06</v>
      </c>
      <c r="H1706" t="s">
        <v>19</v>
      </c>
      <c r="I1706" t="s">
        <v>24</v>
      </c>
      <c r="J1706" t="s">
        <v>25</v>
      </c>
      <c r="K1706">
        <v>20</v>
      </c>
      <c r="L1706" t="s">
        <v>29</v>
      </c>
    </row>
    <row r="1707" spans="1:12" x14ac:dyDescent="0.25">
      <c r="A1707">
        <v>1706</v>
      </c>
      <c r="B1707">
        <v>64</v>
      </c>
      <c r="C1707" t="s">
        <v>13</v>
      </c>
      <c r="D1707" t="s">
        <v>14</v>
      </c>
      <c r="E1707">
        <v>56.8</v>
      </c>
      <c r="F1707">
        <v>11.63</v>
      </c>
      <c r="G1707">
        <v>4.74</v>
      </c>
      <c r="H1707" t="s">
        <v>18</v>
      </c>
      <c r="I1707" t="s">
        <v>23</v>
      </c>
      <c r="J1707" t="s">
        <v>26</v>
      </c>
      <c r="K1707">
        <v>12</v>
      </c>
      <c r="L1707" t="s">
        <v>30</v>
      </c>
    </row>
    <row r="1708" spans="1:12" x14ac:dyDescent="0.25">
      <c r="A1708">
        <v>1707</v>
      </c>
      <c r="B1708">
        <v>54</v>
      </c>
      <c r="C1708" t="s">
        <v>12</v>
      </c>
      <c r="D1708" t="s">
        <v>15</v>
      </c>
      <c r="E1708">
        <v>12.37</v>
      </c>
      <c r="F1708">
        <v>8.14</v>
      </c>
      <c r="G1708">
        <v>5.99</v>
      </c>
      <c r="H1708" t="s">
        <v>20</v>
      </c>
      <c r="I1708" t="s">
        <v>22</v>
      </c>
      <c r="J1708" t="s">
        <v>27</v>
      </c>
      <c r="K1708">
        <v>23</v>
      </c>
      <c r="L1708" t="s">
        <v>29</v>
      </c>
    </row>
    <row r="1709" spans="1:12" x14ac:dyDescent="0.25">
      <c r="A1709">
        <v>1708</v>
      </c>
      <c r="B1709">
        <v>20</v>
      </c>
      <c r="C1709" t="s">
        <v>13</v>
      </c>
      <c r="D1709" t="s">
        <v>17</v>
      </c>
      <c r="E1709">
        <v>19.27</v>
      </c>
      <c r="F1709">
        <v>18.55</v>
      </c>
      <c r="G1709">
        <v>7.99</v>
      </c>
      <c r="H1709" t="s">
        <v>21</v>
      </c>
      <c r="I1709" t="s">
        <v>22</v>
      </c>
      <c r="J1709" t="s">
        <v>26</v>
      </c>
      <c r="K1709">
        <v>24</v>
      </c>
      <c r="L1709" t="s">
        <v>29</v>
      </c>
    </row>
    <row r="1710" spans="1:12" x14ac:dyDescent="0.25">
      <c r="A1710">
        <v>1709</v>
      </c>
      <c r="B1710">
        <v>68</v>
      </c>
      <c r="C1710" t="s">
        <v>13</v>
      </c>
      <c r="D1710" t="s">
        <v>15</v>
      </c>
      <c r="E1710">
        <v>34.82</v>
      </c>
      <c r="F1710">
        <v>14.95</v>
      </c>
      <c r="G1710">
        <v>8.6999999999999993</v>
      </c>
      <c r="H1710" t="s">
        <v>19</v>
      </c>
      <c r="I1710" t="s">
        <v>22</v>
      </c>
      <c r="J1710" t="s">
        <v>26</v>
      </c>
      <c r="K1710">
        <v>19</v>
      </c>
      <c r="L1710" t="s">
        <v>29</v>
      </c>
    </row>
    <row r="1711" spans="1:12" x14ac:dyDescent="0.25">
      <c r="A1711">
        <v>1710</v>
      </c>
      <c r="B1711">
        <v>50</v>
      </c>
      <c r="C1711" t="s">
        <v>12</v>
      </c>
      <c r="D1711" t="s">
        <v>15</v>
      </c>
      <c r="E1711">
        <v>20.5</v>
      </c>
      <c r="F1711">
        <v>5.99</v>
      </c>
      <c r="G1711">
        <v>11.01</v>
      </c>
      <c r="H1711" t="s">
        <v>19</v>
      </c>
      <c r="I1711" t="s">
        <v>24</v>
      </c>
      <c r="J1711" t="s">
        <v>26</v>
      </c>
      <c r="K1711">
        <v>7</v>
      </c>
      <c r="L1711" t="s">
        <v>29</v>
      </c>
    </row>
    <row r="1712" spans="1:12" x14ac:dyDescent="0.25">
      <c r="A1712">
        <v>1711</v>
      </c>
      <c r="B1712">
        <v>45</v>
      </c>
      <c r="C1712" t="s">
        <v>13</v>
      </c>
      <c r="D1712" t="s">
        <v>16</v>
      </c>
      <c r="E1712">
        <v>3.63</v>
      </c>
      <c r="F1712">
        <v>7.89</v>
      </c>
      <c r="G1712">
        <v>9.93</v>
      </c>
      <c r="H1712" t="s">
        <v>18</v>
      </c>
      <c r="I1712" t="s">
        <v>22</v>
      </c>
      <c r="J1712" t="s">
        <v>25</v>
      </c>
      <c r="K1712">
        <v>8</v>
      </c>
      <c r="L1712" t="s">
        <v>29</v>
      </c>
    </row>
    <row r="1713" spans="1:12" x14ac:dyDescent="0.25">
      <c r="A1713">
        <v>1712</v>
      </c>
      <c r="B1713">
        <v>64</v>
      </c>
      <c r="C1713" t="s">
        <v>13</v>
      </c>
      <c r="D1713" t="s">
        <v>16</v>
      </c>
      <c r="E1713">
        <v>14.16</v>
      </c>
      <c r="F1713">
        <v>3.22</v>
      </c>
      <c r="G1713">
        <v>2.72</v>
      </c>
      <c r="H1713" t="s">
        <v>21</v>
      </c>
      <c r="I1713" t="s">
        <v>24</v>
      </c>
      <c r="J1713" t="s">
        <v>26</v>
      </c>
      <c r="K1713">
        <v>12</v>
      </c>
      <c r="L1713" t="s">
        <v>30</v>
      </c>
    </row>
    <row r="1714" spans="1:12" x14ac:dyDescent="0.25">
      <c r="A1714">
        <v>1713</v>
      </c>
      <c r="B1714">
        <v>25</v>
      </c>
      <c r="C1714" t="s">
        <v>13</v>
      </c>
      <c r="D1714" t="s">
        <v>15</v>
      </c>
      <c r="E1714">
        <v>20.38</v>
      </c>
      <c r="F1714">
        <v>6.69</v>
      </c>
      <c r="G1714">
        <v>7.81</v>
      </c>
      <c r="H1714" t="s">
        <v>21</v>
      </c>
      <c r="I1714" t="s">
        <v>23</v>
      </c>
      <c r="J1714" t="s">
        <v>26</v>
      </c>
      <c r="K1714">
        <v>4</v>
      </c>
      <c r="L1714" t="s">
        <v>29</v>
      </c>
    </row>
    <row r="1715" spans="1:12" x14ac:dyDescent="0.25">
      <c r="A1715">
        <v>1714</v>
      </c>
      <c r="B1715">
        <v>51</v>
      </c>
      <c r="C1715" t="s">
        <v>13</v>
      </c>
      <c r="D1715" t="s">
        <v>15</v>
      </c>
      <c r="E1715">
        <v>43.7</v>
      </c>
      <c r="F1715">
        <v>3.63</v>
      </c>
      <c r="G1715">
        <v>2.4</v>
      </c>
      <c r="H1715" t="s">
        <v>21</v>
      </c>
      <c r="I1715" t="s">
        <v>23</v>
      </c>
      <c r="J1715" t="s">
        <v>26</v>
      </c>
      <c r="K1715">
        <v>9</v>
      </c>
      <c r="L1715" t="s">
        <v>30</v>
      </c>
    </row>
    <row r="1716" spans="1:12" x14ac:dyDescent="0.25">
      <c r="A1716">
        <v>1715</v>
      </c>
      <c r="B1716">
        <v>52</v>
      </c>
      <c r="C1716" t="s">
        <v>13</v>
      </c>
      <c r="D1716" t="s">
        <v>15</v>
      </c>
      <c r="E1716">
        <v>18.579999999999998</v>
      </c>
      <c r="F1716">
        <v>18.91</v>
      </c>
      <c r="G1716">
        <v>3.16</v>
      </c>
      <c r="H1716" t="s">
        <v>19</v>
      </c>
      <c r="I1716" t="s">
        <v>23</v>
      </c>
      <c r="J1716" t="s">
        <v>25</v>
      </c>
      <c r="K1716">
        <v>6</v>
      </c>
      <c r="L1716" t="s">
        <v>29</v>
      </c>
    </row>
    <row r="1717" spans="1:12" x14ac:dyDescent="0.25">
      <c r="A1717">
        <v>1716</v>
      </c>
      <c r="B1717">
        <v>49</v>
      </c>
      <c r="C1717" t="s">
        <v>12</v>
      </c>
      <c r="D1717" t="s">
        <v>14</v>
      </c>
      <c r="E1717">
        <v>8.9</v>
      </c>
      <c r="F1717">
        <v>44.26</v>
      </c>
      <c r="G1717">
        <v>9.61</v>
      </c>
      <c r="H1717" t="s">
        <v>19</v>
      </c>
      <c r="I1717" t="s">
        <v>22</v>
      </c>
      <c r="J1717" t="s">
        <v>25</v>
      </c>
      <c r="K1717">
        <v>21</v>
      </c>
      <c r="L1717" t="s">
        <v>29</v>
      </c>
    </row>
    <row r="1718" spans="1:12" x14ac:dyDescent="0.25">
      <c r="A1718">
        <v>1717</v>
      </c>
      <c r="B1718">
        <v>41</v>
      </c>
      <c r="C1718" t="s">
        <v>12</v>
      </c>
      <c r="D1718" t="s">
        <v>14</v>
      </c>
      <c r="E1718">
        <v>20.7</v>
      </c>
      <c r="F1718">
        <v>3.36</v>
      </c>
      <c r="G1718">
        <v>16.649999999999999</v>
      </c>
      <c r="H1718" t="s">
        <v>21</v>
      </c>
      <c r="I1718" t="s">
        <v>23</v>
      </c>
      <c r="J1718" t="s">
        <v>25</v>
      </c>
      <c r="K1718">
        <v>30</v>
      </c>
      <c r="L1718" t="s">
        <v>29</v>
      </c>
    </row>
    <row r="1719" spans="1:12" x14ac:dyDescent="0.25">
      <c r="A1719">
        <v>1718</v>
      </c>
      <c r="B1719">
        <v>31</v>
      </c>
      <c r="C1719" t="s">
        <v>13</v>
      </c>
      <c r="D1719" t="s">
        <v>15</v>
      </c>
      <c r="E1719">
        <v>41.04</v>
      </c>
      <c r="F1719">
        <v>8.5500000000000007</v>
      </c>
      <c r="G1719">
        <v>15.17</v>
      </c>
      <c r="H1719" t="s">
        <v>20</v>
      </c>
      <c r="I1719" t="s">
        <v>22</v>
      </c>
      <c r="J1719" t="s">
        <v>26</v>
      </c>
      <c r="K1719">
        <v>22</v>
      </c>
      <c r="L1719" t="s">
        <v>29</v>
      </c>
    </row>
    <row r="1720" spans="1:12" x14ac:dyDescent="0.25">
      <c r="A1720">
        <v>1719</v>
      </c>
      <c r="B1720">
        <v>49</v>
      </c>
      <c r="C1720" t="s">
        <v>13</v>
      </c>
      <c r="D1720" t="s">
        <v>15</v>
      </c>
      <c r="E1720">
        <v>10.99</v>
      </c>
      <c r="F1720">
        <v>7.49</v>
      </c>
      <c r="G1720">
        <v>2.2200000000000002</v>
      </c>
      <c r="H1720" t="s">
        <v>21</v>
      </c>
      <c r="I1720" t="s">
        <v>23</v>
      </c>
      <c r="J1720" t="s">
        <v>28</v>
      </c>
      <c r="K1720">
        <v>32</v>
      </c>
      <c r="L1720" t="s">
        <v>30</v>
      </c>
    </row>
    <row r="1721" spans="1:12" x14ac:dyDescent="0.25">
      <c r="A1721">
        <v>1720</v>
      </c>
      <c r="B1721">
        <v>73</v>
      </c>
      <c r="C1721" t="s">
        <v>12</v>
      </c>
      <c r="D1721" t="s">
        <v>14</v>
      </c>
      <c r="E1721">
        <v>12.05</v>
      </c>
      <c r="F1721">
        <v>1.03</v>
      </c>
      <c r="G1721">
        <v>18.98</v>
      </c>
      <c r="H1721" t="s">
        <v>18</v>
      </c>
      <c r="I1721" t="s">
        <v>22</v>
      </c>
      <c r="J1721" t="s">
        <v>27</v>
      </c>
      <c r="K1721">
        <v>4</v>
      </c>
      <c r="L1721" t="s">
        <v>29</v>
      </c>
    </row>
    <row r="1722" spans="1:12" x14ac:dyDescent="0.25">
      <c r="A1722">
        <v>1721</v>
      </c>
      <c r="B1722">
        <v>63</v>
      </c>
      <c r="C1722" t="s">
        <v>13</v>
      </c>
      <c r="D1722" t="s">
        <v>14</v>
      </c>
      <c r="E1722">
        <v>11.12</v>
      </c>
      <c r="F1722">
        <v>5.58</v>
      </c>
      <c r="G1722">
        <v>19.32</v>
      </c>
      <c r="H1722" t="s">
        <v>21</v>
      </c>
      <c r="I1722" t="s">
        <v>23</v>
      </c>
      <c r="J1722" t="s">
        <v>26</v>
      </c>
      <c r="K1722">
        <v>5</v>
      </c>
      <c r="L1722" t="s">
        <v>29</v>
      </c>
    </row>
    <row r="1723" spans="1:12" x14ac:dyDescent="0.25">
      <c r="A1723">
        <v>1722</v>
      </c>
      <c r="B1723">
        <v>60</v>
      </c>
      <c r="C1723" t="s">
        <v>12</v>
      </c>
      <c r="D1723" t="s">
        <v>17</v>
      </c>
      <c r="E1723">
        <v>6.15</v>
      </c>
      <c r="F1723">
        <v>31.31</v>
      </c>
      <c r="G1723">
        <v>8.0500000000000007</v>
      </c>
      <c r="H1723" t="s">
        <v>21</v>
      </c>
      <c r="I1723" t="s">
        <v>22</v>
      </c>
      <c r="J1723" t="s">
        <v>26</v>
      </c>
      <c r="K1723">
        <v>27</v>
      </c>
      <c r="L1723" t="s">
        <v>29</v>
      </c>
    </row>
    <row r="1724" spans="1:12" x14ac:dyDescent="0.25">
      <c r="A1724">
        <v>1723</v>
      </c>
      <c r="B1724">
        <v>33</v>
      </c>
      <c r="C1724" t="s">
        <v>13</v>
      </c>
      <c r="D1724" t="s">
        <v>15</v>
      </c>
      <c r="E1724">
        <v>18.03</v>
      </c>
      <c r="F1724">
        <v>11</v>
      </c>
      <c r="G1724">
        <v>9.48</v>
      </c>
      <c r="H1724" t="s">
        <v>21</v>
      </c>
      <c r="I1724" t="s">
        <v>22</v>
      </c>
      <c r="J1724" t="s">
        <v>26</v>
      </c>
      <c r="K1724">
        <v>4</v>
      </c>
      <c r="L1724" t="s">
        <v>30</v>
      </c>
    </row>
    <row r="1725" spans="1:12" x14ac:dyDescent="0.25">
      <c r="A1725">
        <v>1724</v>
      </c>
      <c r="B1725">
        <v>21</v>
      </c>
      <c r="C1725" t="s">
        <v>13</v>
      </c>
      <c r="D1725" t="s">
        <v>15</v>
      </c>
      <c r="E1725">
        <v>16.64</v>
      </c>
      <c r="F1725">
        <v>8.66</v>
      </c>
      <c r="G1725">
        <v>19.98</v>
      </c>
      <c r="H1725" t="s">
        <v>20</v>
      </c>
      <c r="I1725" t="s">
        <v>24</v>
      </c>
      <c r="J1725" t="s">
        <v>26</v>
      </c>
      <c r="K1725">
        <v>17</v>
      </c>
      <c r="L1725" t="s">
        <v>29</v>
      </c>
    </row>
    <row r="1726" spans="1:12" x14ac:dyDescent="0.25">
      <c r="A1726">
        <v>1725</v>
      </c>
      <c r="B1726">
        <v>69</v>
      </c>
      <c r="C1726" t="s">
        <v>13</v>
      </c>
      <c r="D1726" t="s">
        <v>17</v>
      </c>
      <c r="E1726">
        <v>4.0199999999999996</v>
      </c>
      <c r="F1726">
        <v>3.68</v>
      </c>
      <c r="G1726">
        <v>26.45</v>
      </c>
      <c r="H1726" t="s">
        <v>21</v>
      </c>
      <c r="I1726" t="s">
        <v>22</v>
      </c>
      <c r="J1726" t="s">
        <v>27</v>
      </c>
      <c r="K1726">
        <v>5</v>
      </c>
      <c r="L1726" t="s">
        <v>29</v>
      </c>
    </row>
    <row r="1727" spans="1:12" x14ac:dyDescent="0.25">
      <c r="A1727">
        <v>1726</v>
      </c>
      <c r="B1727">
        <v>54</v>
      </c>
      <c r="C1727" t="s">
        <v>13</v>
      </c>
      <c r="D1727" t="s">
        <v>17</v>
      </c>
      <c r="E1727">
        <v>9.44</v>
      </c>
      <c r="F1727">
        <v>17.149999999999999</v>
      </c>
      <c r="G1727">
        <v>16.38</v>
      </c>
      <c r="H1727" t="s">
        <v>21</v>
      </c>
      <c r="I1727" t="s">
        <v>22</v>
      </c>
      <c r="J1727" t="s">
        <v>25</v>
      </c>
      <c r="K1727">
        <v>7</v>
      </c>
      <c r="L1727" t="s">
        <v>30</v>
      </c>
    </row>
    <row r="1728" spans="1:12" x14ac:dyDescent="0.25">
      <c r="A1728">
        <v>1727</v>
      </c>
      <c r="B1728">
        <v>71</v>
      </c>
      <c r="C1728" t="s">
        <v>13</v>
      </c>
      <c r="D1728" t="s">
        <v>15</v>
      </c>
      <c r="E1728">
        <v>19.64</v>
      </c>
      <c r="F1728">
        <v>6.47</v>
      </c>
      <c r="G1728">
        <v>4.7</v>
      </c>
      <c r="H1728" t="s">
        <v>19</v>
      </c>
      <c r="I1728" t="s">
        <v>24</v>
      </c>
      <c r="J1728" t="s">
        <v>27</v>
      </c>
      <c r="K1728">
        <v>29</v>
      </c>
      <c r="L1728" t="s">
        <v>29</v>
      </c>
    </row>
    <row r="1729" spans="1:12" x14ac:dyDescent="0.25">
      <c r="A1729">
        <v>1728</v>
      </c>
      <c r="B1729">
        <v>38</v>
      </c>
      <c r="C1729" t="s">
        <v>13</v>
      </c>
      <c r="D1729" t="s">
        <v>17</v>
      </c>
      <c r="E1729">
        <v>26.66</v>
      </c>
      <c r="F1729">
        <v>5.28</v>
      </c>
      <c r="G1729">
        <v>11.65</v>
      </c>
      <c r="H1729" t="s">
        <v>21</v>
      </c>
      <c r="I1729" t="s">
        <v>22</v>
      </c>
      <c r="J1729" t="s">
        <v>26</v>
      </c>
      <c r="K1729">
        <v>7</v>
      </c>
      <c r="L1729" t="s">
        <v>30</v>
      </c>
    </row>
    <row r="1730" spans="1:12" x14ac:dyDescent="0.25">
      <c r="A1730">
        <v>1729</v>
      </c>
      <c r="B1730">
        <v>31</v>
      </c>
      <c r="C1730" t="s">
        <v>13</v>
      </c>
      <c r="D1730" t="s">
        <v>15</v>
      </c>
      <c r="E1730">
        <v>31.32</v>
      </c>
      <c r="F1730">
        <v>15.96</v>
      </c>
      <c r="G1730">
        <v>11.8</v>
      </c>
      <c r="H1730" t="s">
        <v>18</v>
      </c>
      <c r="I1730" t="s">
        <v>23</v>
      </c>
      <c r="J1730" t="s">
        <v>25</v>
      </c>
      <c r="K1730">
        <v>19</v>
      </c>
      <c r="L1730" t="s">
        <v>29</v>
      </c>
    </row>
    <row r="1731" spans="1:12" x14ac:dyDescent="0.25">
      <c r="A1731">
        <v>1730</v>
      </c>
      <c r="B1731">
        <v>48</v>
      </c>
      <c r="C1731" t="s">
        <v>12</v>
      </c>
      <c r="D1731" t="s">
        <v>16</v>
      </c>
      <c r="E1731">
        <v>28.03</v>
      </c>
      <c r="F1731">
        <v>8.6</v>
      </c>
      <c r="G1731">
        <v>13.27</v>
      </c>
      <c r="H1731" t="s">
        <v>19</v>
      </c>
      <c r="I1731" t="s">
        <v>24</v>
      </c>
      <c r="J1731" t="s">
        <v>26</v>
      </c>
      <c r="K1731">
        <v>14</v>
      </c>
      <c r="L1731" t="s">
        <v>29</v>
      </c>
    </row>
    <row r="1732" spans="1:12" x14ac:dyDescent="0.25">
      <c r="A1732">
        <v>1731</v>
      </c>
      <c r="B1732">
        <v>72</v>
      </c>
      <c r="C1732" t="s">
        <v>12</v>
      </c>
      <c r="D1732" t="s">
        <v>15</v>
      </c>
      <c r="E1732">
        <v>17.309999999999999</v>
      </c>
      <c r="F1732">
        <v>4.21</v>
      </c>
      <c r="G1732">
        <v>3.32</v>
      </c>
      <c r="H1732" t="s">
        <v>20</v>
      </c>
      <c r="I1732" t="s">
        <v>22</v>
      </c>
      <c r="J1732" t="s">
        <v>26</v>
      </c>
      <c r="K1732">
        <v>33</v>
      </c>
      <c r="L1732" t="s">
        <v>30</v>
      </c>
    </row>
    <row r="1733" spans="1:12" x14ac:dyDescent="0.25">
      <c r="A1733">
        <v>1732</v>
      </c>
      <c r="B1733">
        <v>65</v>
      </c>
      <c r="C1733" t="s">
        <v>12</v>
      </c>
      <c r="D1733" t="s">
        <v>15</v>
      </c>
      <c r="E1733">
        <v>5.31</v>
      </c>
      <c r="F1733">
        <v>16.899999999999999</v>
      </c>
      <c r="G1733">
        <v>9.5</v>
      </c>
      <c r="H1733" t="s">
        <v>19</v>
      </c>
      <c r="I1733" t="s">
        <v>23</v>
      </c>
      <c r="J1733" t="s">
        <v>25</v>
      </c>
      <c r="K1733">
        <v>35</v>
      </c>
      <c r="L1733" t="s">
        <v>29</v>
      </c>
    </row>
    <row r="1734" spans="1:12" x14ac:dyDescent="0.25">
      <c r="A1734">
        <v>1733</v>
      </c>
      <c r="B1734">
        <v>35</v>
      </c>
      <c r="C1734" t="s">
        <v>13</v>
      </c>
      <c r="D1734" t="s">
        <v>17</v>
      </c>
      <c r="E1734">
        <v>14.81</v>
      </c>
      <c r="F1734">
        <v>10.72</v>
      </c>
      <c r="G1734">
        <v>5.07</v>
      </c>
      <c r="H1734" t="s">
        <v>20</v>
      </c>
      <c r="I1734" t="s">
        <v>22</v>
      </c>
      <c r="J1734" t="s">
        <v>26</v>
      </c>
      <c r="K1734">
        <v>31</v>
      </c>
      <c r="L1734" t="s">
        <v>29</v>
      </c>
    </row>
    <row r="1735" spans="1:12" x14ac:dyDescent="0.25">
      <c r="A1735">
        <v>1734</v>
      </c>
      <c r="B1735">
        <v>24</v>
      </c>
      <c r="C1735" t="s">
        <v>13</v>
      </c>
      <c r="D1735" t="s">
        <v>17</v>
      </c>
      <c r="E1735">
        <v>1.7</v>
      </c>
      <c r="F1735">
        <v>17.04</v>
      </c>
      <c r="G1735">
        <v>13.18</v>
      </c>
      <c r="H1735" t="s">
        <v>20</v>
      </c>
      <c r="I1735" t="s">
        <v>24</v>
      </c>
      <c r="J1735" t="s">
        <v>25</v>
      </c>
      <c r="K1735">
        <v>5</v>
      </c>
      <c r="L1735" t="s">
        <v>29</v>
      </c>
    </row>
    <row r="1736" spans="1:12" x14ac:dyDescent="0.25">
      <c r="A1736">
        <v>1735</v>
      </c>
      <c r="B1736">
        <v>27</v>
      </c>
      <c r="C1736" t="s">
        <v>13</v>
      </c>
      <c r="D1736" t="s">
        <v>14</v>
      </c>
      <c r="E1736">
        <v>19.7</v>
      </c>
      <c r="F1736">
        <v>8.9499999999999993</v>
      </c>
      <c r="G1736">
        <v>3.64</v>
      </c>
      <c r="H1736" t="s">
        <v>18</v>
      </c>
      <c r="I1736" t="s">
        <v>24</v>
      </c>
      <c r="J1736" t="s">
        <v>25</v>
      </c>
      <c r="K1736">
        <v>32</v>
      </c>
      <c r="L1736" t="s">
        <v>29</v>
      </c>
    </row>
    <row r="1737" spans="1:12" x14ac:dyDescent="0.25">
      <c r="A1737">
        <v>1736</v>
      </c>
      <c r="B1737">
        <v>24</v>
      </c>
      <c r="C1737" t="s">
        <v>13</v>
      </c>
      <c r="D1737" t="s">
        <v>17</v>
      </c>
      <c r="E1737">
        <v>10.71</v>
      </c>
      <c r="F1737">
        <v>46.51</v>
      </c>
      <c r="G1737">
        <v>8.52</v>
      </c>
      <c r="H1737" t="s">
        <v>21</v>
      </c>
      <c r="I1737" t="s">
        <v>24</v>
      </c>
      <c r="J1737" t="s">
        <v>27</v>
      </c>
      <c r="K1737">
        <v>24</v>
      </c>
      <c r="L1737" t="s">
        <v>29</v>
      </c>
    </row>
    <row r="1738" spans="1:12" x14ac:dyDescent="0.25">
      <c r="A1738">
        <v>1737</v>
      </c>
      <c r="B1738">
        <v>50</v>
      </c>
      <c r="C1738" t="s">
        <v>13</v>
      </c>
      <c r="D1738" t="s">
        <v>15</v>
      </c>
      <c r="E1738">
        <v>2.67</v>
      </c>
      <c r="F1738">
        <v>1.98</v>
      </c>
      <c r="G1738">
        <v>5.5</v>
      </c>
      <c r="H1738" t="s">
        <v>18</v>
      </c>
      <c r="I1738" t="s">
        <v>23</v>
      </c>
      <c r="J1738" t="s">
        <v>26</v>
      </c>
      <c r="K1738">
        <v>34</v>
      </c>
      <c r="L1738" t="s">
        <v>29</v>
      </c>
    </row>
    <row r="1739" spans="1:12" x14ac:dyDescent="0.25">
      <c r="A1739">
        <v>1738</v>
      </c>
      <c r="B1739">
        <v>40</v>
      </c>
      <c r="C1739" t="s">
        <v>13</v>
      </c>
      <c r="D1739" t="s">
        <v>16</v>
      </c>
      <c r="E1739">
        <v>22.11</v>
      </c>
      <c r="F1739">
        <v>43.08</v>
      </c>
      <c r="G1739">
        <v>11.88</v>
      </c>
      <c r="H1739" t="s">
        <v>19</v>
      </c>
      <c r="I1739" t="s">
        <v>23</v>
      </c>
      <c r="J1739" t="s">
        <v>25</v>
      </c>
      <c r="K1739">
        <v>12</v>
      </c>
      <c r="L1739" t="s">
        <v>29</v>
      </c>
    </row>
    <row r="1740" spans="1:12" x14ac:dyDescent="0.25">
      <c r="A1740">
        <v>1739</v>
      </c>
      <c r="B1740">
        <v>38</v>
      </c>
      <c r="C1740" t="s">
        <v>13</v>
      </c>
      <c r="D1740" t="s">
        <v>15</v>
      </c>
      <c r="E1740">
        <v>40.74</v>
      </c>
      <c r="F1740">
        <v>6.01</v>
      </c>
      <c r="G1740">
        <v>13.99</v>
      </c>
      <c r="H1740" t="s">
        <v>20</v>
      </c>
      <c r="I1740" t="s">
        <v>23</v>
      </c>
      <c r="J1740" t="s">
        <v>28</v>
      </c>
      <c r="K1740">
        <v>34</v>
      </c>
      <c r="L1740" t="s">
        <v>29</v>
      </c>
    </row>
    <row r="1741" spans="1:12" x14ac:dyDescent="0.25">
      <c r="A1741">
        <v>1740</v>
      </c>
      <c r="B1741">
        <v>36</v>
      </c>
      <c r="C1741" t="s">
        <v>12</v>
      </c>
      <c r="D1741" t="s">
        <v>14</v>
      </c>
      <c r="E1741">
        <v>4.6500000000000004</v>
      </c>
      <c r="F1741">
        <v>2.11</v>
      </c>
      <c r="G1741">
        <v>4.66</v>
      </c>
      <c r="H1741" t="s">
        <v>19</v>
      </c>
      <c r="I1741" t="s">
        <v>23</v>
      </c>
      <c r="J1741" t="s">
        <v>27</v>
      </c>
      <c r="K1741">
        <v>6</v>
      </c>
      <c r="L1741" t="s">
        <v>30</v>
      </c>
    </row>
    <row r="1742" spans="1:12" x14ac:dyDescent="0.25">
      <c r="A1742">
        <v>1741</v>
      </c>
      <c r="B1742">
        <v>65</v>
      </c>
      <c r="C1742" t="s">
        <v>13</v>
      </c>
      <c r="D1742" t="s">
        <v>17</v>
      </c>
      <c r="E1742">
        <v>23.29</v>
      </c>
      <c r="F1742">
        <v>11.48</v>
      </c>
      <c r="G1742">
        <v>6.79</v>
      </c>
      <c r="H1742" t="s">
        <v>20</v>
      </c>
      <c r="I1742" t="s">
        <v>24</v>
      </c>
      <c r="J1742" t="s">
        <v>25</v>
      </c>
      <c r="K1742">
        <v>31</v>
      </c>
      <c r="L1742" t="s">
        <v>30</v>
      </c>
    </row>
    <row r="1743" spans="1:12" x14ac:dyDescent="0.25">
      <c r="A1743">
        <v>1742</v>
      </c>
      <c r="B1743">
        <v>78</v>
      </c>
      <c r="C1743" t="s">
        <v>12</v>
      </c>
      <c r="D1743" t="s">
        <v>17</v>
      </c>
      <c r="E1743">
        <v>13.1</v>
      </c>
      <c r="F1743">
        <v>21.44</v>
      </c>
      <c r="G1743">
        <v>7</v>
      </c>
      <c r="H1743" t="s">
        <v>19</v>
      </c>
      <c r="I1743" t="s">
        <v>23</v>
      </c>
      <c r="J1743" t="s">
        <v>25</v>
      </c>
      <c r="K1743">
        <v>10</v>
      </c>
      <c r="L1743" t="s">
        <v>29</v>
      </c>
    </row>
    <row r="1744" spans="1:12" x14ac:dyDescent="0.25">
      <c r="A1744">
        <v>1743</v>
      </c>
      <c r="B1744">
        <v>36</v>
      </c>
      <c r="C1744" t="s">
        <v>12</v>
      </c>
      <c r="D1744" t="s">
        <v>15</v>
      </c>
      <c r="E1744">
        <v>9.82</v>
      </c>
      <c r="F1744">
        <v>13.28</v>
      </c>
      <c r="G1744">
        <v>14.66</v>
      </c>
      <c r="H1744" t="s">
        <v>20</v>
      </c>
      <c r="I1744" t="s">
        <v>22</v>
      </c>
      <c r="J1744" t="s">
        <v>26</v>
      </c>
      <c r="K1744">
        <v>22</v>
      </c>
      <c r="L1744" t="s">
        <v>29</v>
      </c>
    </row>
    <row r="1745" spans="1:12" x14ac:dyDescent="0.25">
      <c r="A1745">
        <v>1744</v>
      </c>
      <c r="B1745">
        <v>53</v>
      </c>
      <c r="C1745" t="s">
        <v>13</v>
      </c>
      <c r="D1745" t="s">
        <v>17</v>
      </c>
      <c r="E1745">
        <v>9.83</v>
      </c>
      <c r="F1745">
        <v>1.64</v>
      </c>
      <c r="G1745">
        <v>16.149999999999999</v>
      </c>
      <c r="H1745" t="s">
        <v>18</v>
      </c>
      <c r="I1745" t="s">
        <v>22</v>
      </c>
      <c r="J1745" t="s">
        <v>25</v>
      </c>
      <c r="K1745">
        <v>9</v>
      </c>
      <c r="L1745" t="s">
        <v>30</v>
      </c>
    </row>
    <row r="1746" spans="1:12" x14ac:dyDescent="0.25">
      <c r="A1746">
        <v>1745</v>
      </c>
      <c r="B1746">
        <v>46</v>
      </c>
      <c r="C1746" t="s">
        <v>13</v>
      </c>
      <c r="D1746" t="s">
        <v>14</v>
      </c>
      <c r="E1746">
        <v>13.1</v>
      </c>
      <c r="F1746">
        <v>1.86</v>
      </c>
      <c r="G1746">
        <v>4.33</v>
      </c>
      <c r="H1746" t="s">
        <v>20</v>
      </c>
      <c r="I1746" t="s">
        <v>22</v>
      </c>
      <c r="J1746" t="s">
        <v>25</v>
      </c>
      <c r="K1746">
        <v>3</v>
      </c>
      <c r="L1746" t="s">
        <v>29</v>
      </c>
    </row>
    <row r="1747" spans="1:12" x14ac:dyDescent="0.25">
      <c r="A1747">
        <v>1746</v>
      </c>
      <c r="B1747">
        <v>77</v>
      </c>
      <c r="C1747" t="s">
        <v>12</v>
      </c>
      <c r="D1747" t="s">
        <v>14</v>
      </c>
      <c r="E1747">
        <v>13.06</v>
      </c>
      <c r="F1747">
        <v>2.31</v>
      </c>
      <c r="G1747">
        <v>3.19</v>
      </c>
      <c r="H1747" t="s">
        <v>21</v>
      </c>
      <c r="I1747" t="s">
        <v>23</v>
      </c>
      <c r="J1747" t="s">
        <v>25</v>
      </c>
      <c r="K1747">
        <v>27</v>
      </c>
      <c r="L1747" t="s">
        <v>29</v>
      </c>
    </row>
    <row r="1748" spans="1:12" x14ac:dyDescent="0.25">
      <c r="A1748">
        <v>1747</v>
      </c>
      <c r="B1748">
        <v>35</v>
      </c>
      <c r="C1748" t="s">
        <v>12</v>
      </c>
      <c r="D1748" t="s">
        <v>15</v>
      </c>
      <c r="E1748">
        <v>16.850000000000001</v>
      </c>
      <c r="F1748">
        <v>5.55</v>
      </c>
      <c r="G1748">
        <v>2.72</v>
      </c>
      <c r="H1748" t="s">
        <v>18</v>
      </c>
      <c r="I1748" t="s">
        <v>23</v>
      </c>
      <c r="J1748" t="s">
        <v>25</v>
      </c>
      <c r="K1748">
        <v>28</v>
      </c>
      <c r="L1748" t="s">
        <v>30</v>
      </c>
    </row>
    <row r="1749" spans="1:12" x14ac:dyDescent="0.25">
      <c r="A1749">
        <v>1748</v>
      </c>
      <c r="B1749">
        <v>19</v>
      </c>
      <c r="C1749" t="s">
        <v>13</v>
      </c>
      <c r="D1749" t="s">
        <v>15</v>
      </c>
      <c r="E1749">
        <v>9.1</v>
      </c>
      <c r="F1749">
        <v>2.7</v>
      </c>
      <c r="G1749">
        <v>19.350000000000001</v>
      </c>
      <c r="H1749" t="s">
        <v>21</v>
      </c>
      <c r="I1749" t="s">
        <v>23</v>
      </c>
      <c r="J1749" t="s">
        <v>26</v>
      </c>
      <c r="K1749">
        <v>11</v>
      </c>
      <c r="L1749" t="s">
        <v>29</v>
      </c>
    </row>
    <row r="1750" spans="1:12" x14ac:dyDescent="0.25">
      <c r="A1750">
        <v>1749</v>
      </c>
      <c r="B1750">
        <v>18</v>
      </c>
      <c r="C1750" t="s">
        <v>13</v>
      </c>
      <c r="D1750" t="s">
        <v>14</v>
      </c>
      <c r="E1750">
        <v>10.58</v>
      </c>
      <c r="F1750">
        <v>7.85</v>
      </c>
      <c r="G1750">
        <v>16.03</v>
      </c>
      <c r="H1750" t="s">
        <v>19</v>
      </c>
      <c r="I1750" t="s">
        <v>23</v>
      </c>
      <c r="J1750" t="s">
        <v>26</v>
      </c>
      <c r="K1750">
        <v>25</v>
      </c>
      <c r="L1750" t="s">
        <v>29</v>
      </c>
    </row>
    <row r="1751" spans="1:12" x14ac:dyDescent="0.25">
      <c r="A1751">
        <v>1750</v>
      </c>
      <c r="B1751">
        <v>64</v>
      </c>
      <c r="C1751" t="s">
        <v>12</v>
      </c>
      <c r="D1751" t="s">
        <v>14</v>
      </c>
      <c r="E1751">
        <v>24.69</v>
      </c>
      <c r="F1751">
        <v>1.32</v>
      </c>
      <c r="G1751">
        <v>9.74</v>
      </c>
      <c r="H1751" t="s">
        <v>19</v>
      </c>
      <c r="I1751" t="s">
        <v>24</v>
      </c>
      <c r="J1751" t="s">
        <v>25</v>
      </c>
      <c r="K1751">
        <v>4</v>
      </c>
      <c r="L1751" t="s">
        <v>29</v>
      </c>
    </row>
    <row r="1752" spans="1:12" x14ac:dyDescent="0.25">
      <c r="A1752">
        <v>1751</v>
      </c>
      <c r="B1752">
        <v>22</v>
      </c>
      <c r="C1752" t="s">
        <v>13</v>
      </c>
      <c r="D1752" t="s">
        <v>15</v>
      </c>
      <c r="E1752">
        <v>8.48</v>
      </c>
      <c r="F1752">
        <v>8.27</v>
      </c>
      <c r="G1752">
        <v>22.42</v>
      </c>
      <c r="H1752" t="s">
        <v>20</v>
      </c>
      <c r="I1752" t="s">
        <v>24</v>
      </c>
      <c r="J1752" t="s">
        <v>26</v>
      </c>
      <c r="K1752">
        <v>28</v>
      </c>
      <c r="L1752" t="s">
        <v>29</v>
      </c>
    </row>
    <row r="1753" spans="1:12" x14ac:dyDescent="0.25">
      <c r="A1753">
        <v>1752</v>
      </c>
      <c r="B1753">
        <v>37</v>
      </c>
      <c r="C1753" t="s">
        <v>13</v>
      </c>
      <c r="D1753" t="s">
        <v>17</v>
      </c>
      <c r="E1753">
        <v>20.54</v>
      </c>
      <c r="F1753">
        <v>12.77</v>
      </c>
      <c r="G1753">
        <v>6.38</v>
      </c>
      <c r="H1753" t="s">
        <v>20</v>
      </c>
      <c r="I1753" t="s">
        <v>22</v>
      </c>
      <c r="J1753" t="s">
        <v>26</v>
      </c>
      <c r="K1753">
        <v>16</v>
      </c>
      <c r="L1753" t="s">
        <v>29</v>
      </c>
    </row>
    <row r="1754" spans="1:12" x14ac:dyDescent="0.25">
      <c r="A1754">
        <v>1753</v>
      </c>
      <c r="B1754">
        <v>28</v>
      </c>
      <c r="C1754" t="s">
        <v>13</v>
      </c>
      <c r="D1754" t="s">
        <v>15</v>
      </c>
      <c r="E1754">
        <v>13.59</v>
      </c>
      <c r="F1754">
        <v>21.41</v>
      </c>
      <c r="G1754">
        <v>7.91</v>
      </c>
      <c r="H1754" t="s">
        <v>19</v>
      </c>
      <c r="I1754" t="s">
        <v>24</v>
      </c>
      <c r="J1754" t="s">
        <v>26</v>
      </c>
      <c r="K1754">
        <v>33</v>
      </c>
      <c r="L1754" t="s">
        <v>29</v>
      </c>
    </row>
    <row r="1755" spans="1:12" x14ac:dyDescent="0.25">
      <c r="A1755">
        <v>1754</v>
      </c>
      <c r="B1755">
        <v>59</v>
      </c>
      <c r="C1755" t="s">
        <v>12</v>
      </c>
      <c r="D1755" t="s">
        <v>14</v>
      </c>
      <c r="E1755">
        <v>11.67</v>
      </c>
      <c r="F1755">
        <v>11.33</v>
      </c>
      <c r="G1755">
        <v>15.35</v>
      </c>
      <c r="H1755" t="s">
        <v>18</v>
      </c>
      <c r="I1755" t="s">
        <v>23</v>
      </c>
      <c r="J1755" t="s">
        <v>26</v>
      </c>
      <c r="K1755">
        <v>28</v>
      </c>
      <c r="L1755" t="s">
        <v>29</v>
      </c>
    </row>
    <row r="1756" spans="1:12" x14ac:dyDescent="0.25">
      <c r="A1756">
        <v>1755</v>
      </c>
      <c r="B1756">
        <v>19</v>
      </c>
      <c r="C1756" t="s">
        <v>12</v>
      </c>
      <c r="D1756" t="s">
        <v>15</v>
      </c>
      <c r="E1756">
        <v>48.74</v>
      </c>
      <c r="F1756">
        <v>24.61</v>
      </c>
      <c r="G1756">
        <v>4.03</v>
      </c>
      <c r="H1756" t="s">
        <v>21</v>
      </c>
      <c r="I1756" t="s">
        <v>22</v>
      </c>
      <c r="J1756" t="s">
        <v>27</v>
      </c>
      <c r="K1756">
        <v>21</v>
      </c>
      <c r="L1756" t="s">
        <v>29</v>
      </c>
    </row>
    <row r="1757" spans="1:12" x14ac:dyDescent="0.25">
      <c r="A1757">
        <v>1756</v>
      </c>
      <c r="B1757">
        <v>20</v>
      </c>
      <c r="C1757" t="s">
        <v>12</v>
      </c>
      <c r="D1757" t="s">
        <v>15</v>
      </c>
      <c r="E1757">
        <v>6.27</v>
      </c>
      <c r="F1757">
        <v>11.35</v>
      </c>
      <c r="G1757">
        <v>6.13</v>
      </c>
      <c r="H1757" t="s">
        <v>19</v>
      </c>
      <c r="I1757" t="s">
        <v>23</v>
      </c>
      <c r="J1757" t="s">
        <v>26</v>
      </c>
      <c r="K1757">
        <v>7</v>
      </c>
      <c r="L1757" t="s">
        <v>29</v>
      </c>
    </row>
    <row r="1758" spans="1:12" x14ac:dyDescent="0.25">
      <c r="A1758">
        <v>1757</v>
      </c>
      <c r="B1758">
        <v>40</v>
      </c>
      <c r="C1758" t="s">
        <v>13</v>
      </c>
      <c r="D1758" t="s">
        <v>16</v>
      </c>
      <c r="E1758">
        <v>42.45</v>
      </c>
      <c r="F1758">
        <v>3.14</v>
      </c>
      <c r="G1758">
        <v>11.7</v>
      </c>
      <c r="H1758" t="s">
        <v>18</v>
      </c>
      <c r="I1758" t="s">
        <v>22</v>
      </c>
      <c r="J1758" t="s">
        <v>26</v>
      </c>
      <c r="K1758">
        <v>8</v>
      </c>
      <c r="L1758" t="s">
        <v>29</v>
      </c>
    </row>
    <row r="1759" spans="1:12" x14ac:dyDescent="0.25">
      <c r="A1759">
        <v>1758</v>
      </c>
      <c r="B1759">
        <v>72</v>
      </c>
      <c r="C1759" t="s">
        <v>13</v>
      </c>
      <c r="D1759" t="s">
        <v>15</v>
      </c>
      <c r="E1759">
        <v>29.11</v>
      </c>
      <c r="F1759">
        <v>7.21</v>
      </c>
      <c r="G1759">
        <v>12.47</v>
      </c>
      <c r="H1759" t="s">
        <v>21</v>
      </c>
      <c r="I1759" t="s">
        <v>22</v>
      </c>
      <c r="J1759" t="s">
        <v>26</v>
      </c>
      <c r="K1759">
        <v>18</v>
      </c>
      <c r="L1759" t="s">
        <v>29</v>
      </c>
    </row>
    <row r="1760" spans="1:12" x14ac:dyDescent="0.25">
      <c r="A1760">
        <v>1759</v>
      </c>
      <c r="B1760">
        <v>29</v>
      </c>
      <c r="C1760" t="s">
        <v>12</v>
      </c>
      <c r="D1760" t="s">
        <v>17</v>
      </c>
      <c r="E1760">
        <v>10.92</v>
      </c>
      <c r="F1760">
        <v>5.31</v>
      </c>
      <c r="G1760">
        <v>10.97</v>
      </c>
      <c r="H1760" t="s">
        <v>20</v>
      </c>
      <c r="I1760" t="s">
        <v>23</v>
      </c>
      <c r="J1760" t="s">
        <v>26</v>
      </c>
      <c r="K1760">
        <v>33</v>
      </c>
      <c r="L1760" t="s">
        <v>29</v>
      </c>
    </row>
    <row r="1761" spans="1:12" x14ac:dyDescent="0.25">
      <c r="A1761">
        <v>1760</v>
      </c>
      <c r="B1761">
        <v>37</v>
      </c>
      <c r="C1761" t="s">
        <v>12</v>
      </c>
      <c r="D1761" t="s">
        <v>17</v>
      </c>
      <c r="E1761">
        <v>29.63</v>
      </c>
      <c r="F1761">
        <v>10.19</v>
      </c>
      <c r="G1761">
        <v>4.03</v>
      </c>
      <c r="H1761" t="s">
        <v>18</v>
      </c>
      <c r="I1761" t="s">
        <v>23</v>
      </c>
      <c r="J1761" t="s">
        <v>26</v>
      </c>
      <c r="K1761">
        <v>20</v>
      </c>
      <c r="L1761" t="s">
        <v>29</v>
      </c>
    </row>
    <row r="1762" spans="1:12" x14ac:dyDescent="0.25">
      <c r="A1762">
        <v>1761</v>
      </c>
      <c r="B1762">
        <v>22</v>
      </c>
      <c r="C1762" t="s">
        <v>12</v>
      </c>
      <c r="D1762" t="s">
        <v>15</v>
      </c>
      <c r="E1762">
        <v>1</v>
      </c>
      <c r="F1762">
        <v>0.93</v>
      </c>
      <c r="G1762">
        <v>18.43</v>
      </c>
      <c r="H1762" t="s">
        <v>18</v>
      </c>
      <c r="I1762" t="s">
        <v>23</v>
      </c>
      <c r="J1762" t="s">
        <v>26</v>
      </c>
      <c r="K1762">
        <v>16</v>
      </c>
      <c r="L1762" t="s">
        <v>29</v>
      </c>
    </row>
    <row r="1763" spans="1:12" x14ac:dyDescent="0.25">
      <c r="A1763">
        <v>1762</v>
      </c>
      <c r="B1763">
        <v>54</v>
      </c>
      <c r="C1763" t="s">
        <v>13</v>
      </c>
      <c r="D1763" t="s">
        <v>17</v>
      </c>
      <c r="E1763">
        <v>10.16</v>
      </c>
      <c r="F1763">
        <v>23.09</v>
      </c>
      <c r="G1763">
        <v>21.3</v>
      </c>
      <c r="H1763" t="s">
        <v>19</v>
      </c>
      <c r="I1763" t="s">
        <v>22</v>
      </c>
      <c r="J1763" t="s">
        <v>27</v>
      </c>
      <c r="K1763">
        <v>27</v>
      </c>
      <c r="L1763" t="s">
        <v>29</v>
      </c>
    </row>
    <row r="1764" spans="1:12" x14ac:dyDescent="0.25">
      <c r="A1764">
        <v>1763</v>
      </c>
      <c r="B1764">
        <v>55</v>
      </c>
      <c r="C1764" t="s">
        <v>12</v>
      </c>
      <c r="D1764" t="s">
        <v>17</v>
      </c>
      <c r="E1764">
        <v>8.57</v>
      </c>
      <c r="F1764">
        <v>15.49</v>
      </c>
      <c r="G1764">
        <v>8.83</v>
      </c>
      <c r="H1764" t="s">
        <v>21</v>
      </c>
      <c r="I1764" t="s">
        <v>23</v>
      </c>
      <c r="J1764" t="s">
        <v>26</v>
      </c>
      <c r="K1764">
        <v>17</v>
      </c>
      <c r="L1764" t="s">
        <v>29</v>
      </c>
    </row>
    <row r="1765" spans="1:12" x14ac:dyDescent="0.25">
      <c r="A1765">
        <v>1764</v>
      </c>
      <c r="B1765">
        <v>47</v>
      </c>
      <c r="C1765" t="s">
        <v>12</v>
      </c>
      <c r="D1765" t="s">
        <v>15</v>
      </c>
      <c r="E1765">
        <v>22.28</v>
      </c>
      <c r="F1765">
        <v>9.5500000000000007</v>
      </c>
      <c r="G1765">
        <v>8.9600000000000009</v>
      </c>
      <c r="H1765" t="s">
        <v>19</v>
      </c>
      <c r="I1765" t="s">
        <v>22</v>
      </c>
      <c r="J1765" t="s">
        <v>25</v>
      </c>
      <c r="K1765">
        <v>28</v>
      </c>
      <c r="L1765" t="s">
        <v>29</v>
      </c>
    </row>
    <row r="1766" spans="1:12" x14ac:dyDescent="0.25">
      <c r="A1766">
        <v>1765</v>
      </c>
      <c r="B1766">
        <v>26</v>
      </c>
      <c r="C1766" t="s">
        <v>13</v>
      </c>
      <c r="D1766" t="s">
        <v>17</v>
      </c>
      <c r="E1766">
        <v>26.99</v>
      </c>
      <c r="F1766">
        <v>44.95</v>
      </c>
      <c r="G1766">
        <v>22.67</v>
      </c>
      <c r="H1766" t="s">
        <v>20</v>
      </c>
      <c r="I1766" t="s">
        <v>22</v>
      </c>
      <c r="J1766" t="s">
        <v>27</v>
      </c>
      <c r="K1766">
        <v>13</v>
      </c>
      <c r="L1766" t="s">
        <v>30</v>
      </c>
    </row>
    <row r="1767" spans="1:12" x14ac:dyDescent="0.25">
      <c r="A1767">
        <v>1766</v>
      </c>
      <c r="B1767">
        <v>51</v>
      </c>
      <c r="C1767" t="s">
        <v>13</v>
      </c>
      <c r="D1767" t="s">
        <v>14</v>
      </c>
      <c r="E1767">
        <v>22.05</v>
      </c>
      <c r="F1767">
        <v>31.11</v>
      </c>
      <c r="G1767">
        <v>2</v>
      </c>
      <c r="H1767" t="s">
        <v>20</v>
      </c>
      <c r="I1767" t="s">
        <v>22</v>
      </c>
      <c r="J1767" t="s">
        <v>28</v>
      </c>
      <c r="K1767">
        <v>9</v>
      </c>
      <c r="L1767" t="s">
        <v>29</v>
      </c>
    </row>
    <row r="1768" spans="1:12" x14ac:dyDescent="0.25">
      <c r="A1768">
        <v>1767</v>
      </c>
      <c r="B1768">
        <v>70</v>
      </c>
      <c r="C1768" t="s">
        <v>13</v>
      </c>
      <c r="D1768" t="s">
        <v>16</v>
      </c>
      <c r="E1768">
        <v>18.84</v>
      </c>
      <c r="F1768">
        <v>14.45</v>
      </c>
      <c r="G1768">
        <v>8.91</v>
      </c>
      <c r="H1768" t="s">
        <v>21</v>
      </c>
      <c r="I1768" t="s">
        <v>22</v>
      </c>
      <c r="J1768" t="s">
        <v>26</v>
      </c>
      <c r="K1768">
        <v>20</v>
      </c>
      <c r="L1768" t="s">
        <v>29</v>
      </c>
    </row>
    <row r="1769" spans="1:12" x14ac:dyDescent="0.25">
      <c r="A1769">
        <v>1768</v>
      </c>
      <c r="B1769">
        <v>61</v>
      </c>
      <c r="C1769" t="s">
        <v>12</v>
      </c>
      <c r="D1769" t="s">
        <v>15</v>
      </c>
      <c r="E1769">
        <v>30.86</v>
      </c>
      <c r="F1769">
        <v>9.85</v>
      </c>
      <c r="G1769">
        <v>3.74</v>
      </c>
      <c r="H1769" t="s">
        <v>21</v>
      </c>
      <c r="I1769" t="s">
        <v>23</v>
      </c>
      <c r="J1769" t="s">
        <v>26</v>
      </c>
      <c r="K1769">
        <v>22</v>
      </c>
      <c r="L1769" t="s">
        <v>30</v>
      </c>
    </row>
    <row r="1770" spans="1:12" x14ac:dyDescent="0.25">
      <c r="A1770">
        <v>1769</v>
      </c>
      <c r="B1770">
        <v>52</v>
      </c>
      <c r="C1770" t="s">
        <v>13</v>
      </c>
      <c r="D1770" t="s">
        <v>15</v>
      </c>
      <c r="E1770">
        <v>28.19</v>
      </c>
      <c r="F1770">
        <v>7.81</v>
      </c>
      <c r="G1770">
        <v>20.82</v>
      </c>
      <c r="H1770" t="s">
        <v>21</v>
      </c>
      <c r="I1770" t="s">
        <v>22</v>
      </c>
      <c r="J1770" t="s">
        <v>26</v>
      </c>
      <c r="K1770">
        <v>4</v>
      </c>
      <c r="L1770" t="s">
        <v>29</v>
      </c>
    </row>
    <row r="1771" spans="1:12" x14ac:dyDescent="0.25">
      <c r="A1771">
        <v>1770</v>
      </c>
      <c r="B1771">
        <v>69</v>
      </c>
      <c r="C1771" t="s">
        <v>13</v>
      </c>
      <c r="D1771" t="s">
        <v>15</v>
      </c>
      <c r="E1771">
        <v>10.73</v>
      </c>
      <c r="F1771">
        <v>7.34</v>
      </c>
      <c r="G1771">
        <v>14.83</v>
      </c>
      <c r="H1771" t="s">
        <v>19</v>
      </c>
      <c r="I1771" t="s">
        <v>24</v>
      </c>
      <c r="J1771" t="s">
        <v>26</v>
      </c>
      <c r="K1771">
        <v>28</v>
      </c>
      <c r="L1771" t="s">
        <v>30</v>
      </c>
    </row>
    <row r="1772" spans="1:12" x14ac:dyDescent="0.25">
      <c r="A1772">
        <v>1771</v>
      </c>
      <c r="B1772">
        <v>75</v>
      </c>
      <c r="C1772" t="s">
        <v>12</v>
      </c>
      <c r="D1772" t="s">
        <v>17</v>
      </c>
      <c r="E1772">
        <v>11.63</v>
      </c>
      <c r="F1772">
        <v>5.15</v>
      </c>
      <c r="G1772">
        <v>14.61</v>
      </c>
      <c r="H1772" t="s">
        <v>21</v>
      </c>
      <c r="I1772" t="s">
        <v>22</v>
      </c>
      <c r="J1772" t="s">
        <v>26</v>
      </c>
      <c r="K1772">
        <v>25</v>
      </c>
      <c r="L1772" t="s">
        <v>29</v>
      </c>
    </row>
    <row r="1773" spans="1:12" x14ac:dyDescent="0.25">
      <c r="A1773">
        <v>1772</v>
      </c>
      <c r="B1773">
        <v>39</v>
      </c>
      <c r="C1773" t="s">
        <v>13</v>
      </c>
      <c r="D1773" t="s">
        <v>17</v>
      </c>
      <c r="E1773">
        <v>27.19</v>
      </c>
      <c r="F1773">
        <v>5.18</v>
      </c>
      <c r="G1773">
        <v>13.59</v>
      </c>
      <c r="H1773" t="s">
        <v>21</v>
      </c>
      <c r="I1773" t="s">
        <v>22</v>
      </c>
      <c r="J1773" t="s">
        <v>27</v>
      </c>
      <c r="K1773">
        <v>34</v>
      </c>
      <c r="L1773" t="s">
        <v>29</v>
      </c>
    </row>
    <row r="1774" spans="1:12" x14ac:dyDescent="0.25">
      <c r="A1774">
        <v>1773</v>
      </c>
      <c r="B1774">
        <v>61</v>
      </c>
      <c r="C1774" t="s">
        <v>12</v>
      </c>
      <c r="D1774" t="s">
        <v>16</v>
      </c>
      <c r="E1774">
        <v>16.739999999999998</v>
      </c>
      <c r="F1774">
        <v>9.1199999999999992</v>
      </c>
      <c r="G1774">
        <v>22.97</v>
      </c>
      <c r="H1774" t="s">
        <v>19</v>
      </c>
      <c r="I1774" t="s">
        <v>22</v>
      </c>
      <c r="J1774" t="s">
        <v>26</v>
      </c>
      <c r="K1774">
        <v>15</v>
      </c>
      <c r="L1774" t="s">
        <v>30</v>
      </c>
    </row>
    <row r="1775" spans="1:12" x14ac:dyDescent="0.25">
      <c r="A1775">
        <v>1774</v>
      </c>
      <c r="B1775">
        <v>41</v>
      </c>
      <c r="C1775" t="s">
        <v>12</v>
      </c>
      <c r="D1775" t="s">
        <v>15</v>
      </c>
      <c r="E1775">
        <v>17.52</v>
      </c>
      <c r="F1775">
        <v>20.32</v>
      </c>
      <c r="G1775">
        <v>8.44</v>
      </c>
      <c r="H1775" t="s">
        <v>20</v>
      </c>
      <c r="I1775" t="s">
        <v>23</v>
      </c>
      <c r="J1775" t="s">
        <v>26</v>
      </c>
      <c r="K1775">
        <v>15</v>
      </c>
      <c r="L1775" t="s">
        <v>30</v>
      </c>
    </row>
    <row r="1776" spans="1:12" x14ac:dyDescent="0.25">
      <c r="A1776">
        <v>1775</v>
      </c>
      <c r="B1776">
        <v>34</v>
      </c>
      <c r="C1776" t="s">
        <v>13</v>
      </c>
      <c r="D1776" t="s">
        <v>15</v>
      </c>
      <c r="E1776">
        <v>19.079999999999998</v>
      </c>
      <c r="F1776">
        <v>9.0399999999999991</v>
      </c>
      <c r="G1776">
        <v>14.11</v>
      </c>
      <c r="H1776" t="s">
        <v>20</v>
      </c>
      <c r="I1776" t="s">
        <v>22</v>
      </c>
      <c r="J1776" t="s">
        <v>26</v>
      </c>
      <c r="K1776">
        <v>19</v>
      </c>
      <c r="L1776" t="s">
        <v>29</v>
      </c>
    </row>
    <row r="1777" spans="1:12" x14ac:dyDescent="0.25">
      <c r="A1777">
        <v>1776</v>
      </c>
      <c r="B1777">
        <v>27</v>
      </c>
      <c r="C1777" t="s">
        <v>13</v>
      </c>
      <c r="D1777" t="s">
        <v>17</v>
      </c>
      <c r="E1777">
        <v>3.79</v>
      </c>
      <c r="F1777">
        <v>2.57</v>
      </c>
      <c r="G1777">
        <v>16.079999999999998</v>
      </c>
      <c r="H1777" t="s">
        <v>18</v>
      </c>
      <c r="I1777" t="s">
        <v>24</v>
      </c>
      <c r="J1777" t="s">
        <v>28</v>
      </c>
      <c r="K1777">
        <v>27</v>
      </c>
      <c r="L1777" t="s">
        <v>29</v>
      </c>
    </row>
    <row r="1778" spans="1:12" x14ac:dyDescent="0.25">
      <c r="A1778">
        <v>1777</v>
      </c>
      <c r="B1778">
        <v>47</v>
      </c>
      <c r="C1778" t="s">
        <v>13</v>
      </c>
      <c r="D1778" t="s">
        <v>16</v>
      </c>
      <c r="E1778">
        <v>10.37</v>
      </c>
      <c r="F1778">
        <v>7.5</v>
      </c>
      <c r="G1778">
        <v>8.76</v>
      </c>
      <c r="H1778" t="s">
        <v>20</v>
      </c>
      <c r="I1778" t="s">
        <v>23</v>
      </c>
      <c r="J1778" t="s">
        <v>25</v>
      </c>
      <c r="K1778">
        <v>24</v>
      </c>
      <c r="L1778" t="s">
        <v>29</v>
      </c>
    </row>
    <row r="1779" spans="1:12" x14ac:dyDescent="0.25">
      <c r="A1779">
        <v>1778</v>
      </c>
      <c r="B1779">
        <v>73</v>
      </c>
      <c r="C1779" t="s">
        <v>13</v>
      </c>
      <c r="D1779" t="s">
        <v>15</v>
      </c>
      <c r="E1779">
        <v>23.52</v>
      </c>
      <c r="F1779">
        <v>3.98</v>
      </c>
      <c r="G1779">
        <v>11.26</v>
      </c>
      <c r="H1779" t="s">
        <v>21</v>
      </c>
      <c r="I1779" t="s">
        <v>24</v>
      </c>
      <c r="J1779" t="s">
        <v>26</v>
      </c>
      <c r="K1779">
        <v>29</v>
      </c>
      <c r="L1779" t="s">
        <v>29</v>
      </c>
    </row>
    <row r="1780" spans="1:12" x14ac:dyDescent="0.25">
      <c r="A1780">
        <v>1779</v>
      </c>
      <c r="B1780">
        <v>76</v>
      </c>
      <c r="C1780" t="s">
        <v>13</v>
      </c>
      <c r="D1780" t="s">
        <v>16</v>
      </c>
      <c r="E1780">
        <v>10.3</v>
      </c>
      <c r="F1780">
        <v>27.22</v>
      </c>
      <c r="G1780">
        <v>6.86</v>
      </c>
      <c r="H1780" t="s">
        <v>20</v>
      </c>
      <c r="I1780" t="s">
        <v>23</v>
      </c>
      <c r="J1780" t="s">
        <v>26</v>
      </c>
      <c r="K1780">
        <v>19</v>
      </c>
      <c r="L1780" t="s">
        <v>30</v>
      </c>
    </row>
    <row r="1781" spans="1:12" x14ac:dyDescent="0.25">
      <c r="A1781">
        <v>1780</v>
      </c>
      <c r="B1781">
        <v>63</v>
      </c>
      <c r="C1781" t="s">
        <v>13</v>
      </c>
      <c r="D1781" t="s">
        <v>15</v>
      </c>
      <c r="E1781">
        <v>14.68</v>
      </c>
      <c r="F1781">
        <v>1.02</v>
      </c>
      <c r="G1781">
        <v>13.14</v>
      </c>
      <c r="H1781" t="s">
        <v>19</v>
      </c>
      <c r="I1781" t="s">
        <v>22</v>
      </c>
      <c r="J1781" t="s">
        <v>26</v>
      </c>
      <c r="K1781">
        <v>28</v>
      </c>
      <c r="L1781" t="s">
        <v>29</v>
      </c>
    </row>
    <row r="1782" spans="1:12" x14ac:dyDescent="0.25">
      <c r="A1782">
        <v>1781</v>
      </c>
      <c r="B1782">
        <v>40</v>
      </c>
      <c r="C1782" t="s">
        <v>12</v>
      </c>
      <c r="D1782" t="s">
        <v>14</v>
      </c>
      <c r="E1782">
        <v>23.43</v>
      </c>
      <c r="F1782">
        <v>9.75</v>
      </c>
      <c r="G1782">
        <v>10.32</v>
      </c>
      <c r="H1782" t="s">
        <v>20</v>
      </c>
      <c r="I1782" t="s">
        <v>24</v>
      </c>
      <c r="J1782" t="s">
        <v>25</v>
      </c>
      <c r="K1782">
        <v>16</v>
      </c>
      <c r="L1782" t="s">
        <v>30</v>
      </c>
    </row>
    <row r="1783" spans="1:12" x14ac:dyDescent="0.25">
      <c r="A1783">
        <v>1782</v>
      </c>
      <c r="B1783">
        <v>49</v>
      </c>
      <c r="C1783" t="s">
        <v>12</v>
      </c>
      <c r="D1783" t="s">
        <v>14</v>
      </c>
      <c r="E1783">
        <v>31.92</v>
      </c>
      <c r="F1783">
        <v>3.62</v>
      </c>
      <c r="G1783">
        <v>11.86</v>
      </c>
      <c r="H1783" t="s">
        <v>20</v>
      </c>
      <c r="I1783" t="s">
        <v>24</v>
      </c>
      <c r="J1783" t="s">
        <v>25</v>
      </c>
      <c r="K1783">
        <v>16</v>
      </c>
      <c r="L1783" t="s">
        <v>29</v>
      </c>
    </row>
    <row r="1784" spans="1:12" x14ac:dyDescent="0.25">
      <c r="A1784">
        <v>1783</v>
      </c>
      <c r="B1784">
        <v>34</v>
      </c>
      <c r="C1784" t="s">
        <v>13</v>
      </c>
      <c r="D1784" t="s">
        <v>15</v>
      </c>
      <c r="E1784">
        <v>34.29</v>
      </c>
      <c r="F1784">
        <v>7.8</v>
      </c>
      <c r="G1784">
        <v>15.74</v>
      </c>
      <c r="H1784" t="s">
        <v>18</v>
      </c>
      <c r="I1784" t="s">
        <v>24</v>
      </c>
      <c r="J1784" t="s">
        <v>25</v>
      </c>
      <c r="K1784">
        <v>14</v>
      </c>
      <c r="L1784" t="s">
        <v>29</v>
      </c>
    </row>
    <row r="1785" spans="1:12" x14ac:dyDescent="0.25">
      <c r="A1785">
        <v>1784</v>
      </c>
      <c r="B1785">
        <v>67</v>
      </c>
      <c r="C1785" t="s">
        <v>12</v>
      </c>
      <c r="D1785" t="s">
        <v>15</v>
      </c>
      <c r="E1785">
        <v>35.479999999999997</v>
      </c>
      <c r="F1785">
        <v>9.6300000000000008</v>
      </c>
      <c r="G1785">
        <v>23.34</v>
      </c>
      <c r="H1785" t="s">
        <v>18</v>
      </c>
      <c r="I1785" t="s">
        <v>24</v>
      </c>
      <c r="J1785" t="s">
        <v>26</v>
      </c>
      <c r="K1785">
        <v>7</v>
      </c>
      <c r="L1785" t="s">
        <v>29</v>
      </c>
    </row>
    <row r="1786" spans="1:12" x14ac:dyDescent="0.25">
      <c r="A1786">
        <v>1785</v>
      </c>
      <c r="B1786">
        <v>68</v>
      </c>
      <c r="C1786" t="s">
        <v>13</v>
      </c>
      <c r="D1786" t="s">
        <v>17</v>
      </c>
      <c r="E1786">
        <v>15.66</v>
      </c>
      <c r="F1786">
        <v>17.75</v>
      </c>
      <c r="G1786">
        <v>11.68</v>
      </c>
      <c r="H1786" t="s">
        <v>21</v>
      </c>
      <c r="I1786" t="s">
        <v>23</v>
      </c>
      <c r="J1786" t="s">
        <v>25</v>
      </c>
      <c r="K1786">
        <v>6</v>
      </c>
      <c r="L1786" t="s">
        <v>29</v>
      </c>
    </row>
    <row r="1787" spans="1:12" x14ac:dyDescent="0.25">
      <c r="A1787">
        <v>1786</v>
      </c>
      <c r="B1787">
        <v>34</v>
      </c>
      <c r="C1787" t="s">
        <v>12</v>
      </c>
      <c r="D1787" t="s">
        <v>15</v>
      </c>
      <c r="E1787">
        <v>14.56</v>
      </c>
      <c r="F1787">
        <v>6.74</v>
      </c>
      <c r="G1787">
        <v>6.03</v>
      </c>
      <c r="H1787" t="s">
        <v>19</v>
      </c>
      <c r="I1787" t="s">
        <v>22</v>
      </c>
      <c r="J1787" t="s">
        <v>25</v>
      </c>
      <c r="K1787">
        <v>31</v>
      </c>
      <c r="L1787" t="s">
        <v>29</v>
      </c>
    </row>
    <row r="1788" spans="1:12" x14ac:dyDescent="0.25">
      <c r="A1788">
        <v>1787</v>
      </c>
      <c r="B1788">
        <v>31</v>
      </c>
      <c r="C1788" t="s">
        <v>12</v>
      </c>
      <c r="D1788" t="s">
        <v>16</v>
      </c>
      <c r="E1788">
        <v>6.93</v>
      </c>
      <c r="F1788">
        <v>9.41</v>
      </c>
      <c r="G1788">
        <v>15.24</v>
      </c>
      <c r="H1788" t="s">
        <v>21</v>
      </c>
      <c r="I1788" t="s">
        <v>23</v>
      </c>
      <c r="J1788" t="s">
        <v>28</v>
      </c>
      <c r="K1788">
        <v>27</v>
      </c>
      <c r="L1788" t="s">
        <v>29</v>
      </c>
    </row>
    <row r="1789" spans="1:12" x14ac:dyDescent="0.25">
      <c r="A1789">
        <v>1788</v>
      </c>
      <c r="B1789">
        <v>26</v>
      </c>
      <c r="C1789" t="s">
        <v>12</v>
      </c>
      <c r="D1789" t="s">
        <v>14</v>
      </c>
      <c r="E1789">
        <v>40.880000000000003</v>
      </c>
      <c r="F1789">
        <v>23.21</v>
      </c>
      <c r="G1789">
        <v>1.1499999999999999</v>
      </c>
      <c r="H1789" t="s">
        <v>19</v>
      </c>
      <c r="I1789" t="s">
        <v>23</v>
      </c>
      <c r="J1789" t="s">
        <v>25</v>
      </c>
      <c r="K1789">
        <v>6</v>
      </c>
      <c r="L1789" t="s">
        <v>30</v>
      </c>
    </row>
    <row r="1790" spans="1:12" x14ac:dyDescent="0.25">
      <c r="A1790">
        <v>1789</v>
      </c>
      <c r="B1790">
        <v>57</v>
      </c>
      <c r="C1790" t="s">
        <v>13</v>
      </c>
      <c r="D1790" t="s">
        <v>16</v>
      </c>
      <c r="E1790">
        <v>14.13</v>
      </c>
      <c r="F1790">
        <v>23.16</v>
      </c>
      <c r="G1790">
        <v>0.22</v>
      </c>
      <c r="H1790" t="s">
        <v>19</v>
      </c>
      <c r="I1790" t="s">
        <v>23</v>
      </c>
      <c r="J1790" t="s">
        <v>26</v>
      </c>
      <c r="K1790">
        <v>18</v>
      </c>
      <c r="L1790" t="s">
        <v>29</v>
      </c>
    </row>
    <row r="1791" spans="1:12" x14ac:dyDescent="0.25">
      <c r="A1791">
        <v>1790</v>
      </c>
      <c r="B1791">
        <v>19</v>
      </c>
      <c r="C1791" t="s">
        <v>12</v>
      </c>
      <c r="D1791" t="s">
        <v>14</v>
      </c>
      <c r="E1791">
        <v>40.299999999999997</v>
      </c>
      <c r="F1791">
        <v>37.79</v>
      </c>
      <c r="G1791">
        <v>21.04</v>
      </c>
      <c r="H1791" t="s">
        <v>18</v>
      </c>
      <c r="I1791" t="s">
        <v>22</v>
      </c>
      <c r="J1791" t="s">
        <v>26</v>
      </c>
      <c r="K1791">
        <v>4</v>
      </c>
      <c r="L1791" t="s">
        <v>29</v>
      </c>
    </row>
    <row r="1792" spans="1:12" x14ac:dyDescent="0.25">
      <c r="A1792">
        <v>1791</v>
      </c>
      <c r="B1792">
        <v>62</v>
      </c>
      <c r="C1792" t="s">
        <v>13</v>
      </c>
      <c r="D1792" t="s">
        <v>17</v>
      </c>
      <c r="E1792">
        <v>20.91</v>
      </c>
      <c r="F1792">
        <v>4.24</v>
      </c>
      <c r="G1792">
        <v>3.33</v>
      </c>
      <c r="H1792" t="s">
        <v>20</v>
      </c>
      <c r="I1792" t="s">
        <v>22</v>
      </c>
      <c r="J1792" t="s">
        <v>26</v>
      </c>
      <c r="K1792">
        <v>25</v>
      </c>
      <c r="L1792" t="s">
        <v>29</v>
      </c>
    </row>
    <row r="1793" spans="1:12" x14ac:dyDescent="0.25">
      <c r="A1793">
        <v>1792</v>
      </c>
      <c r="B1793">
        <v>42</v>
      </c>
      <c r="C1793" t="s">
        <v>12</v>
      </c>
      <c r="D1793" t="s">
        <v>15</v>
      </c>
      <c r="E1793">
        <v>32.840000000000003</v>
      </c>
      <c r="F1793">
        <v>38.200000000000003</v>
      </c>
      <c r="G1793">
        <v>4.7</v>
      </c>
      <c r="H1793" t="s">
        <v>20</v>
      </c>
      <c r="I1793" t="s">
        <v>24</v>
      </c>
      <c r="J1793" t="s">
        <v>25</v>
      </c>
      <c r="K1793">
        <v>6</v>
      </c>
      <c r="L1793" t="s">
        <v>29</v>
      </c>
    </row>
    <row r="1794" spans="1:12" x14ac:dyDescent="0.25">
      <c r="A1794">
        <v>1793</v>
      </c>
      <c r="B1794">
        <v>56</v>
      </c>
      <c r="C1794" t="s">
        <v>12</v>
      </c>
      <c r="D1794" t="s">
        <v>16</v>
      </c>
      <c r="E1794">
        <v>16.399999999999999</v>
      </c>
      <c r="F1794">
        <v>7.42</v>
      </c>
      <c r="G1794">
        <v>6.59</v>
      </c>
      <c r="H1794" t="s">
        <v>18</v>
      </c>
      <c r="I1794" t="s">
        <v>22</v>
      </c>
      <c r="J1794" t="s">
        <v>25</v>
      </c>
      <c r="K1794">
        <v>22</v>
      </c>
      <c r="L1794" t="s">
        <v>29</v>
      </c>
    </row>
    <row r="1795" spans="1:12" x14ac:dyDescent="0.25">
      <c r="A1795">
        <v>1794</v>
      </c>
      <c r="B1795">
        <v>26</v>
      </c>
      <c r="C1795" t="s">
        <v>12</v>
      </c>
      <c r="D1795" t="s">
        <v>17</v>
      </c>
      <c r="E1795">
        <v>24.92</v>
      </c>
      <c r="F1795">
        <v>26.63</v>
      </c>
      <c r="G1795">
        <v>16.98</v>
      </c>
      <c r="H1795" t="s">
        <v>21</v>
      </c>
      <c r="I1795" t="s">
        <v>23</v>
      </c>
      <c r="J1795" t="s">
        <v>26</v>
      </c>
      <c r="K1795">
        <v>19</v>
      </c>
      <c r="L1795" t="s">
        <v>30</v>
      </c>
    </row>
    <row r="1796" spans="1:12" x14ac:dyDescent="0.25">
      <c r="A1796">
        <v>1795</v>
      </c>
      <c r="B1796">
        <v>71</v>
      </c>
      <c r="C1796" t="s">
        <v>12</v>
      </c>
      <c r="D1796" t="s">
        <v>16</v>
      </c>
      <c r="E1796">
        <v>33.53</v>
      </c>
      <c r="F1796">
        <v>17.23</v>
      </c>
      <c r="G1796">
        <v>2.19</v>
      </c>
      <c r="H1796" t="s">
        <v>20</v>
      </c>
      <c r="I1796" t="s">
        <v>22</v>
      </c>
      <c r="J1796" t="s">
        <v>26</v>
      </c>
      <c r="K1796">
        <v>8</v>
      </c>
      <c r="L1796" t="s">
        <v>29</v>
      </c>
    </row>
    <row r="1797" spans="1:12" x14ac:dyDescent="0.25">
      <c r="A1797">
        <v>1796</v>
      </c>
      <c r="B1797">
        <v>39</v>
      </c>
      <c r="C1797" t="s">
        <v>12</v>
      </c>
      <c r="D1797" t="s">
        <v>15</v>
      </c>
      <c r="E1797">
        <v>12.09</v>
      </c>
      <c r="F1797">
        <v>6.44</v>
      </c>
      <c r="G1797">
        <v>3.49</v>
      </c>
      <c r="H1797" t="s">
        <v>21</v>
      </c>
      <c r="I1797" t="s">
        <v>23</v>
      </c>
      <c r="J1797" t="s">
        <v>26</v>
      </c>
      <c r="K1797">
        <v>20</v>
      </c>
      <c r="L1797" t="s">
        <v>29</v>
      </c>
    </row>
    <row r="1798" spans="1:12" x14ac:dyDescent="0.25">
      <c r="A1798">
        <v>1797</v>
      </c>
      <c r="B1798">
        <v>60</v>
      </c>
      <c r="C1798" t="s">
        <v>13</v>
      </c>
      <c r="D1798" t="s">
        <v>15</v>
      </c>
      <c r="E1798">
        <v>35.6</v>
      </c>
      <c r="F1798">
        <v>33.159999999999997</v>
      </c>
      <c r="G1798">
        <v>21.25</v>
      </c>
      <c r="H1798" t="s">
        <v>20</v>
      </c>
      <c r="I1798" t="s">
        <v>22</v>
      </c>
      <c r="J1798" t="s">
        <v>27</v>
      </c>
      <c r="K1798">
        <v>22</v>
      </c>
      <c r="L1798" t="s">
        <v>29</v>
      </c>
    </row>
    <row r="1799" spans="1:12" x14ac:dyDescent="0.25">
      <c r="A1799">
        <v>1798</v>
      </c>
      <c r="B1799">
        <v>63</v>
      </c>
      <c r="C1799" t="s">
        <v>13</v>
      </c>
      <c r="D1799" t="s">
        <v>14</v>
      </c>
      <c r="E1799">
        <v>7.71</v>
      </c>
      <c r="F1799">
        <v>24.71</v>
      </c>
      <c r="G1799">
        <v>8.31</v>
      </c>
      <c r="H1799" t="s">
        <v>21</v>
      </c>
      <c r="I1799" t="s">
        <v>24</v>
      </c>
      <c r="J1799" t="s">
        <v>26</v>
      </c>
      <c r="K1799">
        <v>26</v>
      </c>
      <c r="L1799" t="s">
        <v>29</v>
      </c>
    </row>
    <row r="1800" spans="1:12" x14ac:dyDescent="0.25">
      <c r="A1800">
        <v>1799</v>
      </c>
      <c r="B1800">
        <v>21</v>
      </c>
      <c r="C1800" t="s">
        <v>12</v>
      </c>
      <c r="D1800" t="s">
        <v>15</v>
      </c>
      <c r="E1800">
        <v>47.97</v>
      </c>
      <c r="F1800">
        <v>3.02</v>
      </c>
      <c r="G1800">
        <v>11.54</v>
      </c>
      <c r="H1800" t="s">
        <v>19</v>
      </c>
      <c r="I1800" t="s">
        <v>22</v>
      </c>
      <c r="J1800" t="s">
        <v>26</v>
      </c>
      <c r="K1800">
        <v>20</v>
      </c>
      <c r="L1800" t="s">
        <v>29</v>
      </c>
    </row>
    <row r="1801" spans="1:12" x14ac:dyDescent="0.25">
      <c r="A1801">
        <v>1800</v>
      </c>
      <c r="B1801">
        <v>43</v>
      </c>
      <c r="C1801" t="s">
        <v>12</v>
      </c>
      <c r="D1801" t="s">
        <v>14</v>
      </c>
      <c r="E1801">
        <v>19.13</v>
      </c>
      <c r="F1801">
        <v>6.89</v>
      </c>
      <c r="G1801">
        <v>27.91</v>
      </c>
      <c r="H1801" t="s">
        <v>19</v>
      </c>
      <c r="I1801" t="s">
        <v>24</v>
      </c>
      <c r="J1801" t="s">
        <v>26</v>
      </c>
      <c r="K1801">
        <v>32</v>
      </c>
      <c r="L1801" t="s">
        <v>29</v>
      </c>
    </row>
    <row r="1802" spans="1:12" x14ac:dyDescent="0.25">
      <c r="A1802">
        <v>1801</v>
      </c>
      <c r="B1802">
        <v>75</v>
      </c>
      <c r="C1802" t="s">
        <v>12</v>
      </c>
      <c r="D1802" t="s">
        <v>14</v>
      </c>
      <c r="E1802">
        <v>10.49</v>
      </c>
      <c r="F1802">
        <v>15.62</v>
      </c>
      <c r="G1802">
        <v>8.49</v>
      </c>
      <c r="H1802" t="s">
        <v>20</v>
      </c>
      <c r="I1802" t="s">
        <v>22</v>
      </c>
      <c r="J1802" t="s">
        <v>26</v>
      </c>
      <c r="K1802">
        <v>3</v>
      </c>
      <c r="L1802" t="s">
        <v>29</v>
      </c>
    </row>
    <row r="1803" spans="1:12" x14ac:dyDescent="0.25">
      <c r="A1803">
        <v>1802</v>
      </c>
      <c r="B1803">
        <v>46</v>
      </c>
      <c r="C1803" t="s">
        <v>12</v>
      </c>
      <c r="D1803" t="s">
        <v>16</v>
      </c>
      <c r="E1803">
        <v>28.76</v>
      </c>
      <c r="F1803">
        <v>2.52</v>
      </c>
      <c r="G1803">
        <v>8.1300000000000008</v>
      </c>
      <c r="H1803" t="s">
        <v>21</v>
      </c>
      <c r="I1803" t="s">
        <v>22</v>
      </c>
      <c r="J1803" t="s">
        <v>25</v>
      </c>
      <c r="K1803">
        <v>25</v>
      </c>
      <c r="L1803" t="s">
        <v>29</v>
      </c>
    </row>
    <row r="1804" spans="1:12" x14ac:dyDescent="0.25">
      <c r="A1804">
        <v>1803</v>
      </c>
      <c r="B1804">
        <v>62</v>
      </c>
      <c r="C1804" t="s">
        <v>13</v>
      </c>
      <c r="D1804" t="s">
        <v>16</v>
      </c>
      <c r="E1804">
        <v>21.54</v>
      </c>
      <c r="F1804">
        <v>8.85</v>
      </c>
      <c r="G1804">
        <v>11.69</v>
      </c>
      <c r="H1804" t="s">
        <v>21</v>
      </c>
      <c r="I1804" t="s">
        <v>22</v>
      </c>
      <c r="J1804" t="s">
        <v>27</v>
      </c>
      <c r="K1804">
        <v>31</v>
      </c>
      <c r="L1804" t="s">
        <v>29</v>
      </c>
    </row>
    <row r="1805" spans="1:12" x14ac:dyDescent="0.25">
      <c r="A1805">
        <v>1804</v>
      </c>
      <c r="B1805">
        <v>51</v>
      </c>
      <c r="C1805" t="s">
        <v>12</v>
      </c>
      <c r="D1805" t="s">
        <v>17</v>
      </c>
      <c r="E1805">
        <v>3.99</v>
      </c>
      <c r="F1805">
        <v>20.329999999999998</v>
      </c>
      <c r="G1805">
        <v>17.93</v>
      </c>
      <c r="H1805" t="s">
        <v>19</v>
      </c>
      <c r="I1805" t="s">
        <v>23</v>
      </c>
      <c r="J1805" t="s">
        <v>26</v>
      </c>
      <c r="K1805">
        <v>34</v>
      </c>
      <c r="L1805" t="s">
        <v>29</v>
      </c>
    </row>
    <row r="1806" spans="1:12" x14ac:dyDescent="0.25">
      <c r="A1806">
        <v>1805</v>
      </c>
      <c r="B1806">
        <v>40</v>
      </c>
      <c r="C1806" t="s">
        <v>13</v>
      </c>
      <c r="D1806" t="s">
        <v>14</v>
      </c>
      <c r="E1806">
        <v>13.1</v>
      </c>
      <c r="F1806">
        <v>8.85</v>
      </c>
      <c r="G1806">
        <v>8.56</v>
      </c>
      <c r="H1806" t="s">
        <v>21</v>
      </c>
      <c r="I1806" t="s">
        <v>23</v>
      </c>
      <c r="J1806" t="s">
        <v>25</v>
      </c>
      <c r="K1806">
        <v>4</v>
      </c>
      <c r="L1806" t="s">
        <v>30</v>
      </c>
    </row>
    <row r="1807" spans="1:12" x14ac:dyDescent="0.25">
      <c r="A1807">
        <v>1806</v>
      </c>
      <c r="B1807">
        <v>54</v>
      </c>
      <c r="C1807" t="s">
        <v>12</v>
      </c>
      <c r="D1807" t="s">
        <v>15</v>
      </c>
      <c r="E1807">
        <v>8.01</v>
      </c>
      <c r="F1807">
        <v>11.35</v>
      </c>
      <c r="G1807">
        <v>17.77</v>
      </c>
      <c r="H1807" t="s">
        <v>18</v>
      </c>
      <c r="I1807" t="s">
        <v>23</v>
      </c>
      <c r="J1807" t="s">
        <v>26</v>
      </c>
      <c r="K1807">
        <v>19</v>
      </c>
      <c r="L1807" t="s">
        <v>30</v>
      </c>
    </row>
    <row r="1808" spans="1:12" x14ac:dyDescent="0.25">
      <c r="A1808">
        <v>1807</v>
      </c>
      <c r="B1808">
        <v>28</v>
      </c>
      <c r="C1808" t="s">
        <v>13</v>
      </c>
      <c r="D1808" t="s">
        <v>17</v>
      </c>
      <c r="E1808">
        <v>8.58</v>
      </c>
      <c r="F1808">
        <v>19.27</v>
      </c>
      <c r="G1808">
        <v>9.85</v>
      </c>
      <c r="H1808" t="s">
        <v>21</v>
      </c>
      <c r="I1808" t="s">
        <v>23</v>
      </c>
      <c r="J1808" t="s">
        <v>28</v>
      </c>
      <c r="K1808">
        <v>4</v>
      </c>
      <c r="L1808" t="s">
        <v>29</v>
      </c>
    </row>
    <row r="1809" spans="1:12" x14ac:dyDescent="0.25">
      <c r="A1809">
        <v>1808</v>
      </c>
      <c r="B1809">
        <v>23</v>
      </c>
      <c r="C1809" t="s">
        <v>12</v>
      </c>
      <c r="D1809" t="s">
        <v>16</v>
      </c>
      <c r="E1809">
        <v>8.35</v>
      </c>
      <c r="F1809">
        <v>13.32</v>
      </c>
      <c r="G1809">
        <v>0.61</v>
      </c>
      <c r="H1809" t="s">
        <v>19</v>
      </c>
      <c r="I1809" t="s">
        <v>23</v>
      </c>
      <c r="J1809" t="s">
        <v>26</v>
      </c>
      <c r="K1809">
        <v>6</v>
      </c>
      <c r="L1809" t="s">
        <v>30</v>
      </c>
    </row>
    <row r="1810" spans="1:12" x14ac:dyDescent="0.25">
      <c r="A1810">
        <v>1809</v>
      </c>
      <c r="B1810">
        <v>35</v>
      </c>
      <c r="C1810" t="s">
        <v>12</v>
      </c>
      <c r="D1810" t="s">
        <v>17</v>
      </c>
      <c r="E1810">
        <v>24.18</v>
      </c>
      <c r="F1810">
        <v>8.7899999999999991</v>
      </c>
      <c r="G1810">
        <v>3.77</v>
      </c>
      <c r="H1810" t="s">
        <v>18</v>
      </c>
      <c r="I1810" t="s">
        <v>24</v>
      </c>
      <c r="J1810" t="s">
        <v>26</v>
      </c>
      <c r="K1810">
        <v>3</v>
      </c>
      <c r="L1810" t="s">
        <v>29</v>
      </c>
    </row>
    <row r="1811" spans="1:12" x14ac:dyDescent="0.25">
      <c r="A1811">
        <v>1810</v>
      </c>
      <c r="B1811">
        <v>38</v>
      </c>
      <c r="C1811" t="s">
        <v>13</v>
      </c>
      <c r="D1811" t="s">
        <v>17</v>
      </c>
      <c r="E1811">
        <v>30.14</v>
      </c>
      <c r="F1811">
        <v>26.35</v>
      </c>
      <c r="G1811">
        <v>6.65</v>
      </c>
      <c r="H1811" t="s">
        <v>18</v>
      </c>
      <c r="I1811" t="s">
        <v>22</v>
      </c>
      <c r="J1811" t="s">
        <v>26</v>
      </c>
      <c r="K1811">
        <v>25</v>
      </c>
      <c r="L1811" t="s">
        <v>29</v>
      </c>
    </row>
    <row r="1812" spans="1:12" x14ac:dyDescent="0.25">
      <c r="A1812">
        <v>1811</v>
      </c>
      <c r="B1812">
        <v>59</v>
      </c>
      <c r="C1812" t="s">
        <v>12</v>
      </c>
      <c r="D1812" t="s">
        <v>15</v>
      </c>
      <c r="E1812">
        <v>9.7799999999999994</v>
      </c>
      <c r="F1812">
        <v>10.49</v>
      </c>
      <c r="G1812">
        <v>1.66</v>
      </c>
      <c r="H1812" t="s">
        <v>21</v>
      </c>
      <c r="I1812" t="s">
        <v>22</v>
      </c>
      <c r="J1812" t="s">
        <v>26</v>
      </c>
      <c r="K1812">
        <v>8</v>
      </c>
      <c r="L1812" t="s">
        <v>29</v>
      </c>
    </row>
    <row r="1813" spans="1:12" x14ac:dyDescent="0.25">
      <c r="A1813">
        <v>1812</v>
      </c>
      <c r="B1813">
        <v>53</v>
      </c>
      <c r="C1813" t="s">
        <v>12</v>
      </c>
      <c r="D1813" t="s">
        <v>17</v>
      </c>
      <c r="E1813">
        <v>3.05</v>
      </c>
      <c r="F1813">
        <v>9.64</v>
      </c>
      <c r="G1813">
        <v>12.91</v>
      </c>
      <c r="H1813" t="s">
        <v>19</v>
      </c>
      <c r="I1813" t="s">
        <v>23</v>
      </c>
      <c r="J1813" t="s">
        <v>26</v>
      </c>
      <c r="K1813">
        <v>18</v>
      </c>
      <c r="L1813" t="s">
        <v>29</v>
      </c>
    </row>
    <row r="1814" spans="1:12" x14ac:dyDescent="0.25">
      <c r="A1814">
        <v>1813</v>
      </c>
      <c r="B1814">
        <v>58</v>
      </c>
      <c r="C1814" t="s">
        <v>12</v>
      </c>
      <c r="D1814" t="s">
        <v>14</v>
      </c>
      <c r="E1814">
        <v>1.69</v>
      </c>
      <c r="F1814">
        <v>26.02</v>
      </c>
      <c r="G1814">
        <v>5.43</v>
      </c>
      <c r="H1814" t="s">
        <v>19</v>
      </c>
      <c r="I1814" t="s">
        <v>23</v>
      </c>
      <c r="J1814" t="s">
        <v>25</v>
      </c>
      <c r="K1814">
        <v>4</v>
      </c>
      <c r="L1814" t="s">
        <v>29</v>
      </c>
    </row>
    <row r="1815" spans="1:12" x14ac:dyDescent="0.25">
      <c r="A1815">
        <v>1814</v>
      </c>
      <c r="B1815">
        <v>55</v>
      </c>
      <c r="C1815" t="s">
        <v>13</v>
      </c>
      <c r="D1815" t="s">
        <v>15</v>
      </c>
      <c r="E1815">
        <v>54.77</v>
      </c>
      <c r="F1815">
        <v>13.7</v>
      </c>
      <c r="G1815">
        <v>5.35</v>
      </c>
      <c r="H1815" t="s">
        <v>19</v>
      </c>
      <c r="I1815" t="s">
        <v>23</v>
      </c>
      <c r="J1815" t="s">
        <v>25</v>
      </c>
      <c r="K1815">
        <v>14</v>
      </c>
      <c r="L1815" t="s">
        <v>30</v>
      </c>
    </row>
    <row r="1816" spans="1:12" x14ac:dyDescent="0.25">
      <c r="A1816">
        <v>1815</v>
      </c>
      <c r="B1816">
        <v>51</v>
      </c>
      <c r="C1816" t="s">
        <v>12</v>
      </c>
      <c r="D1816" t="s">
        <v>14</v>
      </c>
      <c r="E1816">
        <v>19.260000000000002</v>
      </c>
      <c r="F1816">
        <v>3.75</v>
      </c>
      <c r="G1816">
        <v>6.81</v>
      </c>
      <c r="H1816" t="s">
        <v>18</v>
      </c>
      <c r="I1816" t="s">
        <v>22</v>
      </c>
      <c r="J1816" t="s">
        <v>26</v>
      </c>
      <c r="K1816">
        <v>29</v>
      </c>
      <c r="L1816" t="s">
        <v>29</v>
      </c>
    </row>
    <row r="1817" spans="1:12" x14ac:dyDescent="0.25">
      <c r="A1817">
        <v>1816</v>
      </c>
      <c r="B1817">
        <v>34</v>
      </c>
      <c r="C1817" t="s">
        <v>12</v>
      </c>
      <c r="D1817" t="s">
        <v>16</v>
      </c>
      <c r="E1817">
        <v>28.89</v>
      </c>
      <c r="F1817">
        <v>4.1900000000000004</v>
      </c>
      <c r="G1817">
        <v>2.2999999999999998</v>
      </c>
      <c r="H1817" t="s">
        <v>19</v>
      </c>
      <c r="I1817" t="s">
        <v>22</v>
      </c>
      <c r="J1817" t="s">
        <v>25</v>
      </c>
      <c r="K1817">
        <v>21</v>
      </c>
      <c r="L1817" t="s">
        <v>29</v>
      </c>
    </row>
    <row r="1818" spans="1:12" x14ac:dyDescent="0.25">
      <c r="A1818">
        <v>1817</v>
      </c>
      <c r="B1818">
        <v>54</v>
      </c>
      <c r="C1818" t="s">
        <v>13</v>
      </c>
      <c r="D1818" t="s">
        <v>14</v>
      </c>
      <c r="E1818">
        <v>15.13</v>
      </c>
      <c r="F1818">
        <v>5.29</v>
      </c>
      <c r="G1818">
        <v>13.59</v>
      </c>
      <c r="H1818" t="s">
        <v>18</v>
      </c>
      <c r="I1818" t="s">
        <v>22</v>
      </c>
      <c r="J1818" t="s">
        <v>26</v>
      </c>
      <c r="K1818">
        <v>30</v>
      </c>
      <c r="L1818" t="s">
        <v>29</v>
      </c>
    </row>
    <row r="1819" spans="1:12" x14ac:dyDescent="0.25">
      <c r="A1819">
        <v>1818</v>
      </c>
      <c r="B1819">
        <v>42</v>
      </c>
      <c r="C1819" t="s">
        <v>13</v>
      </c>
      <c r="D1819" t="s">
        <v>17</v>
      </c>
      <c r="E1819">
        <v>2.42</v>
      </c>
      <c r="F1819">
        <v>19.91</v>
      </c>
      <c r="G1819">
        <v>20.74</v>
      </c>
      <c r="H1819" t="s">
        <v>18</v>
      </c>
      <c r="I1819" t="s">
        <v>22</v>
      </c>
      <c r="J1819" t="s">
        <v>25</v>
      </c>
      <c r="K1819">
        <v>6</v>
      </c>
      <c r="L1819" t="s">
        <v>29</v>
      </c>
    </row>
    <row r="1820" spans="1:12" x14ac:dyDescent="0.25">
      <c r="A1820">
        <v>1819</v>
      </c>
      <c r="B1820">
        <v>55</v>
      </c>
      <c r="C1820" t="s">
        <v>13</v>
      </c>
      <c r="D1820" t="s">
        <v>16</v>
      </c>
      <c r="E1820">
        <v>22.67</v>
      </c>
      <c r="F1820">
        <v>18.440000000000001</v>
      </c>
      <c r="G1820">
        <v>11.61</v>
      </c>
      <c r="H1820" t="s">
        <v>20</v>
      </c>
      <c r="I1820" t="s">
        <v>22</v>
      </c>
      <c r="J1820" t="s">
        <v>25</v>
      </c>
      <c r="K1820">
        <v>9</v>
      </c>
      <c r="L1820" t="s">
        <v>30</v>
      </c>
    </row>
    <row r="1821" spans="1:12" x14ac:dyDescent="0.25">
      <c r="A1821">
        <v>1820</v>
      </c>
      <c r="B1821">
        <v>75</v>
      </c>
      <c r="C1821" t="s">
        <v>12</v>
      </c>
      <c r="D1821" t="s">
        <v>15</v>
      </c>
      <c r="E1821">
        <v>44.94</v>
      </c>
      <c r="F1821">
        <v>11.19</v>
      </c>
      <c r="G1821">
        <v>19.28</v>
      </c>
      <c r="H1821" t="s">
        <v>21</v>
      </c>
      <c r="I1821" t="s">
        <v>23</v>
      </c>
      <c r="J1821" t="s">
        <v>25</v>
      </c>
      <c r="K1821">
        <v>27</v>
      </c>
      <c r="L1821" t="s">
        <v>29</v>
      </c>
    </row>
    <row r="1822" spans="1:12" x14ac:dyDescent="0.25">
      <c r="A1822">
        <v>1821</v>
      </c>
      <c r="B1822">
        <v>29</v>
      </c>
      <c r="C1822" t="s">
        <v>12</v>
      </c>
      <c r="D1822" t="s">
        <v>14</v>
      </c>
      <c r="E1822">
        <v>10.93</v>
      </c>
      <c r="F1822">
        <v>4.25</v>
      </c>
      <c r="G1822">
        <v>1.68</v>
      </c>
      <c r="H1822" t="s">
        <v>19</v>
      </c>
      <c r="I1822" t="s">
        <v>22</v>
      </c>
      <c r="J1822" t="s">
        <v>26</v>
      </c>
      <c r="K1822">
        <v>19</v>
      </c>
      <c r="L1822" t="s">
        <v>29</v>
      </c>
    </row>
    <row r="1823" spans="1:12" x14ac:dyDescent="0.25">
      <c r="A1823">
        <v>1822</v>
      </c>
      <c r="B1823">
        <v>40</v>
      </c>
      <c r="C1823" t="s">
        <v>12</v>
      </c>
      <c r="D1823" t="s">
        <v>15</v>
      </c>
      <c r="E1823">
        <v>2.14</v>
      </c>
      <c r="F1823">
        <v>7.27</v>
      </c>
      <c r="G1823">
        <v>14.8</v>
      </c>
      <c r="H1823" t="s">
        <v>18</v>
      </c>
      <c r="I1823" t="s">
        <v>22</v>
      </c>
      <c r="J1823" t="s">
        <v>26</v>
      </c>
      <c r="K1823">
        <v>16</v>
      </c>
      <c r="L1823" t="s">
        <v>29</v>
      </c>
    </row>
    <row r="1824" spans="1:12" x14ac:dyDescent="0.25">
      <c r="A1824">
        <v>1823</v>
      </c>
      <c r="B1824">
        <v>70</v>
      </c>
      <c r="C1824" t="s">
        <v>13</v>
      </c>
      <c r="D1824" t="s">
        <v>14</v>
      </c>
      <c r="E1824">
        <v>6.9</v>
      </c>
      <c r="F1824">
        <v>24.26</v>
      </c>
      <c r="G1824">
        <v>14.45</v>
      </c>
      <c r="H1824" t="s">
        <v>21</v>
      </c>
      <c r="I1824" t="s">
        <v>22</v>
      </c>
      <c r="J1824" t="s">
        <v>26</v>
      </c>
      <c r="K1824">
        <v>4</v>
      </c>
      <c r="L1824" t="s">
        <v>29</v>
      </c>
    </row>
    <row r="1825" spans="1:12" x14ac:dyDescent="0.25">
      <c r="A1825">
        <v>1824</v>
      </c>
      <c r="B1825">
        <v>59</v>
      </c>
      <c r="C1825" t="s">
        <v>12</v>
      </c>
      <c r="D1825" t="s">
        <v>14</v>
      </c>
      <c r="E1825">
        <v>29.77</v>
      </c>
      <c r="F1825">
        <v>8.6199999999999992</v>
      </c>
      <c r="G1825">
        <v>13.97</v>
      </c>
      <c r="H1825" t="s">
        <v>18</v>
      </c>
      <c r="I1825" t="s">
        <v>23</v>
      </c>
      <c r="J1825" t="s">
        <v>26</v>
      </c>
      <c r="K1825">
        <v>26</v>
      </c>
      <c r="L1825" t="s">
        <v>29</v>
      </c>
    </row>
    <row r="1826" spans="1:12" x14ac:dyDescent="0.25">
      <c r="A1826">
        <v>1825</v>
      </c>
      <c r="B1826">
        <v>39</v>
      </c>
      <c r="C1826" t="s">
        <v>12</v>
      </c>
      <c r="D1826" t="s">
        <v>15</v>
      </c>
      <c r="E1826">
        <v>21.44</v>
      </c>
      <c r="F1826">
        <v>8.34</v>
      </c>
      <c r="G1826">
        <v>13.27</v>
      </c>
      <c r="H1826" t="s">
        <v>21</v>
      </c>
      <c r="I1826" t="s">
        <v>23</v>
      </c>
      <c r="J1826" t="s">
        <v>25</v>
      </c>
      <c r="K1826">
        <v>17</v>
      </c>
      <c r="L1826" t="s">
        <v>29</v>
      </c>
    </row>
    <row r="1827" spans="1:12" x14ac:dyDescent="0.25">
      <c r="A1827">
        <v>1826</v>
      </c>
      <c r="B1827">
        <v>38</v>
      </c>
      <c r="C1827" t="s">
        <v>13</v>
      </c>
      <c r="D1827" t="s">
        <v>15</v>
      </c>
      <c r="E1827">
        <v>35.69</v>
      </c>
      <c r="F1827">
        <v>5.66</v>
      </c>
      <c r="G1827">
        <v>11.71</v>
      </c>
      <c r="H1827" t="s">
        <v>18</v>
      </c>
      <c r="I1827" t="s">
        <v>23</v>
      </c>
      <c r="J1827" t="s">
        <v>26</v>
      </c>
      <c r="K1827">
        <v>35</v>
      </c>
      <c r="L1827" t="s">
        <v>29</v>
      </c>
    </row>
    <row r="1828" spans="1:12" x14ac:dyDescent="0.25">
      <c r="A1828">
        <v>1827</v>
      </c>
      <c r="B1828">
        <v>44</v>
      </c>
      <c r="C1828" t="s">
        <v>13</v>
      </c>
      <c r="D1828" t="s">
        <v>16</v>
      </c>
      <c r="E1828">
        <v>17.440000000000001</v>
      </c>
      <c r="F1828">
        <v>20.36</v>
      </c>
      <c r="G1828">
        <v>30.43</v>
      </c>
      <c r="H1828" t="s">
        <v>19</v>
      </c>
      <c r="I1828" t="s">
        <v>24</v>
      </c>
      <c r="J1828" t="s">
        <v>26</v>
      </c>
      <c r="K1828">
        <v>14</v>
      </c>
      <c r="L1828" t="s">
        <v>29</v>
      </c>
    </row>
    <row r="1829" spans="1:12" x14ac:dyDescent="0.25">
      <c r="A1829">
        <v>1828</v>
      </c>
      <c r="B1829">
        <v>74</v>
      </c>
      <c r="C1829" t="s">
        <v>13</v>
      </c>
      <c r="D1829" t="s">
        <v>15</v>
      </c>
      <c r="E1829">
        <v>26.71</v>
      </c>
      <c r="F1829">
        <v>4.95</v>
      </c>
      <c r="G1829">
        <v>2.69</v>
      </c>
      <c r="H1829" t="s">
        <v>20</v>
      </c>
      <c r="I1829" t="s">
        <v>22</v>
      </c>
      <c r="J1829" t="s">
        <v>26</v>
      </c>
      <c r="K1829">
        <v>21</v>
      </c>
      <c r="L1829" t="s">
        <v>29</v>
      </c>
    </row>
    <row r="1830" spans="1:12" x14ac:dyDescent="0.25">
      <c r="A1830">
        <v>1829</v>
      </c>
      <c r="B1830">
        <v>48</v>
      </c>
      <c r="C1830" t="s">
        <v>13</v>
      </c>
      <c r="D1830" t="s">
        <v>14</v>
      </c>
      <c r="E1830">
        <v>12.83</v>
      </c>
      <c r="F1830">
        <v>16.690000000000001</v>
      </c>
      <c r="G1830">
        <v>26.78</v>
      </c>
      <c r="H1830" t="s">
        <v>20</v>
      </c>
      <c r="I1830" t="s">
        <v>24</v>
      </c>
      <c r="J1830" t="s">
        <v>26</v>
      </c>
      <c r="K1830">
        <v>7</v>
      </c>
      <c r="L1830" t="s">
        <v>29</v>
      </c>
    </row>
    <row r="1831" spans="1:12" x14ac:dyDescent="0.25">
      <c r="A1831">
        <v>1830</v>
      </c>
      <c r="B1831">
        <v>23</v>
      </c>
      <c r="C1831" t="s">
        <v>13</v>
      </c>
      <c r="D1831" t="s">
        <v>15</v>
      </c>
      <c r="E1831">
        <v>7.35</v>
      </c>
      <c r="F1831">
        <v>6.5</v>
      </c>
      <c r="G1831">
        <v>15.22</v>
      </c>
      <c r="H1831" t="s">
        <v>20</v>
      </c>
      <c r="I1831" t="s">
        <v>22</v>
      </c>
      <c r="J1831" t="s">
        <v>25</v>
      </c>
      <c r="K1831">
        <v>3</v>
      </c>
      <c r="L1831" t="s">
        <v>29</v>
      </c>
    </row>
    <row r="1832" spans="1:12" x14ac:dyDescent="0.25">
      <c r="A1832">
        <v>1831</v>
      </c>
      <c r="B1832">
        <v>44</v>
      </c>
      <c r="C1832" t="s">
        <v>12</v>
      </c>
      <c r="D1832" t="s">
        <v>15</v>
      </c>
      <c r="E1832">
        <v>26.75</v>
      </c>
      <c r="F1832">
        <v>14.5</v>
      </c>
      <c r="G1832">
        <v>9.41</v>
      </c>
      <c r="H1832" t="s">
        <v>18</v>
      </c>
      <c r="I1832" t="s">
        <v>23</v>
      </c>
      <c r="J1832" t="s">
        <v>26</v>
      </c>
      <c r="K1832">
        <v>11</v>
      </c>
      <c r="L1832" t="s">
        <v>30</v>
      </c>
    </row>
    <row r="1833" spans="1:12" x14ac:dyDescent="0.25">
      <c r="A1833">
        <v>1832</v>
      </c>
      <c r="B1833">
        <v>57</v>
      </c>
      <c r="C1833" t="s">
        <v>13</v>
      </c>
      <c r="D1833" t="s">
        <v>14</v>
      </c>
      <c r="E1833">
        <v>30.07</v>
      </c>
      <c r="F1833">
        <v>12.02</v>
      </c>
      <c r="G1833">
        <v>12.53</v>
      </c>
      <c r="H1833" t="s">
        <v>21</v>
      </c>
      <c r="I1833" t="s">
        <v>22</v>
      </c>
      <c r="J1833" t="s">
        <v>25</v>
      </c>
      <c r="K1833">
        <v>31</v>
      </c>
      <c r="L1833" t="s">
        <v>29</v>
      </c>
    </row>
    <row r="1834" spans="1:12" x14ac:dyDescent="0.25">
      <c r="A1834">
        <v>1833</v>
      </c>
      <c r="B1834">
        <v>51</v>
      </c>
      <c r="C1834" t="s">
        <v>12</v>
      </c>
      <c r="D1834" t="s">
        <v>16</v>
      </c>
      <c r="E1834">
        <v>11.12</v>
      </c>
      <c r="F1834">
        <v>9.26</v>
      </c>
      <c r="G1834">
        <v>2.25</v>
      </c>
      <c r="H1834" t="s">
        <v>19</v>
      </c>
      <c r="I1834" t="s">
        <v>23</v>
      </c>
      <c r="J1834" t="s">
        <v>26</v>
      </c>
      <c r="K1834">
        <v>4</v>
      </c>
      <c r="L1834" t="s">
        <v>30</v>
      </c>
    </row>
    <row r="1835" spans="1:12" x14ac:dyDescent="0.25">
      <c r="A1835">
        <v>1834</v>
      </c>
      <c r="B1835">
        <v>29</v>
      </c>
      <c r="C1835" t="s">
        <v>12</v>
      </c>
      <c r="D1835" t="s">
        <v>14</v>
      </c>
      <c r="E1835">
        <v>42.51</v>
      </c>
      <c r="F1835">
        <v>7.48</v>
      </c>
      <c r="G1835">
        <v>6.38</v>
      </c>
      <c r="H1835" t="s">
        <v>19</v>
      </c>
      <c r="I1835" t="s">
        <v>24</v>
      </c>
      <c r="J1835" t="s">
        <v>27</v>
      </c>
      <c r="K1835">
        <v>21</v>
      </c>
      <c r="L1835" t="s">
        <v>29</v>
      </c>
    </row>
    <row r="1836" spans="1:12" x14ac:dyDescent="0.25">
      <c r="A1836">
        <v>1835</v>
      </c>
      <c r="B1836">
        <v>62</v>
      </c>
      <c r="C1836" t="s">
        <v>13</v>
      </c>
      <c r="D1836" t="s">
        <v>15</v>
      </c>
      <c r="E1836">
        <v>43.23</v>
      </c>
      <c r="F1836">
        <v>12.95</v>
      </c>
      <c r="G1836">
        <v>12.72</v>
      </c>
      <c r="H1836" t="s">
        <v>18</v>
      </c>
      <c r="I1836" t="s">
        <v>24</v>
      </c>
      <c r="J1836" t="s">
        <v>28</v>
      </c>
      <c r="K1836">
        <v>30</v>
      </c>
      <c r="L1836" t="s">
        <v>30</v>
      </c>
    </row>
    <row r="1837" spans="1:12" x14ac:dyDescent="0.25">
      <c r="A1837">
        <v>1836</v>
      </c>
      <c r="B1837">
        <v>74</v>
      </c>
      <c r="C1837" t="s">
        <v>13</v>
      </c>
      <c r="D1837" t="s">
        <v>16</v>
      </c>
      <c r="E1837">
        <v>8.39</v>
      </c>
      <c r="F1837">
        <v>11.92</v>
      </c>
      <c r="G1837">
        <v>19.84</v>
      </c>
      <c r="H1837" t="s">
        <v>20</v>
      </c>
      <c r="I1837" t="s">
        <v>22</v>
      </c>
      <c r="J1837" t="s">
        <v>25</v>
      </c>
      <c r="K1837">
        <v>24</v>
      </c>
      <c r="L1837" t="s">
        <v>29</v>
      </c>
    </row>
    <row r="1838" spans="1:12" x14ac:dyDescent="0.25">
      <c r="A1838">
        <v>1837</v>
      </c>
      <c r="B1838">
        <v>70</v>
      </c>
      <c r="C1838" t="s">
        <v>13</v>
      </c>
      <c r="D1838" t="s">
        <v>17</v>
      </c>
      <c r="E1838">
        <v>8.6999999999999993</v>
      </c>
      <c r="F1838">
        <v>5.9</v>
      </c>
      <c r="G1838">
        <v>9.24</v>
      </c>
      <c r="H1838" t="s">
        <v>18</v>
      </c>
      <c r="I1838" t="s">
        <v>22</v>
      </c>
      <c r="J1838" t="s">
        <v>27</v>
      </c>
      <c r="K1838">
        <v>6</v>
      </c>
      <c r="L1838" t="s">
        <v>29</v>
      </c>
    </row>
    <row r="1839" spans="1:12" x14ac:dyDescent="0.25">
      <c r="A1839">
        <v>1838</v>
      </c>
      <c r="B1839">
        <v>24</v>
      </c>
      <c r="C1839" t="s">
        <v>12</v>
      </c>
      <c r="D1839" t="s">
        <v>16</v>
      </c>
      <c r="E1839">
        <v>9.02</v>
      </c>
      <c r="F1839">
        <v>21.97</v>
      </c>
      <c r="G1839">
        <v>4.9400000000000004</v>
      </c>
      <c r="H1839" t="s">
        <v>21</v>
      </c>
      <c r="I1839" t="s">
        <v>22</v>
      </c>
      <c r="J1839" t="s">
        <v>26</v>
      </c>
      <c r="K1839">
        <v>10</v>
      </c>
      <c r="L1839" t="s">
        <v>29</v>
      </c>
    </row>
    <row r="1840" spans="1:12" x14ac:dyDescent="0.25">
      <c r="A1840">
        <v>1839</v>
      </c>
      <c r="B1840">
        <v>27</v>
      </c>
      <c r="C1840" t="s">
        <v>13</v>
      </c>
      <c r="D1840" t="s">
        <v>16</v>
      </c>
      <c r="E1840">
        <v>15.89</v>
      </c>
      <c r="F1840">
        <v>18.73</v>
      </c>
      <c r="G1840">
        <v>7.31</v>
      </c>
      <c r="H1840" t="s">
        <v>20</v>
      </c>
      <c r="I1840" t="s">
        <v>24</v>
      </c>
      <c r="J1840" t="s">
        <v>27</v>
      </c>
      <c r="K1840">
        <v>3</v>
      </c>
      <c r="L1840" t="s">
        <v>29</v>
      </c>
    </row>
    <row r="1841" spans="1:12" x14ac:dyDescent="0.25">
      <c r="A1841">
        <v>1840</v>
      </c>
      <c r="B1841">
        <v>62</v>
      </c>
      <c r="C1841" t="s">
        <v>13</v>
      </c>
      <c r="D1841" t="s">
        <v>17</v>
      </c>
      <c r="E1841">
        <v>13.28</v>
      </c>
      <c r="F1841">
        <v>4.33</v>
      </c>
      <c r="G1841">
        <v>6.66</v>
      </c>
      <c r="H1841" t="s">
        <v>18</v>
      </c>
      <c r="I1841" t="s">
        <v>23</v>
      </c>
      <c r="J1841" t="s">
        <v>27</v>
      </c>
      <c r="K1841">
        <v>9</v>
      </c>
      <c r="L1841" t="s">
        <v>29</v>
      </c>
    </row>
    <row r="1842" spans="1:12" x14ac:dyDescent="0.25">
      <c r="A1842">
        <v>1841</v>
      </c>
      <c r="B1842">
        <v>34</v>
      </c>
      <c r="C1842" t="s">
        <v>13</v>
      </c>
      <c r="D1842" t="s">
        <v>17</v>
      </c>
      <c r="E1842">
        <v>6.06</v>
      </c>
      <c r="F1842">
        <v>4.8099999999999996</v>
      </c>
      <c r="G1842">
        <v>6.67</v>
      </c>
      <c r="H1842" t="s">
        <v>21</v>
      </c>
      <c r="I1842" t="s">
        <v>22</v>
      </c>
      <c r="J1842" t="s">
        <v>28</v>
      </c>
      <c r="K1842">
        <v>27</v>
      </c>
      <c r="L1842" t="s">
        <v>29</v>
      </c>
    </row>
    <row r="1843" spans="1:12" x14ac:dyDescent="0.25">
      <c r="A1843">
        <v>1842</v>
      </c>
      <c r="B1843">
        <v>43</v>
      </c>
      <c r="C1843" t="s">
        <v>13</v>
      </c>
      <c r="D1843" t="s">
        <v>15</v>
      </c>
      <c r="E1843">
        <v>9.2200000000000006</v>
      </c>
      <c r="F1843">
        <v>1.5</v>
      </c>
      <c r="G1843">
        <v>1.83</v>
      </c>
      <c r="H1843" t="s">
        <v>20</v>
      </c>
      <c r="I1843" t="s">
        <v>22</v>
      </c>
      <c r="J1843" t="s">
        <v>25</v>
      </c>
      <c r="K1843">
        <v>31</v>
      </c>
      <c r="L1843" t="s">
        <v>29</v>
      </c>
    </row>
    <row r="1844" spans="1:12" x14ac:dyDescent="0.25">
      <c r="A1844">
        <v>1843</v>
      </c>
      <c r="B1844">
        <v>38</v>
      </c>
      <c r="C1844" t="s">
        <v>13</v>
      </c>
      <c r="D1844" t="s">
        <v>16</v>
      </c>
      <c r="E1844">
        <v>2.48</v>
      </c>
      <c r="F1844">
        <v>17.45</v>
      </c>
      <c r="G1844">
        <v>23.77</v>
      </c>
      <c r="H1844" t="s">
        <v>19</v>
      </c>
      <c r="I1844" t="s">
        <v>24</v>
      </c>
      <c r="J1844" t="s">
        <v>25</v>
      </c>
      <c r="K1844">
        <v>3</v>
      </c>
      <c r="L1844" t="s">
        <v>29</v>
      </c>
    </row>
    <row r="1845" spans="1:12" x14ac:dyDescent="0.25">
      <c r="A1845">
        <v>1844</v>
      </c>
      <c r="B1845">
        <v>45</v>
      </c>
      <c r="C1845" t="s">
        <v>12</v>
      </c>
      <c r="D1845" t="s">
        <v>15</v>
      </c>
      <c r="E1845">
        <v>2.97</v>
      </c>
      <c r="F1845">
        <v>7.75</v>
      </c>
      <c r="G1845">
        <v>16.53</v>
      </c>
      <c r="H1845" t="s">
        <v>21</v>
      </c>
      <c r="I1845" t="s">
        <v>24</v>
      </c>
      <c r="J1845" t="s">
        <v>26</v>
      </c>
      <c r="K1845">
        <v>20</v>
      </c>
      <c r="L1845" t="s">
        <v>29</v>
      </c>
    </row>
    <row r="1846" spans="1:12" x14ac:dyDescent="0.25">
      <c r="A1846">
        <v>1845</v>
      </c>
      <c r="B1846">
        <v>79</v>
      </c>
      <c r="C1846" t="s">
        <v>12</v>
      </c>
      <c r="D1846" t="s">
        <v>16</v>
      </c>
      <c r="E1846">
        <v>5.09</v>
      </c>
      <c r="F1846">
        <v>9.82</v>
      </c>
      <c r="G1846">
        <v>16.03</v>
      </c>
      <c r="H1846" t="s">
        <v>19</v>
      </c>
      <c r="I1846" t="s">
        <v>24</v>
      </c>
      <c r="J1846" t="s">
        <v>26</v>
      </c>
      <c r="K1846">
        <v>6</v>
      </c>
      <c r="L1846" t="s">
        <v>29</v>
      </c>
    </row>
    <row r="1847" spans="1:12" x14ac:dyDescent="0.25">
      <c r="A1847">
        <v>1846</v>
      </c>
      <c r="B1847">
        <v>75</v>
      </c>
      <c r="C1847" t="s">
        <v>12</v>
      </c>
      <c r="D1847" t="s">
        <v>15</v>
      </c>
      <c r="E1847">
        <v>52.96</v>
      </c>
      <c r="F1847">
        <v>4.66</v>
      </c>
      <c r="G1847">
        <v>11.51</v>
      </c>
      <c r="H1847" t="s">
        <v>21</v>
      </c>
      <c r="I1847" t="s">
        <v>22</v>
      </c>
      <c r="J1847" t="s">
        <v>26</v>
      </c>
      <c r="K1847">
        <v>22</v>
      </c>
      <c r="L1847" t="s">
        <v>29</v>
      </c>
    </row>
    <row r="1848" spans="1:12" x14ac:dyDescent="0.25">
      <c r="A1848">
        <v>1847</v>
      </c>
      <c r="B1848">
        <v>63</v>
      </c>
      <c r="C1848" t="s">
        <v>13</v>
      </c>
      <c r="D1848" t="s">
        <v>16</v>
      </c>
      <c r="E1848">
        <v>49.14</v>
      </c>
      <c r="F1848">
        <v>9.84</v>
      </c>
      <c r="G1848">
        <v>10.119999999999999</v>
      </c>
      <c r="H1848" t="s">
        <v>20</v>
      </c>
      <c r="I1848" t="s">
        <v>23</v>
      </c>
      <c r="J1848" t="s">
        <v>27</v>
      </c>
      <c r="K1848">
        <v>10</v>
      </c>
      <c r="L1848" t="s">
        <v>30</v>
      </c>
    </row>
    <row r="1849" spans="1:12" x14ac:dyDescent="0.25">
      <c r="A1849">
        <v>1848</v>
      </c>
      <c r="B1849">
        <v>19</v>
      </c>
      <c r="C1849" t="s">
        <v>13</v>
      </c>
      <c r="D1849" t="s">
        <v>16</v>
      </c>
      <c r="E1849">
        <v>27.74</v>
      </c>
      <c r="F1849">
        <v>12.43</v>
      </c>
      <c r="G1849">
        <v>18.28</v>
      </c>
      <c r="H1849" t="s">
        <v>18</v>
      </c>
      <c r="I1849" t="s">
        <v>22</v>
      </c>
      <c r="J1849" t="s">
        <v>26</v>
      </c>
      <c r="K1849">
        <v>29</v>
      </c>
      <c r="L1849" t="s">
        <v>29</v>
      </c>
    </row>
    <row r="1850" spans="1:12" x14ac:dyDescent="0.25">
      <c r="A1850">
        <v>1849</v>
      </c>
      <c r="B1850">
        <v>77</v>
      </c>
      <c r="C1850" t="s">
        <v>13</v>
      </c>
      <c r="D1850" t="s">
        <v>15</v>
      </c>
      <c r="E1850">
        <v>11.21</v>
      </c>
      <c r="F1850">
        <v>2.87</v>
      </c>
      <c r="G1850">
        <v>13.77</v>
      </c>
      <c r="H1850" t="s">
        <v>18</v>
      </c>
      <c r="I1850" t="s">
        <v>22</v>
      </c>
      <c r="J1850" t="s">
        <v>25</v>
      </c>
      <c r="K1850">
        <v>27</v>
      </c>
      <c r="L1850" t="s">
        <v>29</v>
      </c>
    </row>
    <row r="1851" spans="1:12" x14ac:dyDescent="0.25">
      <c r="A1851">
        <v>1850</v>
      </c>
      <c r="B1851">
        <v>71</v>
      </c>
      <c r="C1851" t="s">
        <v>12</v>
      </c>
      <c r="D1851" t="s">
        <v>15</v>
      </c>
      <c r="E1851">
        <v>5.01</v>
      </c>
      <c r="F1851">
        <v>12.23</v>
      </c>
      <c r="G1851">
        <v>8.4700000000000006</v>
      </c>
      <c r="H1851" t="s">
        <v>18</v>
      </c>
      <c r="I1851" t="s">
        <v>22</v>
      </c>
      <c r="J1851" t="s">
        <v>26</v>
      </c>
      <c r="K1851">
        <v>16</v>
      </c>
      <c r="L1851" t="s">
        <v>29</v>
      </c>
    </row>
    <row r="1852" spans="1:12" x14ac:dyDescent="0.25">
      <c r="A1852">
        <v>1851</v>
      </c>
      <c r="B1852">
        <v>60</v>
      </c>
      <c r="C1852" t="s">
        <v>13</v>
      </c>
      <c r="D1852" t="s">
        <v>15</v>
      </c>
      <c r="E1852">
        <v>17.190000000000001</v>
      </c>
      <c r="F1852">
        <v>11.75</v>
      </c>
      <c r="G1852">
        <v>30.12</v>
      </c>
      <c r="H1852" t="s">
        <v>18</v>
      </c>
      <c r="I1852" t="s">
        <v>23</v>
      </c>
      <c r="J1852" t="s">
        <v>26</v>
      </c>
      <c r="K1852">
        <v>33</v>
      </c>
      <c r="L1852" t="s">
        <v>29</v>
      </c>
    </row>
    <row r="1853" spans="1:12" x14ac:dyDescent="0.25">
      <c r="A1853">
        <v>1852</v>
      </c>
      <c r="B1853">
        <v>18</v>
      </c>
      <c r="C1853" t="s">
        <v>13</v>
      </c>
      <c r="D1853" t="s">
        <v>16</v>
      </c>
      <c r="E1853">
        <v>23.08</v>
      </c>
      <c r="F1853">
        <v>25.19</v>
      </c>
      <c r="G1853">
        <v>16.41</v>
      </c>
      <c r="H1853" t="s">
        <v>21</v>
      </c>
      <c r="I1853" t="s">
        <v>22</v>
      </c>
      <c r="J1853" t="s">
        <v>27</v>
      </c>
      <c r="K1853">
        <v>7</v>
      </c>
      <c r="L1853" t="s">
        <v>29</v>
      </c>
    </row>
    <row r="1854" spans="1:12" x14ac:dyDescent="0.25">
      <c r="A1854">
        <v>1853</v>
      </c>
      <c r="B1854">
        <v>68</v>
      </c>
      <c r="C1854" t="s">
        <v>13</v>
      </c>
      <c r="D1854" t="s">
        <v>14</v>
      </c>
      <c r="E1854">
        <v>9.91</v>
      </c>
      <c r="F1854">
        <v>12.78</v>
      </c>
      <c r="G1854">
        <v>9.76</v>
      </c>
      <c r="H1854" t="s">
        <v>18</v>
      </c>
      <c r="I1854" t="s">
        <v>23</v>
      </c>
      <c r="J1854" t="s">
        <v>27</v>
      </c>
      <c r="K1854">
        <v>19</v>
      </c>
      <c r="L1854" t="s">
        <v>30</v>
      </c>
    </row>
    <row r="1855" spans="1:12" x14ac:dyDescent="0.25">
      <c r="A1855">
        <v>1854</v>
      </c>
      <c r="B1855">
        <v>70</v>
      </c>
      <c r="C1855" t="s">
        <v>12</v>
      </c>
      <c r="D1855" t="s">
        <v>15</v>
      </c>
      <c r="E1855">
        <v>22.29</v>
      </c>
      <c r="F1855">
        <v>4.2</v>
      </c>
      <c r="G1855">
        <v>9.4499999999999993</v>
      </c>
      <c r="H1855" t="s">
        <v>18</v>
      </c>
      <c r="I1855" t="s">
        <v>24</v>
      </c>
      <c r="J1855" t="s">
        <v>25</v>
      </c>
      <c r="K1855">
        <v>12</v>
      </c>
      <c r="L1855" t="s">
        <v>30</v>
      </c>
    </row>
    <row r="1856" spans="1:12" x14ac:dyDescent="0.25">
      <c r="A1856">
        <v>1855</v>
      </c>
      <c r="B1856">
        <v>53</v>
      </c>
      <c r="C1856" t="s">
        <v>13</v>
      </c>
      <c r="D1856" t="s">
        <v>16</v>
      </c>
      <c r="E1856">
        <v>6.84</v>
      </c>
      <c r="F1856">
        <v>4.55</v>
      </c>
      <c r="G1856">
        <v>0.97</v>
      </c>
      <c r="H1856" t="s">
        <v>21</v>
      </c>
      <c r="I1856" t="s">
        <v>23</v>
      </c>
      <c r="J1856" t="s">
        <v>26</v>
      </c>
      <c r="K1856">
        <v>18</v>
      </c>
      <c r="L1856" t="s">
        <v>29</v>
      </c>
    </row>
    <row r="1857" spans="1:12" x14ac:dyDescent="0.25">
      <c r="A1857">
        <v>1856</v>
      </c>
      <c r="B1857">
        <v>68</v>
      </c>
      <c r="C1857" t="s">
        <v>12</v>
      </c>
      <c r="D1857" t="s">
        <v>15</v>
      </c>
      <c r="E1857">
        <v>11.38</v>
      </c>
      <c r="F1857">
        <v>11.64</v>
      </c>
      <c r="G1857">
        <v>4.37</v>
      </c>
      <c r="H1857" t="s">
        <v>21</v>
      </c>
      <c r="I1857" t="s">
        <v>22</v>
      </c>
      <c r="J1857" t="s">
        <v>26</v>
      </c>
      <c r="K1857">
        <v>6</v>
      </c>
      <c r="L1857" t="s">
        <v>29</v>
      </c>
    </row>
    <row r="1858" spans="1:12" x14ac:dyDescent="0.25">
      <c r="A1858">
        <v>1857</v>
      </c>
      <c r="B1858">
        <v>43</v>
      </c>
      <c r="C1858" t="s">
        <v>13</v>
      </c>
      <c r="D1858" t="s">
        <v>17</v>
      </c>
      <c r="E1858">
        <v>14.47</v>
      </c>
      <c r="F1858">
        <v>7.56</v>
      </c>
      <c r="G1858">
        <v>1.99</v>
      </c>
      <c r="H1858" t="s">
        <v>20</v>
      </c>
      <c r="I1858" t="s">
        <v>23</v>
      </c>
      <c r="J1858" t="s">
        <v>26</v>
      </c>
      <c r="K1858">
        <v>7</v>
      </c>
      <c r="L1858" t="s">
        <v>30</v>
      </c>
    </row>
    <row r="1859" spans="1:12" x14ac:dyDescent="0.25">
      <c r="A1859">
        <v>1858</v>
      </c>
      <c r="B1859">
        <v>46</v>
      </c>
      <c r="C1859" t="s">
        <v>12</v>
      </c>
      <c r="D1859" t="s">
        <v>14</v>
      </c>
      <c r="E1859">
        <v>50.02</v>
      </c>
      <c r="F1859">
        <v>16.53</v>
      </c>
      <c r="G1859">
        <v>6.21</v>
      </c>
      <c r="H1859" t="s">
        <v>21</v>
      </c>
      <c r="I1859" t="s">
        <v>23</v>
      </c>
      <c r="J1859" t="s">
        <v>26</v>
      </c>
      <c r="K1859">
        <v>22</v>
      </c>
      <c r="L1859" t="s">
        <v>29</v>
      </c>
    </row>
    <row r="1860" spans="1:12" x14ac:dyDescent="0.25">
      <c r="A1860">
        <v>1859</v>
      </c>
      <c r="B1860">
        <v>38</v>
      </c>
      <c r="C1860" t="s">
        <v>12</v>
      </c>
      <c r="D1860" t="s">
        <v>15</v>
      </c>
      <c r="E1860">
        <v>9.1199999999999992</v>
      </c>
      <c r="F1860">
        <v>2.75</v>
      </c>
      <c r="G1860">
        <v>12.78</v>
      </c>
      <c r="H1860" t="s">
        <v>19</v>
      </c>
      <c r="I1860" t="s">
        <v>24</v>
      </c>
      <c r="J1860" t="s">
        <v>26</v>
      </c>
      <c r="K1860">
        <v>8</v>
      </c>
      <c r="L1860" t="s">
        <v>29</v>
      </c>
    </row>
    <row r="1861" spans="1:12" x14ac:dyDescent="0.25">
      <c r="A1861">
        <v>1860</v>
      </c>
      <c r="B1861">
        <v>28</v>
      </c>
      <c r="C1861" t="s">
        <v>12</v>
      </c>
      <c r="D1861" t="s">
        <v>17</v>
      </c>
      <c r="E1861">
        <v>23.01</v>
      </c>
      <c r="F1861">
        <v>17.989999999999998</v>
      </c>
      <c r="G1861">
        <v>5.58</v>
      </c>
      <c r="H1861" t="s">
        <v>20</v>
      </c>
      <c r="I1861" t="s">
        <v>23</v>
      </c>
      <c r="J1861" t="s">
        <v>26</v>
      </c>
      <c r="K1861">
        <v>13</v>
      </c>
      <c r="L1861" t="s">
        <v>29</v>
      </c>
    </row>
    <row r="1862" spans="1:12" x14ac:dyDescent="0.25">
      <c r="A1862">
        <v>1861</v>
      </c>
      <c r="B1862">
        <v>57</v>
      </c>
      <c r="C1862" t="s">
        <v>13</v>
      </c>
      <c r="D1862" t="s">
        <v>15</v>
      </c>
      <c r="E1862">
        <v>8.07</v>
      </c>
      <c r="F1862">
        <v>11.35</v>
      </c>
      <c r="G1862">
        <v>6.91</v>
      </c>
      <c r="H1862" t="s">
        <v>20</v>
      </c>
      <c r="I1862" t="s">
        <v>23</v>
      </c>
      <c r="J1862" t="s">
        <v>26</v>
      </c>
      <c r="K1862">
        <v>19</v>
      </c>
      <c r="L1862" t="s">
        <v>29</v>
      </c>
    </row>
    <row r="1863" spans="1:12" x14ac:dyDescent="0.25">
      <c r="A1863">
        <v>1862</v>
      </c>
      <c r="B1863">
        <v>28</v>
      </c>
      <c r="C1863" t="s">
        <v>13</v>
      </c>
      <c r="D1863" t="s">
        <v>15</v>
      </c>
      <c r="E1863">
        <v>7.2</v>
      </c>
      <c r="F1863">
        <v>25.62</v>
      </c>
      <c r="G1863">
        <v>8.99</v>
      </c>
      <c r="H1863" t="s">
        <v>18</v>
      </c>
      <c r="I1863" t="s">
        <v>23</v>
      </c>
      <c r="J1863" t="s">
        <v>25</v>
      </c>
      <c r="K1863">
        <v>5</v>
      </c>
      <c r="L1863" t="s">
        <v>29</v>
      </c>
    </row>
    <row r="1864" spans="1:12" x14ac:dyDescent="0.25">
      <c r="A1864">
        <v>1863</v>
      </c>
      <c r="B1864">
        <v>53</v>
      </c>
      <c r="C1864" t="s">
        <v>12</v>
      </c>
      <c r="D1864" t="s">
        <v>15</v>
      </c>
      <c r="E1864">
        <v>9.8800000000000008</v>
      </c>
      <c r="F1864">
        <v>9.0500000000000007</v>
      </c>
      <c r="G1864">
        <v>27.13</v>
      </c>
      <c r="H1864" t="s">
        <v>18</v>
      </c>
      <c r="I1864" t="s">
        <v>22</v>
      </c>
      <c r="J1864" t="s">
        <v>26</v>
      </c>
      <c r="K1864">
        <v>18</v>
      </c>
      <c r="L1864" t="s">
        <v>29</v>
      </c>
    </row>
    <row r="1865" spans="1:12" x14ac:dyDescent="0.25">
      <c r="A1865">
        <v>1864</v>
      </c>
      <c r="B1865">
        <v>66</v>
      </c>
      <c r="C1865" t="s">
        <v>12</v>
      </c>
      <c r="D1865" t="s">
        <v>15</v>
      </c>
      <c r="E1865">
        <v>17.600000000000001</v>
      </c>
      <c r="F1865">
        <v>4.37</v>
      </c>
      <c r="G1865">
        <v>3.19</v>
      </c>
      <c r="H1865" t="s">
        <v>19</v>
      </c>
      <c r="I1865" t="s">
        <v>22</v>
      </c>
      <c r="J1865" t="s">
        <v>26</v>
      </c>
      <c r="K1865">
        <v>28</v>
      </c>
      <c r="L1865" t="s">
        <v>29</v>
      </c>
    </row>
    <row r="1866" spans="1:12" x14ac:dyDescent="0.25">
      <c r="A1866">
        <v>1865</v>
      </c>
      <c r="B1866">
        <v>76</v>
      </c>
      <c r="C1866" t="s">
        <v>13</v>
      </c>
      <c r="D1866" t="s">
        <v>16</v>
      </c>
      <c r="E1866">
        <v>45.9</v>
      </c>
      <c r="F1866">
        <v>3.98</v>
      </c>
      <c r="G1866">
        <v>4.3899999999999997</v>
      </c>
      <c r="H1866" t="s">
        <v>18</v>
      </c>
      <c r="I1866" t="s">
        <v>23</v>
      </c>
      <c r="J1866" t="s">
        <v>26</v>
      </c>
      <c r="K1866">
        <v>26</v>
      </c>
      <c r="L1866" t="s">
        <v>29</v>
      </c>
    </row>
    <row r="1867" spans="1:12" x14ac:dyDescent="0.25">
      <c r="A1867">
        <v>1866</v>
      </c>
      <c r="B1867">
        <v>56</v>
      </c>
      <c r="C1867" t="s">
        <v>13</v>
      </c>
      <c r="D1867" t="s">
        <v>17</v>
      </c>
      <c r="E1867">
        <v>11.03</v>
      </c>
      <c r="F1867">
        <v>12.79</v>
      </c>
      <c r="G1867">
        <v>21.53</v>
      </c>
      <c r="H1867" t="s">
        <v>21</v>
      </c>
      <c r="I1867" t="s">
        <v>22</v>
      </c>
      <c r="J1867" t="s">
        <v>28</v>
      </c>
      <c r="K1867">
        <v>22</v>
      </c>
      <c r="L1867" t="s">
        <v>29</v>
      </c>
    </row>
    <row r="1868" spans="1:12" x14ac:dyDescent="0.25">
      <c r="A1868">
        <v>1867</v>
      </c>
      <c r="B1868">
        <v>57</v>
      </c>
      <c r="C1868" t="s">
        <v>12</v>
      </c>
      <c r="D1868" t="s">
        <v>17</v>
      </c>
      <c r="E1868">
        <v>30.21</v>
      </c>
      <c r="F1868">
        <v>3.25</v>
      </c>
      <c r="G1868">
        <v>7.57</v>
      </c>
      <c r="H1868" t="s">
        <v>21</v>
      </c>
      <c r="I1868" t="s">
        <v>23</v>
      </c>
      <c r="J1868" t="s">
        <v>26</v>
      </c>
      <c r="K1868">
        <v>19</v>
      </c>
      <c r="L1868" t="s">
        <v>30</v>
      </c>
    </row>
    <row r="1869" spans="1:12" x14ac:dyDescent="0.25">
      <c r="A1869">
        <v>1868</v>
      </c>
      <c r="B1869">
        <v>52</v>
      </c>
      <c r="C1869" t="s">
        <v>13</v>
      </c>
      <c r="D1869" t="s">
        <v>15</v>
      </c>
      <c r="E1869">
        <v>51.52</v>
      </c>
      <c r="F1869">
        <v>37.97</v>
      </c>
      <c r="G1869">
        <v>5.9</v>
      </c>
      <c r="H1869" t="s">
        <v>18</v>
      </c>
      <c r="I1869" t="s">
        <v>24</v>
      </c>
      <c r="J1869" t="s">
        <v>26</v>
      </c>
      <c r="K1869">
        <v>22</v>
      </c>
      <c r="L1869" t="s">
        <v>29</v>
      </c>
    </row>
    <row r="1870" spans="1:12" x14ac:dyDescent="0.25">
      <c r="A1870">
        <v>1869</v>
      </c>
      <c r="B1870">
        <v>71</v>
      </c>
      <c r="C1870" t="s">
        <v>13</v>
      </c>
      <c r="D1870" t="s">
        <v>15</v>
      </c>
      <c r="E1870">
        <v>20.54</v>
      </c>
      <c r="F1870">
        <v>8.77</v>
      </c>
      <c r="G1870">
        <v>1.53</v>
      </c>
      <c r="H1870" t="s">
        <v>18</v>
      </c>
      <c r="I1870" t="s">
        <v>24</v>
      </c>
      <c r="J1870" t="s">
        <v>26</v>
      </c>
      <c r="K1870">
        <v>18</v>
      </c>
      <c r="L1870" t="s">
        <v>29</v>
      </c>
    </row>
    <row r="1871" spans="1:12" x14ac:dyDescent="0.25">
      <c r="A1871">
        <v>1870</v>
      </c>
      <c r="B1871">
        <v>51</v>
      </c>
      <c r="C1871" t="s">
        <v>13</v>
      </c>
      <c r="D1871" t="s">
        <v>16</v>
      </c>
      <c r="E1871">
        <v>33.69</v>
      </c>
      <c r="F1871">
        <v>27.5</v>
      </c>
      <c r="G1871">
        <v>12.28</v>
      </c>
      <c r="H1871" t="s">
        <v>21</v>
      </c>
      <c r="I1871" t="s">
        <v>24</v>
      </c>
      <c r="J1871" t="s">
        <v>27</v>
      </c>
      <c r="K1871">
        <v>6</v>
      </c>
      <c r="L1871" t="s">
        <v>29</v>
      </c>
    </row>
    <row r="1872" spans="1:12" x14ac:dyDescent="0.25">
      <c r="A1872">
        <v>1871</v>
      </c>
      <c r="B1872">
        <v>72</v>
      </c>
      <c r="C1872" t="s">
        <v>13</v>
      </c>
      <c r="D1872" t="s">
        <v>14</v>
      </c>
      <c r="E1872">
        <v>9.4700000000000006</v>
      </c>
      <c r="F1872">
        <v>1.99</v>
      </c>
      <c r="G1872">
        <v>4.2</v>
      </c>
      <c r="H1872" t="s">
        <v>20</v>
      </c>
      <c r="I1872" t="s">
        <v>24</v>
      </c>
      <c r="J1872" t="s">
        <v>25</v>
      </c>
      <c r="K1872">
        <v>20</v>
      </c>
      <c r="L1872" t="s">
        <v>29</v>
      </c>
    </row>
    <row r="1873" spans="1:12" x14ac:dyDescent="0.25">
      <c r="A1873">
        <v>1872</v>
      </c>
      <c r="B1873">
        <v>64</v>
      </c>
      <c r="C1873" t="s">
        <v>12</v>
      </c>
      <c r="D1873" t="s">
        <v>15</v>
      </c>
      <c r="E1873">
        <v>22.61</v>
      </c>
      <c r="F1873">
        <v>0.56999999999999995</v>
      </c>
      <c r="G1873">
        <v>10.71</v>
      </c>
      <c r="H1873" t="s">
        <v>19</v>
      </c>
      <c r="I1873" t="s">
        <v>23</v>
      </c>
      <c r="J1873" t="s">
        <v>25</v>
      </c>
      <c r="K1873">
        <v>32</v>
      </c>
      <c r="L1873" t="s">
        <v>29</v>
      </c>
    </row>
    <row r="1874" spans="1:12" x14ac:dyDescent="0.25">
      <c r="A1874">
        <v>1873</v>
      </c>
      <c r="B1874">
        <v>41</v>
      </c>
      <c r="C1874" t="s">
        <v>13</v>
      </c>
      <c r="D1874" t="s">
        <v>14</v>
      </c>
      <c r="E1874">
        <v>26.43</v>
      </c>
      <c r="F1874">
        <v>5.32</v>
      </c>
      <c r="G1874">
        <v>16.170000000000002</v>
      </c>
      <c r="H1874" t="s">
        <v>19</v>
      </c>
      <c r="I1874" t="s">
        <v>23</v>
      </c>
      <c r="J1874" t="s">
        <v>26</v>
      </c>
      <c r="K1874">
        <v>20</v>
      </c>
      <c r="L1874" t="s">
        <v>29</v>
      </c>
    </row>
    <row r="1875" spans="1:12" x14ac:dyDescent="0.25">
      <c r="A1875">
        <v>1874</v>
      </c>
      <c r="B1875">
        <v>71</v>
      </c>
      <c r="C1875" t="s">
        <v>13</v>
      </c>
      <c r="D1875" t="s">
        <v>17</v>
      </c>
      <c r="E1875">
        <v>5.82</v>
      </c>
      <c r="F1875">
        <v>13.39</v>
      </c>
      <c r="G1875">
        <v>9.2100000000000009</v>
      </c>
      <c r="H1875" t="s">
        <v>20</v>
      </c>
      <c r="I1875" t="s">
        <v>22</v>
      </c>
      <c r="J1875" t="s">
        <v>25</v>
      </c>
      <c r="K1875">
        <v>23</v>
      </c>
      <c r="L1875" t="s">
        <v>29</v>
      </c>
    </row>
    <row r="1876" spans="1:12" x14ac:dyDescent="0.25">
      <c r="A1876">
        <v>1875</v>
      </c>
      <c r="B1876">
        <v>39</v>
      </c>
      <c r="C1876" t="s">
        <v>12</v>
      </c>
      <c r="D1876" t="s">
        <v>17</v>
      </c>
      <c r="E1876">
        <v>8.76</v>
      </c>
      <c r="F1876">
        <v>10.85</v>
      </c>
      <c r="G1876">
        <v>21.13</v>
      </c>
      <c r="H1876" t="s">
        <v>19</v>
      </c>
      <c r="I1876" t="s">
        <v>23</v>
      </c>
      <c r="J1876" t="s">
        <v>25</v>
      </c>
      <c r="K1876">
        <v>34</v>
      </c>
      <c r="L1876" t="s">
        <v>29</v>
      </c>
    </row>
    <row r="1877" spans="1:12" x14ac:dyDescent="0.25">
      <c r="A1877">
        <v>1876</v>
      </c>
      <c r="B1877">
        <v>22</v>
      </c>
      <c r="C1877" t="s">
        <v>12</v>
      </c>
      <c r="D1877" t="s">
        <v>17</v>
      </c>
      <c r="E1877">
        <v>14.03</v>
      </c>
      <c r="F1877">
        <v>6.06</v>
      </c>
      <c r="G1877">
        <v>7.76</v>
      </c>
      <c r="H1877" t="s">
        <v>18</v>
      </c>
      <c r="I1877" t="s">
        <v>23</v>
      </c>
      <c r="J1877" t="s">
        <v>25</v>
      </c>
      <c r="K1877">
        <v>7</v>
      </c>
      <c r="L1877" t="s">
        <v>30</v>
      </c>
    </row>
    <row r="1878" spans="1:12" x14ac:dyDescent="0.25">
      <c r="A1878">
        <v>1877</v>
      </c>
      <c r="B1878">
        <v>73</v>
      </c>
      <c r="C1878" t="s">
        <v>13</v>
      </c>
      <c r="D1878" t="s">
        <v>15</v>
      </c>
      <c r="E1878">
        <v>10.09</v>
      </c>
      <c r="F1878">
        <v>13.25</v>
      </c>
      <c r="G1878">
        <v>7.86</v>
      </c>
      <c r="H1878" t="s">
        <v>18</v>
      </c>
      <c r="I1878" t="s">
        <v>23</v>
      </c>
      <c r="J1878" t="s">
        <v>27</v>
      </c>
      <c r="K1878">
        <v>25</v>
      </c>
      <c r="L1878" t="s">
        <v>29</v>
      </c>
    </row>
    <row r="1879" spans="1:12" x14ac:dyDescent="0.25">
      <c r="A1879">
        <v>1878</v>
      </c>
      <c r="B1879">
        <v>50</v>
      </c>
      <c r="C1879" t="s">
        <v>13</v>
      </c>
      <c r="D1879" t="s">
        <v>15</v>
      </c>
      <c r="E1879">
        <v>15.2</v>
      </c>
      <c r="F1879">
        <v>8.14</v>
      </c>
      <c r="G1879">
        <v>22.15</v>
      </c>
      <c r="H1879" t="s">
        <v>18</v>
      </c>
      <c r="I1879" t="s">
        <v>22</v>
      </c>
      <c r="J1879" t="s">
        <v>26</v>
      </c>
      <c r="K1879">
        <v>32</v>
      </c>
      <c r="L1879" t="s">
        <v>29</v>
      </c>
    </row>
    <row r="1880" spans="1:12" x14ac:dyDescent="0.25">
      <c r="A1880">
        <v>1879</v>
      </c>
      <c r="B1880">
        <v>75</v>
      </c>
      <c r="C1880" t="s">
        <v>13</v>
      </c>
      <c r="D1880" t="s">
        <v>16</v>
      </c>
      <c r="E1880">
        <v>5.1100000000000003</v>
      </c>
      <c r="F1880">
        <v>3.35</v>
      </c>
      <c r="G1880">
        <v>18.13</v>
      </c>
      <c r="H1880" t="s">
        <v>19</v>
      </c>
      <c r="I1880" t="s">
        <v>22</v>
      </c>
      <c r="J1880" t="s">
        <v>26</v>
      </c>
      <c r="K1880">
        <v>29</v>
      </c>
      <c r="L1880" t="s">
        <v>29</v>
      </c>
    </row>
    <row r="1881" spans="1:12" x14ac:dyDescent="0.25">
      <c r="A1881">
        <v>1880</v>
      </c>
      <c r="B1881">
        <v>53</v>
      </c>
      <c r="C1881" t="s">
        <v>13</v>
      </c>
      <c r="D1881" t="s">
        <v>15</v>
      </c>
      <c r="E1881">
        <v>48.47</v>
      </c>
      <c r="F1881">
        <v>30.31</v>
      </c>
      <c r="G1881">
        <v>9.18</v>
      </c>
      <c r="H1881" t="s">
        <v>20</v>
      </c>
      <c r="I1881" t="s">
        <v>23</v>
      </c>
      <c r="J1881" t="s">
        <v>27</v>
      </c>
      <c r="K1881">
        <v>17</v>
      </c>
      <c r="L1881" t="s">
        <v>29</v>
      </c>
    </row>
    <row r="1882" spans="1:12" x14ac:dyDescent="0.25">
      <c r="A1882">
        <v>1881</v>
      </c>
      <c r="B1882">
        <v>64</v>
      </c>
      <c r="C1882" t="s">
        <v>12</v>
      </c>
      <c r="D1882" t="s">
        <v>14</v>
      </c>
      <c r="E1882">
        <v>32.17</v>
      </c>
      <c r="F1882">
        <v>0.51</v>
      </c>
      <c r="G1882">
        <v>22.15</v>
      </c>
      <c r="H1882" t="s">
        <v>18</v>
      </c>
      <c r="I1882" t="s">
        <v>23</v>
      </c>
      <c r="J1882" t="s">
        <v>25</v>
      </c>
      <c r="K1882">
        <v>16</v>
      </c>
      <c r="L1882" t="s">
        <v>30</v>
      </c>
    </row>
    <row r="1883" spans="1:12" x14ac:dyDescent="0.25">
      <c r="A1883">
        <v>1882</v>
      </c>
      <c r="B1883">
        <v>37</v>
      </c>
      <c r="C1883" t="s">
        <v>12</v>
      </c>
      <c r="D1883" t="s">
        <v>17</v>
      </c>
      <c r="E1883">
        <v>100.95</v>
      </c>
      <c r="F1883">
        <v>12.05</v>
      </c>
      <c r="G1883">
        <v>10.74</v>
      </c>
      <c r="H1883" t="s">
        <v>20</v>
      </c>
      <c r="I1883" t="s">
        <v>22</v>
      </c>
      <c r="J1883" t="s">
        <v>26</v>
      </c>
      <c r="K1883">
        <v>23</v>
      </c>
      <c r="L1883" t="s">
        <v>29</v>
      </c>
    </row>
    <row r="1884" spans="1:12" x14ac:dyDescent="0.25">
      <c r="A1884">
        <v>1883</v>
      </c>
      <c r="B1884">
        <v>36</v>
      </c>
      <c r="C1884" t="s">
        <v>12</v>
      </c>
      <c r="D1884" t="s">
        <v>15</v>
      </c>
      <c r="E1884">
        <v>6.42</v>
      </c>
      <c r="F1884">
        <v>10.33</v>
      </c>
      <c r="G1884">
        <v>6.5</v>
      </c>
      <c r="H1884" t="s">
        <v>21</v>
      </c>
      <c r="I1884" t="s">
        <v>23</v>
      </c>
      <c r="J1884" t="s">
        <v>26</v>
      </c>
      <c r="K1884">
        <v>28</v>
      </c>
      <c r="L1884" t="s">
        <v>29</v>
      </c>
    </row>
    <row r="1885" spans="1:12" x14ac:dyDescent="0.25">
      <c r="A1885">
        <v>1884</v>
      </c>
      <c r="B1885">
        <v>52</v>
      </c>
      <c r="C1885" t="s">
        <v>13</v>
      </c>
      <c r="D1885" t="s">
        <v>16</v>
      </c>
      <c r="E1885">
        <v>23.19</v>
      </c>
      <c r="F1885">
        <v>10.54</v>
      </c>
      <c r="G1885">
        <v>21.3</v>
      </c>
      <c r="H1885" t="s">
        <v>21</v>
      </c>
      <c r="I1885" t="s">
        <v>24</v>
      </c>
      <c r="J1885" t="s">
        <v>27</v>
      </c>
      <c r="K1885">
        <v>27</v>
      </c>
      <c r="L1885" t="s">
        <v>30</v>
      </c>
    </row>
    <row r="1886" spans="1:12" x14ac:dyDescent="0.25">
      <c r="A1886">
        <v>1885</v>
      </c>
      <c r="B1886">
        <v>69</v>
      </c>
      <c r="C1886" t="s">
        <v>13</v>
      </c>
      <c r="D1886" t="s">
        <v>15</v>
      </c>
      <c r="E1886">
        <v>10.16</v>
      </c>
      <c r="F1886">
        <v>20.69</v>
      </c>
      <c r="G1886">
        <v>4.9000000000000004</v>
      </c>
      <c r="H1886" t="s">
        <v>21</v>
      </c>
      <c r="I1886" t="s">
        <v>23</v>
      </c>
      <c r="J1886" t="s">
        <v>26</v>
      </c>
      <c r="K1886">
        <v>33</v>
      </c>
      <c r="L1886" t="s">
        <v>30</v>
      </c>
    </row>
    <row r="1887" spans="1:12" x14ac:dyDescent="0.25">
      <c r="A1887">
        <v>1886</v>
      </c>
      <c r="B1887">
        <v>60</v>
      </c>
      <c r="C1887" t="s">
        <v>13</v>
      </c>
      <c r="D1887" t="s">
        <v>17</v>
      </c>
      <c r="E1887">
        <v>7.17</v>
      </c>
      <c r="F1887">
        <v>3.87</v>
      </c>
      <c r="G1887">
        <v>2.85</v>
      </c>
      <c r="H1887" t="s">
        <v>19</v>
      </c>
      <c r="I1887" t="s">
        <v>22</v>
      </c>
      <c r="J1887" t="s">
        <v>26</v>
      </c>
      <c r="K1887">
        <v>8</v>
      </c>
      <c r="L1887" t="s">
        <v>29</v>
      </c>
    </row>
    <row r="1888" spans="1:12" x14ac:dyDescent="0.25">
      <c r="A1888">
        <v>1887</v>
      </c>
      <c r="B1888">
        <v>34</v>
      </c>
      <c r="C1888" t="s">
        <v>13</v>
      </c>
      <c r="D1888" t="s">
        <v>16</v>
      </c>
      <c r="E1888">
        <v>31.04</v>
      </c>
      <c r="F1888">
        <v>3.68</v>
      </c>
      <c r="G1888">
        <v>27.33</v>
      </c>
      <c r="H1888" t="s">
        <v>19</v>
      </c>
      <c r="I1888" t="s">
        <v>23</v>
      </c>
      <c r="J1888" t="s">
        <v>26</v>
      </c>
      <c r="K1888">
        <v>6</v>
      </c>
      <c r="L1888" t="s">
        <v>29</v>
      </c>
    </row>
    <row r="1889" spans="1:12" x14ac:dyDescent="0.25">
      <c r="A1889">
        <v>1888</v>
      </c>
      <c r="B1889">
        <v>79</v>
      </c>
      <c r="C1889" t="s">
        <v>12</v>
      </c>
      <c r="D1889" t="s">
        <v>14</v>
      </c>
      <c r="E1889">
        <v>17.989999999999998</v>
      </c>
      <c r="F1889">
        <v>20.73</v>
      </c>
      <c r="G1889">
        <v>4.2</v>
      </c>
      <c r="H1889" t="s">
        <v>18</v>
      </c>
      <c r="I1889" t="s">
        <v>23</v>
      </c>
      <c r="J1889" t="s">
        <v>27</v>
      </c>
      <c r="K1889">
        <v>26</v>
      </c>
      <c r="L1889" t="s">
        <v>29</v>
      </c>
    </row>
    <row r="1890" spans="1:12" x14ac:dyDescent="0.25">
      <c r="A1890">
        <v>1889</v>
      </c>
      <c r="B1890">
        <v>76</v>
      </c>
      <c r="C1890" t="s">
        <v>12</v>
      </c>
      <c r="D1890" t="s">
        <v>16</v>
      </c>
      <c r="E1890">
        <v>13.36</v>
      </c>
      <c r="F1890">
        <v>15.46</v>
      </c>
      <c r="G1890">
        <v>15.09</v>
      </c>
      <c r="H1890" t="s">
        <v>21</v>
      </c>
      <c r="I1890" t="s">
        <v>22</v>
      </c>
      <c r="J1890" t="s">
        <v>27</v>
      </c>
      <c r="K1890">
        <v>33</v>
      </c>
      <c r="L1890" t="s">
        <v>29</v>
      </c>
    </row>
    <row r="1891" spans="1:12" x14ac:dyDescent="0.25">
      <c r="A1891">
        <v>1890</v>
      </c>
      <c r="B1891">
        <v>62</v>
      </c>
      <c r="C1891" t="s">
        <v>13</v>
      </c>
      <c r="D1891" t="s">
        <v>16</v>
      </c>
      <c r="E1891">
        <v>20.94</v>
      </c>
      <c r="F1891">
        <v>26.46</v>
      </c>
      <c r="G1891">
        <v>29.33</v>
      </c>
      <c r="H1891" t="s">
        <v>20</v>
      </c>
      <c r="I1891" t="s">
        <v>22</v>
      </c>
      <c r="J1891" t="s">
        <v>26</v>
      </c>
      <c r="K1891">
        <v>21</v>
      </c>
      <c r="L1891" t="s">
        <v>29</v>
      </c>
    </row>
    <row r="1892" spans="1:12" x14ac:dyDescent="0.25">
      <c r="A1892">
        <v>1891</v>
      </c>
      <c r="B1892">
        <v>60</v>
      </c>
      <c r="C1892" t="s">
        <v>12</v>
      </c>
      <c r="D1892" t="s">
        <v>16</v>
      </c>
      <c r="E1892">
        <v>9.0500000000000007</v>
      </c>
      <c r="F1892">
        <v>8.4600000000000009</v>
      </c>
      <c r="G1892">
        <v>6.02</v>
      </c>
      <c r="H1892" t="s">
        <v>19</v>
      </c>
      <c r="I1892" t="s">
        <v>24</v>
      </c>
      <c r="J1892" t="s">
        <v>25</v>
      </c>
      <c r="K1892">
        <v>13</v>
      </c>
      <c r="L1892" t="s">
        <v>29</v>
      </c>
    </row>
    <row r="1893" spans="1:12" x14ac:dyDescent="0.25">
      <c r="A1893">
        <v>1892</v>
      </c>
      <c r="B1893">
        <v>51</v>
      </c>
      <c r="C1893" t="s">
        <v>13</v>
      </c>
      <c r="D1893" t="s">
        <v>14</v>
      </c>
      <c r="E1893">
        <v>8.82</v>
      </c>
      <c r="F1893">
        <v>8.24</v>
      </c>
      <c r="G1893">
        <v>8.69</v>
      </c>
      <c r="H1893" t="s">
        <v>20</v>
      </c>
      <c r="I1893" t="s">
        <v>22</v>
      </c>
      <c r="J1893" t="s">
        <v>26</v>
      </c>
      <c r="K1893">
        <v>31</v>
      </c>
      <c r="L1893" t="s">
        <v>29</v>
      </c>
    </row>
    <row r="1894" spans="1:12" x14ac:dyDescent="0.25">
      <c r="A1894">
        <v>1893</v>
      </c>
      <c r="B1894">
        <v>26</v>
      </c>
      <c r="C1894" t="s">
        <v>13</v>
      </c>
      <c r="D1894" t="s">
        <v>15</v>
      </c>
      <c r="E1894">
        <v>10.44</v>
      </c>
      <c r="F1894">
        <v>19.23</v>
      </c>
      <c r="G1894">
        <v>14.64</v>
      </c>
      <c r="H1894" t="s">
        <v>20</v>
      </c>
      <c r="I1894" t="s">
        <v>23</v>
      </c>
      <c r="J1894" t="s">
        <v>26</v>
      </c>
      <c r="K1894">
        <v>7</v>
      </c>
      <c r="L1894" t="s">
        <v>29</v>
      </c>
    </row>
    <row r="1895" spans="1:12" x14ac:dyDescent="0.25">
      <c r="A1895">
        <v>1894</v>
      </c>
      <c r="B1895">
        <v>43</v>
      </c>
      <c r="C1895" t="s">
        <v>12</v>
      </c>
      <c r="D1895" t="s">
        <v>15</v>
      </c>
      <c r="E1895">
        <v>34.96</v>
      </c>
      <c r="F1895">
        <v>23.96</v>
      </c>
      <c r="G1895">
        <v>14.15</v>
      </c>
      <c r="H1895" t="s">
        <v>18</v>
      </c>
      <c r="I1895" t="s">
        <v>23</v>
      </c>
      <c r="J1895" t="s">
        <v>27</v>
      </c>
      <c r="K1895">
        <v>20</v>
      </c>
      <c r="L1895" t="s">
        <v>29</v>
      </c>
    </row>
    <row r="1896" spans="1:12" x14ac:dyDescent="0.25">
      <c r="A1896">
        <v>1895</v>
      </c>
      <c r="B1896">
        <v>19</v>
      </c>
      <c r="C1896" t="s">
        <v>13</v>
      </c>
      <c r="D1896" t="s">
        <v>15</v>
      </c>
      <c r="E1896">
        <v>33.21</v>
      </c>
      <c r="F1896">
        <v>3.39</v>
      </c>
      <c r="G1896">
        <v>25.63</v>
      </c>
      <c r="H1896" t="s">
        <v>18</v>
      </c>
      <c r="I1896" t="s">
        <v>23</v>
      </c>
      <c r="J1896" t="s">
        <v>26</v>
      </c>
      <c r="K1896">
        <v>5</v>
      </c>
      <c r="L1896" t="s">
        <v>29</v>
      </c>
    </row>
    <row r="1897" spans="1:12" x14ac:dyDescent="0.25">
      <c r="A1897">
        <v>1896</v>
      </c>
      <c r="B1897">
        <v>70</v>
      </c>
      <c r="C1897" t="s">
        <v>13</v>
      </c>
      <c r="D1897" t="s">
        <v>15</v>
      </c>
      <c r="E1897">
        <v>6.17</v>
      </c>
      <c r="F1897">
        <v>36.6</v>
      </c>
      <c r="G1897">
        <v>3.69</v>
      </c>
      <c r="H1897" t="s">
        <v>20</v>
      </c>
      <c r="I1897" t="s">
        <v>23</v>
      </c>
      <c r="J1897" t="s">
        <v>26</v>
      </c>
      <c r="K1897">
        <v>13</v>
      </c>
      <c r="L1897" t="s">
        <v>29</v>
      </c>
    </row>
    <row r="1898" spans="1:12" x14ac:dyDescent="0.25">
      <c r="A1898">
        <v>1897</v>
      </c>
      <c r="B1898">
        <v>26</v>
      </c>
      <c r="C1898" t="s">
        <v>12</v>
      </c>
      <c r="D1898" t="s">
        <v>16</v>
      </c>
      <c r="E1898">
        <v>47.21</v>
      </c>
      <c r="F1898">
        <v>6.85</v>
      </c>
      <c r="G1898">
        <v>16.59</v>
      </c>
      <c r="H1898" t="s">
        <v>20</v>
      </c>
      <c r="I1898" t="s">
        <v>22</v>
      </c>
      <c r="J1898" t="s">
        <v>25</v>
      </c>
      <c r="K1898">
        <v>23</v>
      </c>
      <c r="L1898" t="s">
        <v>29</v>
      </c>
    </row>
    <row r="1899" spans="1:12" x14ac:dyDescent="0.25">
      <c r="A1899">
        <v>1898</v>
      </c>
      <c r="B1899">
        <v>26</v>
      </c>
      <c r="C1899" t="s">
        <v>13</v>
      </c>
      <c r="D1899" t="s">
        <v>16</v>
      </c>
      <c r="E1899">
        <v>16.96</v>
      </c>
      <c r="F1899">
        <v>11.96</v>
      </c>
      <c r="G1899">
        <v>6.72</v>
      </c>
      <c r="H1899" t="s">
        <v>20</v>
      </c>
      <c r="I1899" t="s">
        <v>24</v>
      </c>
      <c r="J1899" t="s">
        <v>26</v>
      </c>
      <c r="K1899">
        <v>32</v>
      </c>
      <c r="L1899" t="s">
        <v>30</v>
      </c>
    </row>
    <row r="1900" spans="1:12" x14ac:dyDescent="0.25">
      <c r="A1900">
        <v>1899</v>
      </c>
      <c r="B1900">
        <v>57</v>
      </c>
      <c r="C1900" t="s">
        <v>13</v>
      </c>
      <c r="D1900" t="s">
        <v>17</v>
      </c>
      <c r="E1900">
        <v>22.94</v>
      </c>
      <c r="F1900">
        <v>15.28</v>
      </c>
      <c r="G1900">
        <v>20.170000000000002</v>
      </c>
      <c r="H1900" t="s">
        <v>20</v>
      </c>
      <c r="I1900" t="s">
        <v>22</v>
      </c>
      <c r="J1900" t="s">
        <v>26</v>
      </c>
      <c r="K1900">
        <v>21</v>
      </c>
      <c r="L1900" t="s">
        <v>30</v>
      </c>
    </row>
    <row r="1901" spans="1:12" x14ac:dyDescent="0.25">
      <c r="A1901">
        <v>1900</v>
      </c>
      <c r="B1901">
        <v>34</v>
      </c>
      <c r="C1901" t="s">
        <v>12</v>
      </c>
      <c r="D1901" t="s">
        <v>15</v>
      </c>
      <c r="E1901">
        <v>10.19</v>
      </c>
      <c r="F1901">
        <v>21.08</v>
      </c>
      <c r="G1901">
        <v>12.22</v>
      </c>
      <c r="H1901" t="s">
        <v>21</v>
      </c>
      <c r="I1901" t="s">
        <v>22</v>
      </c>
      <c r="J1901" t="s">
        <v>25</v>
      </c>
      <c r="K1901">
        <v>27</v>
      </c>
      <c r="L1901" t="s">
        <v>30</v>
      </c>
    </row>
    <row r="1902" spans="1:12" x14ac:dyDescent="0.25">
      <c r="A1902">
        <v>1901</v>
      </c>
      <c r="B1902">
        <v>18</v>
      </c>
      <c r="C1902" t="s">
        <v>13</v>
      </c>
      <c r="D1902" t="s">
        <v>16</v>
      </c>
      <c r="E1902">
        <v>17.579999999999998</v>
      </c>
      <c r="F1902">
        <v>17.07</v>
      </c>
      <c r="G1902">
        <v>4.33</v>
      </c>
      <c r="H1902" t="s">
        <v>20</v>
      </c>
      <c r="I1902" t="s">
        <v>22</v>
      </c>
      <c r="J1902" t="s">
        <v>25</v>
      </c>
      <c r="K1902">
        <v>14</v>
      </c>
      <c r="L1902" t="s">
        <v>29</v>
      </c>
    </row>
    <row r="1903" spans="1:12" x14ac:dyDescent="0.25">
      <c r="A1903">
        <v>1902</v>
      </c>
      <c r="B1903">
        <v>42</v>
      </c>
      <c r="C1903" t="s">
        <v>12</v>
      </c>
      <c r="D1903" t="s">
        <v>15</v>
      </c>
      <c r="E1903">
        <v>7.13</v>
      </c>
      <c r="F1903">
        <v>10.73</v>
      </c>
      <c r="G1903">
        <v>10.65</v>
      </c>
      <c r="H1903" t="s">
        <v>19</v>
      </c>
      <c r="I1903" t="s">
        <v>24</v>
      </c>
      <c r="J1903" t="s">
        <v>26</v>
      </c>
      <c r="K1903">
        <v>28</v>
      </c>
      <c r="L1903" t="s">
        <v>29</v>
      </c>
    </row>
    <row r="1904" spans="1:12" x14ac:dyDescent="0.25">
      <c r="A1904">
        <v>1903</v>
      </c>
      <c r="B1904">
        <v>78</v>
      </c>
      <c r="C1904" t="s">
        <v>13</v>
      </c>
      <c r="D1904" t="s">
        <v>16</v>
      </c>
      <c r="E1904">
        <v>9.66</v>
      </c>
      <c r="F1904">
        <v>16.95</v>
      </c>
      <c r="G1904">
        <v>2.48</v>
      </c>
      <c r="H1904" t="s">
        <v>18</v>
      </c>
      <c r="I1904" t="s">
        <v>23</v>
      </c>
      <c r="J1904" t="s">
        <v>26</v>
      </c>
      <c r="K1904">
        <v>7</v>
      </c>
      <c r="L1904" t="s">
        <v>29</v>
      </c>
    </row>
    <row r="1905" spans="1:12" x14ac:dyDescent="0.25">
      <c r="A1905">
        <v>1904</v>
      </c>
      <c r="B1905">
        <v>60</v>
      </c>
      <c r="C1905" t="s">
        <v>12</v>
      </c>
      <c r="D1905" t="s">
        <v>17</v>
      </c>
      <c r="E1905">
        <v>29.45</v>
      </c>
      <c r="F1905">
        <v>7.5</v>
      </c>
      <c r="G1905">
        <v>16.03</v>
      </c>
      <c r="H1905" t="s">
        <v>19</v>
      </c>
      <c r="I1905" t="s">
        <v>22</v>
      </c>
      <c r="J1905" t="s">
        <v>25</v>
      </c>
      <c r="K1905">
        <v>21</v>
      </c>
      <c r="L1905" t="s">
        <v>29</v>
      </c>
    </row>
    <row r="1906" spans="1:12" x14ac:dyDescent="0.25">
      <c r="A1906">
        <v>1905</v>
      </c>
      <c r="B1906">
        <v>57</v>
      </c>
      <c r="C1906" t="s">
        <v>12</v>
      </c>
      <c r="D1906" t="s">
        <v>15</v>
      </c>
      <c r="E1906">
        <v>29.88</v>
      </c>
      <c r="F1906">
        <v>6.34</v>
      </c>
      <c r="G1906">
        <v>3.64</v>
      </c>
      <c r="H1906" t="s">
        <v>18</v>
      </c>
      <c r="I1906" t="s">
        <v>24</v>
      </c>
      <c r="J1906" t="s">
        <v>28</v>
      </c>
      <c r="K1906">
        <v>29</v>
      </c>
      <c r="L1906" t="s">
        <v>30</v>
      </c>
    </row>
    <row r="1907" spans="1:12" x14ac:dyDescent="0.25">
      <c r="A1907">
        <v>1906</v>
      </c>
      <c r="B1907">
        <v>59</v>
      </c>
      <c r="C1907" t="s">
        <v>12</v>
      </c>
      <c r="D1907" t="s">
        <v>15</v>
      </c>
      <c r="E1907">
        <v>23.63</v>
      </c>
      <c r="F1907">
        <v>10.46</v>
      </c>
      <c r="G1907">
        <v>11.69</v>
      </c>
      <c r="H1907" t="s">
        <v>18</v>
      </c>
      <c r="I1907" t="s">
        <v>23</v>
      </c>
      <c r="J1907" t="s">
        <v>26</v>
      </c>
      <c r="K1907">
        <v>31</v>
      </c>
      <c r="L1907" t="s">
        <v>29</v>
      </c>
    </row>
    <row r="1908" spans="1:12" x14ac:dyDescent="0.25">
      <c r="A1908">
        <v>1907</v>
      </c>
      <c r="B1908">
        <v>42</v>
      </c>
      <c r="C1908" t="s">
        <v>13</v>
      </c>
      <c r="D1908" t="s">
        <v>15</v>
      </c>
      <c r="E1908">
        <v>12.75</v>
      </c>
      <c r="F1908">
        <v>23.11</v>
      </c>
      <c r="G1908">
        <v>16.39</v>
      </c>
      <c r="H1908" t="s">
        <v>18</v>
      </c>
      <c r="I1908" t="s">
        <v>23</v>
      </c>
      <c r="J1908" t="s">
        <v>28</v>
      </c>
      <c r="K1908">
        <v>14</v>
      </c>
      <c r="L1908" t="s">
        <v>30</v>
      </c>
    </row>
    <row r="1909" spans="1:12" x14ac:dyDescent="0.25">
      <c r="A1909">
        <v>1908</v>
      </c>
      <c r="B1909">
        <v>56</v>
      </c>
      <c r="C1909" t="s">
        <v>12</v>
      </c>
      <c r="D1909" t="s">
        <v>14</v>
      </c>
      <c r="E1909">
        <v>6.08</v>
      </c>
      <c r="F1909">
        <v>15.03</v>
      </c>
      <c r="G1909">
        <v>8.43</v>
      </c>
      <c r="H1909" t="s">
        <v>19</v>
      </c>
      <c r="I1909" t="s">
        <v>24</v>
      </c>
      <c r="J1909" t="s">
        <v>25</v>
      </c>
      <c r="K1909">
        <v>21</v>
      </c>
      <c r="L1909" t="s">
        <v>29</v>
      </c>
    </row>
    <row r="1910" spans="1:12" x14ac:dyDescent="0.25">
      <c r="A1910">
        <v>1909</v>
      </c>
      <c r="B1910">
        <v>52</v>
      </c>
      <c r="C1910" t="s">
        <v>12</v>
      </c>
      <c r="D1910" t="s">
        <v>14</v>
      </c>
      <c r="E1910">
        <v>37.590000000000003</v>
      </c>
      <c r="F1910">
        <v>7</v>
      </c>
      <c r="G1910">
        <v>10.16</v>
      </c>
      <c r="H1910" t="s">
        <v>18</v>
      </c>
      <c r="I1910" t="s">
        <v>22</v>
      </c>
      <c r="J1910" t="s">
        <v>27</v>
      </c>
      <c r="K1910">
        <v>11</v>
      </c>
      <c r="L1910" t="s">
        <v>30</v>
      </c>
    </row>
    <row r="1911" spans="1:12" x14ac:dyDescent="0.25">
      <c r="A1911">
        <v>1910</v>
      </c>
      <c r="B1911">
        <v>20</v>
      </c>
      <c r="C1911" t="s">
        <v>12</v>
      </c>
      <c r="D1911" t="s">
        <v>16</v>
      </c>
      <c r="E1911">
        <v>31.28</v>
      </c>
      <c r="F1911">
        <v>9.48</v>
      </c>
      <c r="G1911">
        <v>17.059999999999999</v>
      </c>
      <c r="H1911" t="s">
        <v>20</v>
      </c>
      <c r="I1911" t="s">
        <v>23</v>
      </c>
      <c r="J1911" t="s">
        <v>26</v>
      </c>
      <c r="K1911">
        <v>20</v>
      </c>
      <c r="L1911" t="s">
        <v>29</v>
      </c>
    </row>
    <row r="1912" spans="1:12" x14ac:dyDescent="0.25">
      <c r="A1912">
        <v>1911</v>
      </c>
      <c r="B1912">
        <v>67</v>
      </c>
      <c r="C1912" t="s">
        <v>12</v>
      </c>
      <c r="D1912" t="s">
        <v>15</v>
      </c>
      <c r="E1912">
        <v>3.45</v>
      </c>
      <c r="F1912">
        <v>19.91</v>
      </c>
      <c r="G1912">
        <v>12.22</v>
      </c>
      <c r="H1912" t="s">
        <v>20</v>
      </c>
      <c r="I1912" t="s">
        <v>22</v>
      </c>
      <c r="J1912" t="s">
        <v>26</v>
      </c>
      <c r="K1912">
        <v>31</v>
      </c>
      <c r="L1912" t="s">
        <v>29</v>
      </c>
    </row>
    <row r="1913" spans="1:12" x14ac:dyDescent="0.25">
      <c r="A1913">
        <v>1912</v>
      </c>
      <c r="B1913">
        <v>54</v>
      </c>
      <c r="C1913" t="s">
        <v>12</v>
      </c>
      <c r="D1913" t="s">
        <v>17</v>
      </c>
      <c r="E1913">
        <v>30.21</v>
      </c>
      <c r="F1913">
        <v>12.4</v>
      </c>
      <c r="G1913">
        <v>7.88</v>
      </c>
      <c r="H1913" t="s">
        <v>21</v>
      </c>
      <c r="I1913" t="s">
        <v>23</v>
      </c>
      <c r="J1913" t="s">
        <v>26</v>
      </c>
      <c r="K1913">
        <v>5</v>
      </c>
      <c r="L1913" t="s">
        <v>29</v>
      </c>
    </row>
    <row r="1914" spans="1:12" x14ac:dyDescent="0.25">
      <c r="A1914">
        <v>1913</v>
      </c>
      <c r="B1914">
        <v>61</v>
      </c>
      <c r="C1914" t="s">
        <v>13</v>
      </c>
      <c r="D1914" t="s">
        <v>16</v>
      </c>
      <c r="E1914">
        <v>13.35</v>
      </c>
      <c r="F1914">
        <v>11.29</v>
      </c>
      <c r="G1914">
        <v>4.78</v>
      </c>
      <c r="H1914" t="s">
        <v>21</v>
      </c>
      <c r="I1914" t="s">
        <v>22</v>
      </c>
      <c r="J1914" t="s">
        <v>26</v>
      </c>
      <c r="K1914">
        <v>25</v>
      </c>
      <c r="L1914" t="s">
        <v>29</v>
      </c>
    </row>
    <row r="1915" spans="1:12" x14ac:dyDescent="0.25">
      <c r="A1915">
        <v>1914</v>
      </c>
      <c r="B1915">
        <v>61</v>
      </c>
      <c r="C1915" t="s">
        <v>13</v>
      </c>
      <c r="D1915" t="s">
        <v>16</v>
      </c>
      <c r="E1915">
        <v>26.99</v>
      </c>
      <c r="F1915">
        <v>11.48</v>
      </c>
      <c r="G1915">
        <v>20.02</v>
      </c>
      <c r="H1915" t="s">
        <v>21</v>
      </c>
      <c r="I1915" t="s">
        <v>23</v>
      </c>
      <c r="J1915" t="s">
        <v>28</v>
      </c>
      <c r="K1915">
        <v>32</v>
      </c>
      <c r="L1915" t="s">
        <v>29</v>
      </c>
    </row>
    <row r="1916" spans="1:12" x14ac:dyDescent="0.25">
      <c r="A1916">
        <v>1915</v>
      </c>
      <c r="B1916">
        <v>68</v>
      </c>
      <c r="C1916" t="s">
        <v>13</v>
      </c>
      <c r="D1916" t="s">
        <v>15</v>
      </c>
      <c r="E1916">
        <v>5.17</v>
      </c>
      <c r="F1916">
        <v>3.57</v>
      </c>
      <c r="G1916">
        <v>9.9700000000000006</v>
      </c>
      <c r="H1916" t="s">
        <v>20</v>
      </c>
      <c r="I1916" t="s">
        <v>23</v>
      </c>
      <c r="J1916" t="s">
        <v>26</v>
      </c>
      <c r="K1916">
        <v>26</v>
      </c>
      <c r="L1916" t="s">
        <v>30</v>
      </c>
    </row>
    <row r="1917" spans="1:12" x14ac:dyDescent="0.25">
      <c r="A1917">
        <v>1916</v>
      </c>
      <c r="B1917">
        <v>47</v>
      </c>
      <c r="C1917" t="s">
        <v>13</v>
      </c>
      <c r="D1917" t="s">
        <v>15</v>
      </c>
      <c r="E1917">
        <v>10.59</v>
      </c>
      <c r="F1917">
        <v>1.64</v>
      </c>
      <c r="G1917">
        <v>5.43</v>
      </c>
      <c r="H1917" t="s">
        <v>19</v>
      </c>
      <c r="I1917" t="s">
        <v>22</v>
      </c>
      <c r="J1917" t="s">
        <v>25</v>
      </c>
      <c r="K1917">
        <v>6</v>
      </c>
      <c r="L1917" t="s">
        <v>29</v>
      </c>
    </row>
    <row r="1918" spans="1:12" x14ac:dyDescent="0.25">
      <c r="A1918">
        <v>1917</v>
      </c>
      <c r="B1918">
        <v>55</v>
      </c>
      <c r="C1918" t="s">
        <v>13</v>
      </c>
      <c r="D1918" t="s">
        <v>16</v>
      </c>
      <c r="E1918">
        <v>18.47</v>
      </c>
      <c r="F1918">
        <v>21.54</v>
      </c>
      <c r="G1918">
        <v>2.5499999999999998</v>
      </c>
      <c r="H1918" t="s">
        <v>21</v>
      </c>
      <c r="I1918" t="s">
        <v>22</v>
      </c>
      <c r="J1918" t="s">
        <v>26</v>
      </c>
      <c r="K1918">
        <v>30</v>
      </c>
      <c r="L1918" t="s">
        <v>29</v>
      </c>
    </row>
    <row r="1919" spans="1:12" x14ac:dyDescent="0.25">
      <c r="A1919">
        <v>1918</v>
      </c>
      <c r="B1919">
        <v>51</v>
      </c>
      <c r="C1919" t="s">
        <v>13</v>
      </c>
      <c r="D1919" t="s">
        <v>17</v>
      </c>
      <c r="E1919">
        <v>48.49</v>
      </c>
      <c r="F1919">
        <v>10.4</v>
      </c>
      <c r="G1919">
        <v>10.119999999999999</v>
      </c>
      <c r="H1919" t="s">
        <v>20</v>
      </c>
      <c r="I1919" t="s">
        <v>24</v>
      </c>
      <c r="J1919" t="s">
        <v>25</v>
      </c>
      <c r="K1919">
        <v>18</v>
      </c>
      <c r="L1919" t="s">
        <v>29</v>
      </c>
    </row>
    <row r="1920" spans="1:12" x14ac:dyDescent="0.25">
      <c r="A1920">
        <v>1919</v>
      </c>
      <c r="B1920">
        <v>29</v>
      </c>
      <c r="C1920" t="s">
        <v>13</v>
      </c>
      <c r="D1920" t="s">
        <v>15</v>
      </c>
      <c r="E1920">
        <v>18.5</v>
      </c>
      <c r="F1920">
        <v>11.72</v>
      </c>
      <c r="G1920">
        <v>8.16</v>
      </c>
      <c r="H1920" t="s">
        <v>18</v>
      </c>
      <c r="I1920" t="s">
        <v>23</v>
      </c>
      <c r="J1920" t="s">
        <v>26</v>
      </c>
      <c r="K1920">
        <v>15</v>
      </c>
      <c r="L1920" t="s">
        <v>30</v>
      </c>
    </row>
    <row r="1921" spans="1:12" x14ac:dyDescent="0.25">
      <c r="A1921">
        <v>1920</v>
      </c>
      <c r="B1921">
        <v>36</v>
      </c>
      <c r="C1921" t="s">
        <v>12</v>
      </c>
      <c r="D1921" t="s">
        <v>15</v>
      </c>
      <c r="E1921">
        <v>34.090000000000003</v>
      </c>
      <c r="F1921">
        <v>7.19</v>
      </c>
      <c r="G1921">
        <v>4.83</v>
      </c>
      <c r="H1921" t="s">
        <v>19</v>
      </c>
      <c r="I1921" t="s">
        <v>24</v>
      </c>
      <c r="J1921" t="s">
        <v>26</v>
      </c>
      <c r="K1921">
        <v>10</v>
      </c>
      <c r="L1921" t="s">
        <v>30</v>
      </c>
    </row>
    <row r="1922" spans="1:12" x14ac:dyDescent="0.25">
      <c r="A1922">
        <v>1921</v>
      </c>
      <c r="B1922">
        <v>54</v>
      </c>
      <c r="C1922" t="s">
        <v>13</v>
      </c>
      <c r="D1922" t="s">
        <v>17</v>
      </c>
      <c r="E1922">
        <v>20.21</v>
      </c>
      <c r="F1922">
        <v>26.76</v>
      </c>
      <c r="G1922">
        <v>12.37</v>
      </c>
      <c r="H1922" t="s">
        <v>19</v>
      </c>
      <c r="I1922" t="s">
        <v>23</v>
      </c>
      <c r="J1922" t="s">
        <v>26</v>
      </c>
      <c r="K1922">
        <v>27</v>
      </c>
      <c r="L1922" t="s">
        <v>29</v>
      </c>
    </row>
    <row r="1923" spans="1:12" x14ac:dyDescent="0.25">
      <c r="A1923">
        <v>1922</v>
      </c>
      <c r="B1923">
        <v>61</v>
      </c>
      <c r="C1923" t="s">
        <v>12</v>
      </c>
      <c r="D1923" t="s">
        <v>14</v>
      </c>
      <c r="E1923">
        <v>19.73</v>
      </c>
      <c r="F1923">
        <v>6.67</v>
      </c>
      <c r="G1923">
        <v>4.88</v>
      </c>
      <c r="H1923" t="s">
        <v>20</v>
      </c>
      <c r="I1923" t="s">
        <v>23</v>
      </c>
      <c r="J1923" t="s">
        <v>25</v>
      </c>
      <c r="K1923">
        <v>4</v>
      </c>
      <c r="L1923" t="s">
        <v>30</v>
      </c>
    </row>
    <row r="1924" spans="1:12" x14ac:dyDescent="0.25">
      <c r="A1924">
        <v>1923</v>
      </c>
      <c r="B1924">
        <v>76</v>
      </c>
      <c r="C1924" t="s">
        <v>12</v>
      </c>
      <c r="D1924" t="s">
        <v>14</v>
      </c>
      <c r="E1924">
        <v>24.46</v>
      </c>
      <c r="F1924">
        <v>8.08</v>
      </c>
      <c r="G1924">
        <v>23.12</v>
      </c>
      <c r="H1924" t="s">
        <v>20</v>
      </c>
      <c r="I1924" t="s">
        <v>24</v>
      </c>
      <c r="J1924" t="s">
        <v>26</v>
      </c>
      <c r="K1924">
        <v>32</v>
      </c>
      <c r="L1924" t="s">
        <v>29</v>
      </c>
    </row>
    <row r="1925" spans="1:12" x14ac:dyDescent="0.25">
      <c r="A1925">
        <v>1924</v>
      </c>
      <c r="B1925">
        <v>76</v>
      </c>
      <c r="C1925" t="s">
        <v>13</v>
      </c>
      <c r="D1925" t="s">
        <v>17</v>
      </c>
      <c r="E1925">
        <v>16.649999999999999</v>
      </c>
      <c r="F1925">
        <v>21.24</v>
      </c>
      <c r="G1925">
        <v>6.68</v>
      </c>
      <c r="H1925" t="s">
        <v>18</v>
      </c>
      <c r="I1925" t="s">
        <v>22</v>
      </c>
      <c r="J1925" t="s">
        <v>26</v>
      </c>
      <c r="K1925">
        <v>5</v>
      </c>
      <c r="L1925" t="s">
        <v>29</v>
      </c>
    </row>
    <row r="1926" spans="1:12" x14ac:dyDescent="0.25">
      <c r="A1926">
        <v>1925</v>
      </c>
      <c r="B1926">
        <v>66</v>
      </c>
      <c r="C1926" t="s">
        <v>12</v>
      </c>
      <c r="D1926" t="s">
        <v>17</v>
      </c>
      <c r="E1926">
        <v>29</v>
      </c>
      <c r="F1926">
        <v>6.86</v>
      </c>
      <c r="G1926">
        <v>2.5099999999999998</v>
      </c>
      <c r="H1926" t="s">
        <v>18</v>
      </c>
      <c r="I1926" t="s">
        <v>23</v>
      </c>
      <c r="J1926" t="s">
        <v>26</v>
      </c>
      <c r="K1926">
        <v>25</v>
      </c>
      <c r="L1926" t="s">
        <v>29</v>
      </c>
    </row>
    <row r="1927" spans="1:12" x14ac:dyDescent="0.25">
      <c r="A1927">
        <v>1926</v>
      </c>
      <c r="B1927">
        <v>78</v>
      </c>
      <c r="C1927" t="s">
        <v>12</v>
      </c>
      <c r="D1927" t="s">
        <v>15</v>
      </c>
      <c r="E1927">
        <v>7.57</v>
      </c>
      <c r="F1927">
        <v>11.85</v>
      </c>
      <c r="G1927">
        <v>10.71</v>
      </c>
      <c r="H1927" t="s">
        <v>18</v>
      </c>
      <c r="I1927" t="s">
        <v>23</v>
      </c>
      <c r="J1927" t="s">
        <v>28</v>
      </c>
      <c r="K1927">
        <v>31</v>
      </c>
      <c r="L1927" t="s">
        <v>29</v>
      </c>
    </row>
    <row r="1928" spans="1:12" x14ac:dyDescent="0.25">
      <c r="A1928">
        <v>1927</v>
      </c>
      <c r="B1928">
        <v>34</v>
      </c>
      <c r="C1928" t="s">
        <v>12</v>
      </c>
      <c r="D1928" t="s">
        <v>17</v>
      </c>
      <c r="E1928">
        <v>16.73</v>
      </c>
      <c r="F1928">
        <v>2.91</v>
      </c>
      <c r="G1928">
        <v>16.88</v>
      </c>
      <c r="H1928" t="s">
        <v>19</v>
      </c>
      <c r="I1928" t="s">
        <v>22</v>
      </c>
      <c r="J1928" t="s">
        <v>25</v>
      </c>
      <c r="K1928">
        <v>32</v>
      </c>
      <c r="L1928" t="s">
        <v>29</v>
      </c>
    </row>
    <row r="1929" spans="1:12" x14ac:dyDescent="0.25">
      <c r="A1929">
        <v>1928</v>
      </c>
      <c r="B1929">
        <v>27</v>
      </c>
      <c r="C1929" t="s">
        <v>12</v>
      </c>
      <c r="D1929" t="s">
        <v>17</v>
      </c>
      <c r="E1929">
        <v>51</v>
      </c>
      <c r="F1929">
        <v>4.71</v>
      </c>
      <c r="G1929">
        <v>3.85</v>
      </c>
      <c r="H1929" t="s">
        <v>19</v>
      </c>
      <c r="I1929" t="s">
        <v>22</v>
      </c>
      <c r="J1929" t="s">
        <v>25</v>
      </c>
      <c r="K1929">
        <v>13</v>
      </c>
      <c r="L1929" t="s">
        <v>29</v>
      </c>
    </row>
    <row r="1930" spans="1:12" x14ac:dyDescent="0.25">
      <c r="A1930">
        <v>1929</v>
      </c>
      <c r="B1930">
        <v>74</v>
      </c>
      <c r="C1930" t="s">
        <v>13</v>
      </c>
      <c r="D1930" t="s">
        <v>16</v>
      </c>
      <c r="E1930">
        <v>34.97</v>
      </c>
      <c r="F1930">
        <v>2.4700000000000002</v>
      </c>
      <c r="G1930">
        <v>14.32</v>
      </c>
      <c r="H1930" t="s">
        <v>21</v>
      </c>
      <c r="I1930" t="s">
        <v>24</v>
      </c>
      <c r="J1930" t="s">
        <v>25</v>
      </c>
      <c r="K1930">
        <v>23</v>
      </c>
      <c r="L1930" t="s">
        <v>30</v>
      </c>
    </row>
    <row r="1931" spans="1:12" x14ac:dyDescent="0.25">
      <c r="A1931">
        <v>1930</v>
      </c>
      <c r="B1931">
        <v>72</v>
      </c>
      <c r="C1931" t="s">
        <v>13</v>
      </c>
      <c r="D1931" t="s">
        <v>17</v>
      </c>
      <c r="E1931">
        <v>21.39</v>
      </c>
      <c r="F1931">
        <v>10.79</v>
      </c>
      <c r="G1931">
        <v>15.62</v>
      </c>
      <c r="H1931" t="s">
        <v>21</v>
      </c>
      <c r="I1931" t="s">
        <v>22</v>
      </c>
      <c r="J1931" t="s">
        <v>26</v>
      </c>
      <c r="K1931">
        <v>29</v>
      </c>
      <c r="L1931" t="s">
        <v>30</v>
      </c>
    </row>
    <row r="1932" spans="1:12" x14ac:dyDescent="0.25">
      <c r="A1932">
        <v>1931</v>
      </c>
      <c r="B1932">
        <v>66</v>
      </c>
      <c r="C1932" t="s">
        <v>13</v>
      </c>
      <c r="D1932" t="s">
        <v>15</v>
      </c>
      <c r="E1932">
        <v>32.020000000000003</v>
      </c>
      <c r="F1932">
        <v>11.33</v>
      </c>
      <c r="G1932">
        <v>10.02</v>
      </c>
      <c r="H1932" t="s">
        <v>21</v>
      </c>
      <c r="I1932" t="s">
        <v>24</v>
      </c>
      <c r="J1932" t="s">
        <v>25</v>
      </c>
      <c r="K1932">
        <v>26</v>
      </c>
      <c r="L1932" t="s">
        <v>29</v>
      </c>
    </row>
    <row r="1933" spans="1:12" x14ac:dyDescent="0.25">
      <c r="A1933">
        <v>1932</v>
      </c>
      <c r="B1933">
        <v>64</v>
      </c>
      <c r="C1933" t="s">
        <v>13</v>
      </c>
      <c r="D1933" t="s">
        <v>15</v>
      </c>
      <c r="E1933">
        <v>42.96</v>
      </c>
      <c r="F1933">
        <v>11.84</v>
      </c>
      <c r="G1933">
        <v>24.99</v>
      </c>
      <c r="H1933" t="s">
        <v>19</v>
      </c>
      <c r="I1933" t="s">
        <v>22</v>
      </c>
      <c r="J1933" t="s">
        <v>26</v>
      </c>
      <c r="K1933">
        <v>33</v>
      </c>
      <c r="L1933" t="s">
        <v>29</v>
      </c>
    </row>
    <row r="1934" spans="1:12" x14ac:dyDescent="0.25">
      <c r="A1934">
        <v>1933</v>
      </c>
      <c r="B1934">
        <v>29</v>
      </c>
      <c r="C1934" t="s">
        <v>13</v>
      </c>
      <c r="D1934" t="s">
        <v>15</v>
      </c>
      <c r="E1934">
        <v>3.01</v>
      </c>
      <c r="F1934">
        <v>8.31</v>
      </c>
      <c r="G1934">
        <v>5.01</v>
      </c>
      <c r="H1934" t="s">
        <v>18</v>
      </c>
      <c r="I1934" t="s">
        <v>24</v>
      </c>
      <c r="J1934" t="s">
        <v>26</v>
      </c>
      <c r="K1934">
        <v>32</v>
      </c>
      <c r="L1934" t="s">
        <v>29</v>
      </c>
    </row>
    <row r="1935" spans="1:12" x14ac:dyDescent="0.25">
      <c r="A1935">
        <v>1934</v>
      </c>
      <c r="B1935">
        <v>79</v>
      </c>
      <c r="C1935" t="s">
        <v>13</v>
      </c>
      <c r="D1935" t="s">
        <v>15</v>
      </c>
      <c r="E1935">
        <v>14.27</v>
      </c>
      <c r="F1935">
        <v>8.67</v>
      </c>
      <c r="G1935">
        <v>4.0199999999999996</v>
      </c>
      <c r="H1935" t="s">
        <v>21</v>
      </c>
      <c r="I1935" t="s">
        <v>23</v>
      </c>
      <c r="J1935" t="s">
        <v>25</v>
      </c>
      <c r="K1935">
        <v>3</v>
      </c>
      <c r="L1935" t="s">
        <v>29</v>
      </c>
    </row>
    <row r="1936" spans="1:12" x14ac:dyDescent="0.25">
      <c r="A1936">
        <v>1935</v>
      </c>
      <c r="B1936">
        <v>33</v>
      </c>
      <c r="C1936" t="s">
        <v>13</v>
      </c>
      <c r="D1936" t="s">
        <v>15</v>
      </c>
      <c r="E1936">
        <v>10.57</v>
      </c>
      <c r="F1936">
        <v>5.85</v>
      </c>
      <c r="G1936">
        <v>6.15</v>
      </c>
      <c r="H1936" t="s">
        <v>18</v>
      </c>
      <c r="I1936" t="s">
        <v>24</v>
      </c>
      <c r="J1936" t="s">
        <v>25</v>
      </c>
      <c r="K1936">
        <v>3</v>
      </c>
      <c r="L1936" t="s">
        <v>29</v>
      </c>
    </row>
    <row r="1937" spans="1:12" x14ac:dyDescent="0.25">
      <c r="A1937">
        <v>1936</v>
      </c>
      <c r="B1937">
        <v>41</v>
      </c>
      <c r="C1937" t="s">
        <v>13</v>
      </c>
      <c r="D1937" t="s">
        <v>14</v>
      </c>
      <c r="E1937">
        <v>5.51</v>
      </c>
      <c r="F1937">
        <v>7.46</v>
      </c>
      <c r="G1937">
        <v>7.33</v>
      </c>
      <c r="H1937" t="s">
        <v>18</v>
      </c>
      <c r="I1937" t="s">
        <v>23</v>
      </c>
      <c r="J1937" t="s">
        <v>26</v>
      </c>
      <c r="K1937">
        <v>10</v>
      </c>
      <c r="L1937" t="s">
        <v>30</v>
      </c>
    </row>
    <row r="1938" spans="1:12" x14ac:dyDescent="0.25">
      <c r="A1938">
        <v>1937</v>
      </c>
      <c r="B1938">
        <v>36</v>
      </c>
      <c r="C1938" t="s">
        <v>13</v>
      </c>
      <c r="D1938" t="s">
        <v>17</v>
      </c>
      <c r="E1938">
        <v>55.46</v>
      </c>
      <c r="F1938">
        <v>3.07</v>
      </c>
      <c r="G1938">
        <v>6.93</v>
      </c>
      <c r="H1938" t="s">
        <v>18</v>
      </c>
      <c r="I1938" t="s">
        <v>24</v>
      </c>
      <c r="J1938" t="s">
        <v>26</v>
      </c>
      <c r="K1938">
        <v>18</v>
      </c>
      <c r="L1938" t="s">
        <v>29</v>
      </c>
    </row>
    <row r="1939" spans="1:12" x14ac:dyDescent="0.25">
      <c r="A1939">
        <v>1938</v>
      </c>
      <c r="B1939">
        <v>25</v>
      </c>
      <c r="C1939" t="s">
        <v>13</v>
      </c>
      <c r="D1939" t="s">
        <v>17</v>
      </c>
      <c r="E1939">
        <v>25.22</v>
      </c>
      <c r="F1939">
        <v>13.23</v>
      </c>
      <c r="G1939">
        <v>4.62</v>
      </c>
      <c r="H1939" t="s">
        <v>21</v>
      </c>
      <c r="I1939" t="s">
        <v>23</v>
      </c>
      <c r="J1939" t="s">
        <v>25</v>
      </c>
      <c r="K1939">
        <v>29</v>
      </c>
      <c r="L1939" t="s">
        <v>29</v>
      </c>
    </row>
    <row r="1940" spans="1:12" x14ac:dyDescent="0.25">
      <c r="A1940">
        <v>1939</v>
      </c>
      <c r="B1940">
        <v>48</v>
      </c>
      <c r="C1940" t="s">
        <v>12</v>
      </c>
      <c r="D1940" t="s">
        <v>14</v>
      </c>
      <c r="E1940">
        <v>31.31</v>
      </c>
      <c r="F1940">
        <v>17.649999999999999</v>
      </c>
      <c r="G1940">
        <v>6.61</v>
      </c>
      <c r="H1940" t="s">
        <v>21</v>
      </c>
      <c r="I1940" t="s">
        <v>22</v>
      </c>
      <c r="J1940" t="s">
        <v>25</v>
      </c>
      <c r="K1940">
        <v>6</v>
      </c>
      <c r="L1940" t="s">
        <v>29</v>
      </c>
    </row>
    <row r="1941" spans="1:12" x14ac:dyDescent="0.25">
      <c r="A1941">
        <v>1940</v>
      </c>
      <c r="B1941">
        <v>38</v>
      </c>
      <c r="C1941" t="s">
        <v>13</v>
      </c>
      <c r="D1941" t="s">
        <v>14</v>
      </c>
      <c r="E1941">
        <v>10.92</v>
      </c>
      <c r="F1941">
        <v>8.9</v>
      </c>
      <c r="G1941">
        <v>9.16</v>
      </c>
      <c r="H1941" t="s">
        <v>18</v>
      </c>
      <c r="I1941" t="s">
        <v>22</v>
      </c>
      <c r="J1941" t="s">
        <v>26</v>
      </c>
      <c r="K1941">
        <v>21</v>
      </c>
      <c r="L1941" t="s">
        <v>30</v>
      </c>
    </row>
    <row r="1942" spans="1:12" x14ac:dyDescent="0.25">
      <c r="A1942">
        <v>1941</v>
      </c>
      <c r="B1942">
        <v>34</v>
      </c>
      <c r="C1942" t="s">
        <v>12</v>
      </c>
      <c r="D1942" t="s">
        <v>17</v>
      </c>
      <c r="E1942">
        <v>14.06</v>
      </c>
      <c r="F1942">
        <v>8.6999999999999993</v>
      </c>
      <c r="G1942">
        <v>14.89</v>
      </c>
      <c r="H1942" t="s">
        <v>21</v>
      </c>
      <c r="I1942" t="s">
        <v>24</v>
      </c>
      <c r="J1942" t="s">
        <v>26</v>
      </c>
      <c r="K1942">
        <v>31</v>
      </c>
      <c r="L1942" t="s">
        <v>29</v>
      </c>
    </row>
    <row r="1943" spans="1:12" x14ac:dyDescent="0.25">
      <c r="A1943">
        <v>1942</v>
      </c>
      <c r="B1943">
        <v>40</v>
      </c>
      <c r="C1943" t="s">
        <v>12</v>
      </c>
      <c r="D1943" t="s">
        <v>14</v>
      </c>
      <c r="E1943">
        <v>17.27</v>
      </c>
      <c r="F1943">
        <v>10.82</v>
      </c>
      <c r="G1943">
        <v>10.92</v>
      </c>
      <c r="H1943" t="s">
        <v>20</v>
      </c>
      <c r="I1943" t="s">
        <v>22</v>
      </c>
      <c r="J1943" t="s">
        <v>27</v>
      </c>
      <c r="K1943">
        <v>5</v>
      </c>
      <c r="L1943" t="s">
        <v>29</v>
      </c>
    </row>
    <row r="1944" spans="1:12" x14ac:dyDescent="0.25">
      <c r="A1944">
        <v>1943</v>
      </c>
      <c r="B1944">
        <v>54</v>
      </c>
      <c r="C1944" t="s">
        <v>12</v>
      </c>
      <c r="D1944" t="s">
        <v>15</v>
      </c>
      <c r="E1944">
        <v>22.47</v>
      </c>
      <c r="F1944">
        <v>26.27</v>
      </c>
      <c r="G1944">
        <v>15.04</v>
      </c>
      <c r="H1944" t="s">
        <v>21</v>
      </c>
      <c r="I1944" t="s">
        <v>23</v>
      </c>
      <c r="J1944" t="s">
        <v>25</v>
      </c>
      <c r="K1944">
        <v>13</v>
      </c>
      <c r="L1944" t="s">
        <v>29</v>
      </c>
    </row>
    <row r="1945" spans="1:12" x14ac:dyDescent="0.25">
      <c r="A1945">
        <v>1944</v>
      </c>
      <c r="B1945">
        <v>71</v>
      </c>
      <c r="C1945" t="s">
        <v>12</v>
      </c>
      <c r="D1945" t="s">
        <v>15</v>
      </c>
      <c r="E1945">
        <v>28.32</v>
      </c>
      <c r="F1945">
        <v>9.5</v>
      </c>
      <c r="G1945">
        <v>5.74</v>
      </c>
      <c r="H1945" t="s">
        <v>18</v>
      </c>
      <c r="I1945" t="s">
        <v>22</v>
      </c>
      <c r="J1945" t="s">
        <v>28</v>
      </c>
      <c r="K1945">
        <v>10</v>
      </c>
      <c r="L1945" t="s">
        <v>29</v>
      </c>
    </row>
    <row r="1946" spans="1:12" x14ac:dyDescent="0.25">
      <c r="A1946">
        <v>1945</v>
      </c>
      <c r="B1946">
        <v>33</v>
      </c>
      <c r="C1946" t="s">
        <v>13</v>
      </c>
      <c r="D1946" t="s">
        <v>17</v>
      </c>
      <c r="E1946">
        <v>27.19</v>
      </c>
      <c r="F1946">
        <v>10.14</v>
      </c>
      <c r="G1946">
        <v>8.86</v>
      </c>
      <c r="H1946" t="s">
        <v>18</v>
      </c>
      <c r="I1946" t="s">
        <v>23</v>
      </c>
      <c r="J1946" t="s">
        <v>26</v>
      </c>
      <c r="K1946">
        <v>35</v>
      </c>
      <c r="L1946" t="s">
        <v>29</v>
      </c>
    </row>
    <row r="1947" spans="1:12" x14ac:dyDescent="0.25">
      <c r="A1947">
        <v>1946</v>
      </c>
      <c r="B1947">
        <v>23</v>
      </c>
      <c r="C1947" t="s">
        <v>12</v>
      </c>
      <c r="D1947" t="s">
        <v>16</v>
      </c>
      <c r="E1947">
        <v>14.72</v>
      </c>
      <c r="F1947">
        <v>45.95</v>
      </c>
      <c r="G1947">
        <v>7.06</v>
      </c>
      <c r="H1947" t="s">
        <v>19</v>
      </c>
      <c r="I1947" t="s">
        <v>23</v>
      </c>
      <c r="J1947" t="s">
        <v>26</v>
      </c>
      <c r="K1947">
        <v>10</v>
      </c>
      <c r="L1947" t="s">
        <v>29</v>
      </c>
    </row>
    <row r="1948" spans="1:12" x14ac:dyDescent="0.25">
      <c r="A1948">
        <v>1947</v>
      </c>
      <c r="B1948">
        <v>25</v>
      </c>
      <c r="C1948" t="s">
        <v>13</v>
      </c>
      <c r="D1948" t="s">
        <v>16</v>
      </c>
      <c r="E1948">
        <v>44</v>
      </c>
      <c r="F1948">
        <v>8.4600000000000009</v>
      </c>
      <c r="G1948">
        <v>3.08</v>
      </c>
      <c r="H1948" t="s">
        <v>19</v>
      </c>
      <c r="I1948" t="s">
        <v>23</v>
      </c>
      <c r="J1948" t="s">
        <v>26</v>
      </c>
      <c r="K1948">
        <v>27</v>
      </c>
      <c r="L1948" t="s">
        <v>29</v>
      </c>
    </row>
    <row r="1949" spans="1:12" x14ac:dyDescent="0.25">
      <c r="A1949">
        <v>1948</v>
      </c>
      <c r="B1949">
        <v>42</v>
      </c>
      <c r="C1949" t="s">
        <v>13</v>
      </c>
      <c r="D1949" t="s">
        <v>15</v>
      </c>
      <c r="E1949">
        <v>38.659999999999997</v>
      </c>
      <c r="F1949">
        <v>12.98</v>
      </c>
      <c r="G1949">
        <v>1.3</v>
      </c>
      <c r="H1949" t="s">
        <v>18</v>
      </c>
      <c r="I1949" t="s">
        <v>23</v>
      </c>
      <c r="J1949" t="s">
        <v>25</v>
      </c>
      <c r="K1949">
        <v>26</v>
      </c>
      <c r="L1949" t="s">
        <v>29</v>
      </c>
    </row>
    <row r="1950" spans="1:12" x14ac:dyDescent="0.25">
      <c r="A1950">
        <v>1949</v>
      </c>
      <c r="B1950">
        <v>35</v>
      </c>
      <c r="C1950" t="s">
        <v>12</v>
      </c>
      <c r="D1950" t="s">
        <v>15</v>
      </c>
      <c r="E1950">
        <v>21</v>
      </c>
      <c r="F1950">
        <v>12.59</v>
      </c>
      <c r="G1950">
        <v>5.47</v>
      </c>
      <c r="H1950" t="s">
        <v>20</v>
      </c>
      <c r="I1950" t="s">
        <v>22</v>
      </c>
      <c r="J1950" t="s">
        <v>26</v>
      </c>
      <c r="K1950">
        <v>28</v>
      </c>
      <c r="L1950" t="s">
        <v>29</v>
      </c>
    </row>
    <row r="1951" spans="1:12" x14ac:dyDescent="0.25">
      <c r="A1951">
        <v>1950</v>
      </c>
      <c r="B1951">
        <v>42</v>
      </c>
      <c r="C1951" t="s">
        <v>13</v>
      </c>
      <c r="D1951" t="s">
        <v>16</v>
      </c>
      <c r="E1951">
        <v>17.72</v>
      </c>
      <c r="F1951">
        <v>7.6</v>
      </c>
      <c r="G1951">
        <v>13.57</v>
      </c>
      <c r="H1951" t="s">
        <v>19</v>
      </c>
      <c r="I1951" t="s">
        <v>24</v>
      </c>
      <c r="J1951" t="s">
        <v>26</v>
      </c>
      <c r="K1951">
        <v>28</v>
      </c>
      <c r="L1951" t="s">
        <v>29</v>
      </c>
    </row>
    <row r="1952" spans="1:12" x14ac:dyDescent="0.25">
      <c r="A1952">
        <v>1951</v>
      </c>
      <c r="B1952">
        <v>29</v>
      </c>
      <c r="C1952" t="s">
        <v>12</v>
      </c>
      <c r="D1952" t="s">
        <v>15</v>
      </c>
      <c r="E1952">
        <v>13.94</v>
      </c>
      <c r="F1952">
        <v>13.61</v>
      </c>
      <c r="G1952">
        <v>10.62</v>
      </c>
      <c r="H1952" t="s">
        <v>18</v>
      </c>
      <c r="I1952" t="s">
        <v>24</v>
      </c>
      <c r="J1952" t="s">
        <v>26</v>
      </c>
      <c r="K1952">
        <v>19</v>
      </c>
      <c r="L1952" t="s">
        <v>29</v>
      </c>
    </row>
    <row r="1953" spans="1:12" x14ac:dyDescent="0.25">
      <c r="A1953">
        <v>1952</v>
      </c>
      <c r="B1953">
        <v>32</v>
      </c>
      <c r="C1953" t="s">
        <v>12</v>
      </c>
      <c r="D1953" t="s">
        <v>17</v>
      </c>
      <c r="E1953">
        <v>22.55</v>
      </c>
      <c r="F1953">
        <v>2.64</v>
      </c>
      <c r="G1953">
        <v>9.48</v>
      </c>
      <c r="H1953" t="s">
        <v>19</v>
      </c>
      <c r="I1953" t="s">
        <v>23</v>
      </c>
      <c r="J1953" t="s">
        <v>25</v>
      </c>
      <c r="K1953">
        <v>29</v>
      </c>
      <c r="L1953" t="s">
        <v>30</v>
      </c>
    </row>
    <row r="1954" spans="1:12" x14ac:dyDescent="0.25">
      <c r="A1954">
        <v>1953</v>
      </c>
      <c r="B1954">
        <v>76</v>
      </c>
      <c r="C1954" t="s">
        <v>13</v>
      </c>
      <c r="D1954" t="s">
        <v>16</v>
      </c>
      <c r="E1954">
        <v>37.4</v>
      </c>
      <c r="F1954">
        <v>8.68</v>
      </c>
      <c r="G1954">
        <v>19.940000000000001</v>
      </c>
      <c r="H1954" t="s">
        <v>19</v>
      </c>
      <c r="I1954" t="s">
        <v>23</v>
      </c>
      <c r="J1954" t="s">
        <v>26</v>
      </c>
      <c r="K1954">
        <v>31</v>
      </c>
      <c r="L1954" t="s">
        <v>29</v>
      </c>
    </row>
    <row r="1955" spans="1:12" x14ac:dyDescent="0.25">
      <c r="A1955">
        <v>1954</v>
      </c>
      <c r="B1955">
        <v>43</v>
      </c>
      <c r="C1955" t="s">
        <v>13</v>
      </c>
      <c r="D1955" t="s">
        <v>16</v>
      </c>
      <c r="E1955">
        <v>17.989999999999998</v>
      </c>
      <c r="F1955">
        <v>4.6100000000000003</v>
      </c>
      <c r="G1955">
        <v>4.83</v>
      </c>
      <c r="H1955" t="s">
        <v>18</v>
      </c>
      <c r="I1955" t="s">
        <v>23</v>
      </c>
      <c r="J1955" t="s">
        <v>25</v>
      </c>
      <c r="K1955">
        <v>11</v>
      </c>
      <c r="L1955" t="s">
        <v>29</v>
      </c>
    </row>
    <row r="1956" spans="1:12" x14ac:dyDescent="0.25">
      <c r="A1956">
        <v>1955</v>
      </c>
      <c r="B1956">
        <v>58</v>
      </c>
      <c r="C1956" t="s">
        <v>12</v>
      </c>
      <c r="D1956" t="s">
        <v>16</v>
      </c>
      <c r="E1956">
        <v>11.57</v>
      </c>
      <c r="F1956">
        <v>13.86</v>
      </c>
      <c r="G1956">
        <v>11.36</v>
      </c>
      <c r="H1956" t="s">
        <v>21</v>
      </c>
      <c r="I1956" t="s">
        <v>23</v>
      </c>
      <c r="J1956" t="s">
        <v>27</v>
      </c>
      <c r="K1956">
        <v>16</v>
      </c>
      <c r="L1956" t="s">
        <v>29</v>
      </c>
    </row>
    <row r="1957" spans="1:12" x14ac:dyDescent="0.25">
      <c r="A1957">
        <v>1956</v>
      </c>
      <c r="B1957">
        <v>62</v>
      </c>
      <c r="C1957" t="s">
        <v>13</v>
      </c>
      <c r="D1957" t="s">
        <v>14</v>
      </c>
      <c r="E1957">
        <v>17.72</v>
      </c>
      <c r="F1957">
        <v>2.2200000000000002</v>
      </c>
      <c r="G1957">
        <v>6.93</v>
      </c>
      <c r="H1957" t="s">
        <v>20</v>
      </c>
      <c r="I1957" t="s">
        <v>23</v>
      </c>
      <c r="J1957" t="s">
        <v>25</v>
      </c>
      <c r="K1957">
        <v>7</v>
      </c>
      <c r="L1957" t="s">
        <v>29</v>
      </c>
    </row>
    <row r="1958" spans="1:12" x14ac:dyDescent="0.25">
      <c r="A1958">
        <v>1957</v>
      </c>
      <c r="B1958">
        <v>43</v>
      </c>
      <c r="C1958" t="s">
        <v>13</v>
      </c>
      <c r="D1958" t="s">
        <v>17</v>
      </c>
      <c r="E1958">
        <v>21.25</v>
      </c>
      <c r="F1958">
        <v>16.02</v>
      </c>
      <c r="G1958">
        <v>11.69</v>
      </c>
      <c r="H1958" t="s">
        <v>21</v>
      </c>
      <c r="I1958" t="s">
        <v>23</v>
      </c>
      <c r="J1958" t="s">
        <v>26</v>
      </c>
      <c r="K1958">
        <v>32</v>
      </c>
      <c r="L1958" t="s">
        <v>29</v>
      </c>
    </row>
    <row r="1959" spans="1:12" x14ac:dyDescent="0.25">
      <c r="A1959">
        <v>1958</v>
      </c>
      <c r="B1959">
        <v>64</v>
      </c>
      <c r="C1959" t="s">
        <v>13</v>
      </c>
      <c r="D1959" t="s">
        <v>16</v>
      </c>
      <c r="E1959">
        <v>7.16</v>
      </c>
      <c r="F1959">
        <v>0.45</v>
      </c>
      <c r="G1959">
        <v>16.41</v>
      </c>
      <c r="H1959" t="s">
        <v>18</v>
      </c>
      <c r="I1959" t="s">
        <v>22</v>
      </c>
      <c r="J1959" t="s">
        <v>28</v>
      </c>
      <c r="K1959">
        <v>30</v>
      </c>
      <c r="L1959" t="s">
        <v>29</v>
      </c>
    </row>
    <row r="1960" spans="1:12" x14ac:dyDescent="0.25">
      <c r="A1960">
        <v>1959</v>
      </c>
      <c r="B1960">
        <v>49</v>
      </c>
      <c r="C1960" t="s">
        <v>12</v>
      </c>
      <c r="D1960" t="s">
        <v>16</v>
      </c>
      <c r="E1960">
        <v>5.72</v>
      </c>
      <c r="F1960">
        <v>13.22</v>
      </c>
      <c r="G1960">
        <v>3.18</v>
      </c>
      <c r="H1960" t="s">
        <v>18</v>
      </c>
      <c r="I1960" t="s">
        <v>22</v>
      </c>
      <c r="J1960" t="s">
        <v>26</v>
      </c>
      <c r="K1960">
        <v>10</v>
      </c>
      <c r="L1960" t="s">
        <v>30</v>
      </c>
    </row>
    <row r="1961" spans="1:12" x14ac:dyDescent="0.25">
      <c r="A1961">
        <v>1960</v>
      </c>
      <c r="B1961">
        <v>27</v>
      </c>
      <c r="C1961" t="s">
        <v>12</v>
      </c>
      <c r="D1961" t="s">
        <v>15</v>
      </c>
      <c r="E1961">
        <v>11.79</v>
      </c>
      <c r="F1961">
        <v>3.95</v>
      </c>
      <c r="G1961">
        <v>14.04</v>
      </c>
      <c r="H1961" t="s">
        <v>20</v>
      </c>
      <c r="I1961" t="s">
        <v>22</v>
      </c>
      <c r="J1961" t="s">
        <v>26</v>
      </c>
      <c r="K1961">
        <v>17</v>
      </c>
      <c r="L1961" t="s">
        <v>29</v>
      </c>
    </row>
    <row r="1962" spans="1:12" x14ac:dyDescent="0.25">
      <c r="A1962">
        <v>1961</v>
      </c>
      <c r="B1962">
        <v>33</v>
      </c>
      <c r="C1962" t="s">
        <v>13</v>
      </c>
      <c r="D1962" t="s">
        <v>15</v>
      </c>
      <c r="E1962">
        <v>43.94</v>
      </c>
      <c r="F1962">
        <v>6.08</v>
      </c>
      <c r="G1962">
        <v>10.92</v>
      </c>
      <c r="H1962" t="s">
        <v>18</v>
      </c>
      <c r="I1962" t="s">
        <v>23</v>
      </c>
      <c r="J1962" t="s">
        <v>28</v>
      </c>
      <c r="K1962">
        <v>30</v>
      </c>
      <c r="L1962" t="s">
        <v>30</v>
      </c>
    </row>
    <row r="1963" spans="1:12" x14ac:dyDescent="0.25">
      <c r="A1963">
        <v>1962</v>
      </c>
      <c r="B1963">
        <v>24</v>
      </c>
      <c r="C1963" t="s">
        <v>13</v>
      </c>
      <c r="D1963" t="s">
        <v>15</v>
      </c>
      <c r="E1963">
        <v>36.11</v>
      </c>
      <c r="F1963">
        <v>8.34</v>
      </c>
      <c r="G1963">
        <v>6.19</v>
      </c>
      <c r="H1963" t="s">
        <v>19</v>
      </c>
      <c r="I1963" t="s">
        <v>22</v>
      </c>
      <c r="J1963" t="s">
        <v>26</v>
      </c>
      <c r="K1963">
        <v>35</v>
      </c>
      <c r="L1963" t="s">
        <v>30</v>
      </c>
    </row>
    <row r="1964" spans="1:12" x14ac:dyDescent="0.25">
      <c r="A1964">
        <v>1963</v>
      </c>
      <c r="B1964">
        <v>34</v>
      </c>
      <c r="C1964" t="s">
        <v>13</v>
      </c>
      <c r="D1964" t="s">
        <v>17</v>
      </c>
      <c r="E1964">
        <v>4.63</v>
      </c>
      <c r="F1964">
        <v>27.56</v>
      </c>
      <c r="G1964">
        <v>1.1599999999999999</v>
      </c>
      <c r="H1964" t="s">
        <v>20</v>
      </c>
      <c r="I1964" t="s">
        <v>24</v>
      </c>
      <c r="J1964" t="s">
        <v>26</v>
      </c>
      <c r="K1964">
        <v>8</v>
      </c>
      <c r="L1964" t="s">
        <v>29</v>
      </c>
    </row>
    <row r="1965" spans="1:12" x14ac:dyDescent="0.25">
      <c r="A1965">
        <v>1964</v>
      </c>
      <c r="B1965">
        <v>40</v>
      </c>
      <c r="C1965" t="s">
        <v>13</v>
      </c>
      <c r="D1965" t="s">
        <v>16</v>
      </c>
      <c r="E1965">
        <v>8.51</v>
      </c>
      <c r="F1965">
        <v>3.9</v>
      </c>
      <c r="G1965">
        <v>9.42</v>
      </c>
      <c r="H1965" t="s">
        <v>21</v>
      </c>
      <c r="I1965" t="s">
        <v>23</v>
      </c>
      <c r="J1965" t="s">
        <v>26</v>
      </c>
      <c r="K1965">
        <v>14</v>
      </c>
      <c r="L1965" t="s">
        <v>29</v>
      </c>
    </row>
    <row r="1966" spans="1:12" x14ac:dyDescent="0.25">
      <c r="A1966">
        <v>1965</v>
      </c>
      <c r="B1966">
        <v>43</v>
      </c>
      <c r="C1966" t="s">
        <v>13</v>
      </c>
      <c r="D1966" t="s">
        <v>14</v>
      </c>
      <c r="E1966">
        <v>28.01</v>
      </c>
      <c r="F1966">
        <v>9.7799999999999994</v>
      </c>
      <c r="G1966">
        <v>36.450000000000003</v>
      </c>
      <c r="H1966" t="s">
        <v>20</v>
      </c>
      <c r="I1966" t="s">
        <v>23</v>
      </c>
      <c r="J1966" t="s">
        <v>26</v>
      </c>
      <c r="K1966">
        <v>9</v>
      </c>
      <c r="L1966" t="s">
        <v>29</v>
      </c>
    </row>
    <row r="1967" spans="1:12" x14ac:dyDescent="0.25">
      <c r="A1967">
        <v>1966</v>
      </c>
      <c r="B1967">
        <v>38</v>
      </c>
      <c r="C1967" t="s">
        <v>12</v>
      </c>
      <c r="D1967" t="s">
        <v>15</v>
      </c>
      <c r="E1967">
        <v>12.9</v>
      </c>
      <c r="F1967">
        <v>22.57</v>
      </c>
      <c r="G1967">
        <v>2.33</v>
      </c>
      <c r="H1967" t="s">
        <v>21</v>
      </c>
      <c r="I1967" t="s">
        <v>23</v>
      </c>
      <c r="J1967" t="s">
        <v>25</v>
      </c>
      <c r="K1967">
        <v>30</v>
      </c>
      <c r="L1967" t="s">
        <v>29</v>
      </c>
    </row>
    <row r="1968" spans="1:12" x14ac:dyDescent="0.25">
      <c r="A1968">
        <v>1967</v>
      </c>
      <c r="B1968">
        <v>39</v>
      </c>
      <c r="C1968" t="s">
        <v>13</v>
      </c>
      <c r="D1968" t="s">
        <v>15</v>
      </c>
      <c r="E1968">
        <v>23.35</v>
      </c>
      <c r="F1968">
        <v>10.130000000000001</v>
      </c>
      <c r="G1968">
        <v>2.98</v>
      </c>
      <c r="H1968" t="s">
        <v>18</v>
      </c>
      <c r="I1968" t="s">
        <v>23</v>
      </c>
      <c r="J1968" t="s">
        <v>26</v>
      </c>
      <c r="K1968">
        <v>9</v>
      </c>
      <c r="L1968" t="s">
        <v>29</v>
      </c>
    </row>
    <row r="1969" spans="1:12" x14ac:dyDescent="0.25">
      <c r="A1969">
        <v>1968</v>
      </c>
      <c r="B1969">
        <v>75</v>
      </c>
      <c r="C1969" t="s">
        <v>12</v>
      </c>
      <c r="D1969" t="s">
        <v>14</v>
      </c>
      <c r="E1969">
        <v>4.88</v>
      </c>
      <c r="F1969">
        <v>14.68</v>
      </c>
      <c r="G1969">
        <v>10.98</v>
      </c>
      <c r="H1969" t="s">
        <v>21</v>
      </c>
      <c r="I1969" t="s">
        <v>22</v>
      </c>
      <c r="J1969" t="s">
        <v>25</v>
      </c>
      <c r="K1969">
        <v>3</v>
      </c>
      <c r="L1969" t="s">
        <v>29</v>
      </c>
    </row>
    <row r="1970" spans="1:12" x14ac:dyDescent="0.25">
      <c r="A1970">
        <v>1969</v>
      </c>
      <c r="B1970">
        <v>24</v>
      </c>
      <c r="C1970" t="s">
        <v>13</v>
      </c>
      <c r="D1970" t="s">
        <v>15</v>
      </c>
      <c r="E1970">
        <v>17.48</v>
      </c>
      <c r="F1970">
        <v>20.47</v>
      </c>
      <c r="G1970">
        <v>2.99</v>
      </c>
      <c r="H1970" t="s">
        <v>21</v>
      </c>
      <c r="I1970" t="s">
        <v>23</v>
      </c>
      <c r="J1970" t="s">
        <v>25</v>
      </c>
      <c r="K1970">
        <v>26</v>
      </c>
      <c r="L1970" t="s">
        <v>29</v>
      </c>
    </row>
    <row r="1971" spans="1:12" x14ac:dyDescent="0.25">
      <c r="A1971">
        <v>1970</v>
      </c>
      <c r="B1971">
        <v>31</v>
      </c>
      <c r="C1971" t="s">
        <v>12</v>
      </c>
      <c r="D1971" t="s">
        <v>17</v>
      </c>
      <c r="E1971">
        <v>16.260000000000002</v>
      </c>
      <c r="F1971">
        <v>5.96</v>
      </c>
      <c r="G1971">
        <v>14.97</v>
      </c>
      <c r="H1971" t="s">
        <v>21</v>
      </c>
      <c r="I1971" t="s">
        <v>22</v>
      </c>
      <c r="J1971" t="s">
        <v>26</v>
      </c>
      <c r="K1971">
        <v>21</v>
      </c>
      <c r="L1971" t="s">
        <v>30</v>
      </c>
    </row>
    <row r="1972" spans="1:12" x14ac:dyDescent="0.25">
      <c r="A1972">
        <v>1971</v>
      </c>
      <c r="B1972">
        <v>32</v>
      </c>
      <c r="C1972" t="s">
        <v>13</v>
      </c>
      <c r="D1972" t="s">
        <v>17</v>
      </c>
      <c r="E1972">
        <v>31.41</v>
      </c>
      <c r="F1972">
        <v>6.58</v>
      </c>
      <c r="G1972">
        <v>10.44</v>
      </c>
      <c r="H1972" t="s">
        <v>20</v>
      </c>
      <c r="I1972" t="s">
        <v>23</v>
      </c>
      <c r="J1972" t="s">
        <v>26</v>
      </c>
      <c r="K1972">
        <v>34</v>
      </c>
      <c r="L1972" t="s">
        <v>29</v>
      </c>
    </row>
    <row r="1973" spans="1:12" x14ac:dyDescent="0.25">
      <c r="A1973">
        <v>1972</v>
      </c>
      <c r="B1973">
        <v>70</v>
      </c>
      <c r="C1973" t="s">
        <v>12</v>
      </c>
      <c r="D1973" t="s">
        <v>17</v>
      </c>
      <c r="E1973">
        <v>22.47</v>
      </c>
      <c r="F1973">
        <v>3.84</v>
      </c>
      <c r="G1973">
        <v>3.98</v>
      </c>
      <c r="H1973" t="s">
        <v>19</v>
      </c>
      <c r="I1973" t="s">
        <v>22</v>
      </c>
      <c r="J1973" t="s">
        <v>26</v>
      </c>
      <c r="K1973">
        <v>32</v>
      </c>
      <c r="L1973" t="s">
        <v>30</v>
      </c>
    </row>
    <row r="1974" spans="1:12" x14ac:dyDescent="0.25">
      <c r="A1974">
        <v>1973</v>
      </c>
      <c r="B1974">
        <v>24</v>
      </c>
      <c r="C1974" t="s">
        <v>13</v>
      </c>
      <c r="D1974" t="s">
        <v>15</v>
      </c>
      <c r="E1974">
        <v>19.07</v>
      </c>
      <c r="F1974">
        <v>22.75</v>
      </c>
      <c r="G1974">
        <v>4.8899999999999997</v>
      </c>
      <c r="H1974" t="s">
        <v>21</v>
      </c>
      <c r="I1974" t="s">
        <v>23</v>
      </c>
      <c r="J1974" t="s">
        <v>27</v>
      </c>
      <c r="K1974">
        <v>3</v>
      </c>
      <c r="L1974" t="s">
        <v>29</v>
      </c>
    </row>
    <row r="1975" spans="1:12" x14ac:dyDescent="0.25">
      <c r="A1975">
        <v>1974</v>
      </c>
      <c r="B1975">
        <v>26</v>
      </c>
      <c r="C1975" t="s">
        <v>12</v>
      </c>
      <c r="D1975" t="s">
        <v>15</v>
      </c>
      <c r="E1975">
        <v>3.92</v>
      </c>
      <c r="F1975">
        <v>30.42</v>
      </c>
      <c r="G1975">
        <v>2.46</v>
      </c>
      <c r="H1975" t="s">
        <v>20</v>
      </c>
      <c r="I1975" t="s">
        <v>22</v>
      </c>
      <c r="J1975" t="s">
        <v>25</v>
      </c>
      <c r="K1975">
        <v>34</v>
      </c>
      <c r="L1975" t="s">
        <v>29</v>
      </c>
    </row>
    <row r="1976" spans="1:12" x14ac:dyDescent="0.25">
      <c r="A1976">
        <v>1975</v>
      </c>
      <c r="B1976">
        <v>68</v>
      </c>
      <c r="C1976" t="s">
        <v>12</v>
      </c>
      <c r="D1976" t="s">
        <v>15</v>
      </c>
      <c r="E1976">
        <v>52</v>
      </c>
      <c r="F1976">
        <v>2.88</v>
      </c>
      <c r="G1976">
        <v>17.47</v>
      </c>
      <c r="H1976" t="s">
        <v>20</v>
      </c>
      <c r="I1976" t="s">
        <v>23</v>
      </c>
      <c r="J1976" t="s">
        <v>27</v>
      </c>
      <c r="K1976">
        <v>22</v>
      </c>
      <c r="L1976" t="s">
        <v>29</v>
      </c>
    </row>
    <row r="1977" spans="1:12" x14ac:dyDescent="0.25">
      <c r="A1977">
        <v>1976</v>
      </c>
      <c r="B1977">
        <v>65</v>
      </c>
      <c r="C1977" t="s">
        <v>12</v>
      </c>
      <c r="D1977" t="s">
        <v>17</v>
      </c>
      <c r="E1977">
        <v>26.75</v>
      </c>
      <c r="F1977">
        <v>12.19</v>
      </c>
      <c r="G1977">
        <v>17.670000000000002</v>
      </c>
      <c r="H1977" t="s">
        <v>19</v>
      </c>
      <c r="I1977" t="s">
        <v>23</v>
      </c>
      <c r="J1977" t="s">
        <v>26</v>
      </c>
      <c r="K1977">
        <v>23</v>
      </c>
      <c r="L1977" t="s">
        <v>29</v>
      </c>
    </row>
    <row r="1978" spans="1:12" x14ac:dyDescent="0.25">
      <c r="A1978">
        <v>1977</v>
      </c>
      <c r="B1978">
        <v>25</v>
      </c>
      <c r="C1978" t="s">
        <v>12</v>
      </c>
      <c r="D1978" t="s">
        <v>17</v>
      </c>
      <c r="E1978">
        <v>10.23</v>
      </c>
      <c r="F1978">
        <v>6.02</v>
      </c>
      <c r="G1978">
        <v>19.62</v>
      </c>
      <c r="H1978" t="s">
        <v>20</v>
      </c>
      <c r="I1978" t="s">
        <v>24</v>
      </c>
      <c r="J1978" t="s">
        <v>26</v>
      </c>
      <c r="K1978">
        <v>21</v>
      </c>
      <c r="L1978" t="s">
        <v>30</v>
      </c>
    </row>
    <row r="1979" spans="1:12" x14ac:dyDescent="0.25">
      <c r="A1979">
        <v>1978</v>
      </c>
      <c r="B1979">
        <v>67</v>
      </c>
      <c r="C1979" t="s">
        <v>12</v>
      </c>
      <c r="D1979" t="s">
        <v>15</v>
      </c>
      <c r="E1979">
        <v>18.75</v>
      </c>
      <c r="F1979">
        <v>6.32</v>
      </c>
      <c r="G1979">
        <v>5.8</v>
      </c>
      <c r="H1979" t="s">
        <v>18</v>
      </c>
      <c r="I1979" t="s">
        <v>22</v>
      </c>
      <c r="J1979" t="s">
        <v>26</v>
      </c>
      <c r="K1979">
        <v>32</v>
      </c>
      <c r="L1979" t="s">
        <v>29</v>
      </c>
    </row>
    <row r="1980" spans="1:12" x14ac:dyDescent="0.25">
      <c r="A1980">
        <v>1979</v>
      </c>
      <c r="B1980">
        <v>76</v>
      </c>
      <c r="C1980" t="s">
        <v>12</v>
      </c>
      <c r="D1980" t="s">
        <v>16</v>
      </c>
      <c r="E1980">
        <v>13.19</v>
      </c>
      <c r="F1980">
        <v>15.27</v>
      </c>
      <c r="G1980">
        <v>4.49</v>
      </c>
      <c r="H1980" t="s">
        <v>18</v>
      </c>
      <c r="I1980" t="s">
        <v>23</v>
      </c>
      <c r="J1980" t="s">
        <v>26</v>
      </c>
      <c r="K1980">
        <v>30</v>
      </c>
      <c r="L1980" t="s">
        <v>29</v>
      </c>
    </row>
    <row r="1981" spans="1:12" x14ac:dyDescent="0.25">
      <c r="A1981">
        <v>1980</v>
      </c>
      <c r="B1981">
        <v>40</v>
      </c>
      <c r="C1981" t="s">
        <v>13</v>
      </c>
      <c r="D1981" t="s">
        <v>14</v>
      </c>
      <c r="E1981">
        <v>15.02</v>
      </c>
      <c r="F1981">
        <v>10.42</v>
      </c>
      <c r="G1981">
        <v>9.64</v>
      </c>
      <c r="H1981" t="s">
        <v>18</v>
      </c>
      <c r="I1981" t="s">
        <v>22</v>
      </c>
      <c r="J1981" t="s">
        <v>26</v>
      </c>
      <c r="K1981">
        <v>34</v>
      </c>
      <c r="L1981" t="s">
        <v>29</v>
      </c>
    </row>
    <row r="1982" spans="1:12" x14ac:dyDescent="0.25">
      <c r="A1982">
        <v>1981</v>
      </c>
      <c r="B1982">
        <v>46</v>
      </c>
      <c r="C1982" t="s">
        <v>12</v>
      </c>
      <c r="D1982" t="s">
        <v>15</v>
      </c>
      <c r="E1982">
        <v>35.76</v>
      </c>
      <c r="F1982">
        <v>14.27</v>
      </c>
      <c r="G1982">
        <v>16.07</v>
      </c>
      <c r="H1982" t="s">
        <v>19</v>
      </c>
      <c r="I1982" t="s">
        <v>22</v>
      </c>
      <c r="J1982" t="s">
        <v>28</v>
      </c>
      <c r="K1982">
        <v>32</v>
      </c>
      <c r="L1982" t="s">
        <v>29</v>
      </c>
    </row>
    <row r="1983" spans="1:12" x14ac:dyDescent="0.25">
      <c r="A1983">
        <v>1982</v>
      </c>
      <c r="B1983">
        <v>35</v>
      </c>
      <c r="C1983" t="s">
        <v>13</v>
      </c>
      <c r="D1983" t="s">
        <v>17</v>
      </c>
      <c r="E1983">
        <v>8.48</v>
      </c>
      <c r="F1983">
        <v>29.86</v>
      </c>
      <c r="G1983">
        <v>4.4000000000000004</v>
      </c>
      <c r="H1983" t="s">
        <v>20</v>
      </c>
      <c r="I1983" t="s">
        <v>22</v>
      </c>
      <c r="J1983" t="s">
        <v>26</v>
      </c>
      <c r="K1983">
        <v>25</v>
      </c>
      <c r="L1983" t="s">
        <v>29</v>
      </c>
    </row>
    <row r="1984" spans="1:12" x14ac:dyDescent="0.25">
      <c r="A1984">
        <v>1983</v>
      </c>
      <c r="B1984">
        <v>48</v>
      </c>
      <c r="C1984" t="s">
        <v>13</v>
      </c>
      <c r="D1984" t="s">
        <v>16</v>
      </c>
      <c r="E1984">
        <v>27.46</v>
      </c>
      <c r="F1984">
        <v>12.64</v>
      </c>
      <c r="G1984">
        <v>3.87</v>
      </c>
      <c r="H1984" t="s">
        <v>18</v>
      </c>
      <c r="I1984" t="s">
        <v>23</v>
      </c>
      <c r="J1984" t="s">
        <v>28</v>
      </c>
      <c r="K1984">
        <v>29</v>
      </c>
      <c r="L1984" t="s">
        <v>29</v>
      </c>
    </row>
    <row r="1985" spans="1:12" x14ac:dyDescent="0.25">
      <c r="A1985">
        <v>1984</v>
      </c>
      <c r="B1985">
        <v>47</v>
      </c>
      <c r="C1985" t="s">
        <v>13</v>
      </c>
      <c r="D1985" t="s">
        <v>15</v>
      </c>
      <c r="E1985">
        <v>36.700000000000003</v>
      </c>
      <c r="F1985">
        <v>15.66</v>
      </c>
      <c r="G1985">
        <v>14.68</v>
      </c>
      <c r="H1985" t="s">
        <v>21</v>
      </c>
      <c r="I1985" t="s">
        <v>24</v>
      </c>
      <c r="J1985" t="s">
        <v>26</v>
      </c>
      <c r="K1985">
        <v>28</v>
      </c>
      <c r="L1985" t="s">
        <v>30</v>
      </c>
    </row>
    <row r="1986" spans="1:12" x14ac:dyDescent="0.25">
      <c r="A1986">
        <v>1985</v>
      </c>
      <c r="B1986">
        <v>69</v>
      </c>
      <c r="C1986" t="s">
        <v>13</v>
      </c>
      <c r="D1986" t="s">
        <v>15</v>
      </c>
      <c r="E1986">
        <v>24.78</v>
      </c>
      <c r="F1986">
        <v>19.95</v>
      </c>
      <c r="G1986">
        <v>3.13</v>
      </c>
      <c r="H1986" t="s">
        <v>20</v>
      </c>
      <c r="I1986" t="s">
        <v>23</v>
      </c>
      <c r="J1986" t="s">
        <v>27</v>
      </c>
      <c r="K1986">
        <v>5</v>
      </c>
      <c r="L1986" t="s">
        <v>30</v>
      </c>
    </row>
    <row r="1987" spans="1:12" x14ac:dyDescent="0.25">
      <c r="A1987">
        <v>1986</v>
      </c>
      <c r="B1987">
        <v>56</v>
      </c>
      <c r="C1987" t="s">
        <v>13</v>
      </c>
      <c r="D1987" t="s">
        <v>16</v>
      </c>
      <c r="E1987">
        <v>15.56</v>
      </c>
      <c r="F1987">
        <v>5.52</v>
      </c>
      <c r="G1987">
        <v>10.98</v>
      </c>
      <c r="H1987" t="s">
        <v>18</v>
      </c>
      <c r="I1987" t="s">
        <v>23</v>
      </c>
      <c r="J1987" t="s">
        <v>26</v>
      </c>
      <c r="K1987">
        <v>33</v>
      </c>
      <c r="L1987" t="s">
        <v>29</v>
      </c>
    </row>
    <row r="1988" spans="1:12" x14ac:dyDescent="0.25">
      <c r="A1988">
        <v>1987</v>
      </c>
      <c r="B1988">
        <v>52</v>
      </c>
      <c r="C1988" t="s">
        <v>12</v>
      </c>
      <c r="D1988" t="s">
        <v>14</v>
      </c>
      <c r="E1988">
        <v>9.68</v>
      </c>
      <c r="F1988">
        <v>16.72</v>
      </c>
      <c r="G1988">
        <v>7.52</v>
      </c>
      <c r="H1988" t="s">
        <v>20</v>
      </c>
      <c r="I1988" t="s">
        <v>23</v>
      </c>
      <c r="J1988" t="s">
        <v>27</v>
      </c>
      <c r="K1988">
        <v>4</v>
      </c>
      <c r="L1988" t="s">
        <v>29</v>
      </c>
    </row>
    <row r="1989" spans="1:12" x14ac:dyDescent="0.25">
      <c r="A1989">
        <v>1988</v>
      </c>
      <c r="B1989">
        <v>35</v>
      </c>
      <c r="C1989" t="s">
        <v>12</v>
      </c>
      <c r="D1989" t="s">
        <v>14</v>
      </c>
      <c r="E1989">
        <v>10.73</v>
      </c>
      <c r="F1989">
        <v>6.19</v>
      </c>
      <c r="G1989">
        <v>5.57</v>
      </c>
      <c r="H1989" t="s">
        <v>18</v>
      </c>
      <c r="I1989" t="s">
        <v>22</v>
      </c>
      <c r="J1989" t="s">
        <v>26</v>
      </c>
      <c r="K1989">
        <v>12</v>
      </c>
      <c r="L1989" t="s">
        <v>29</v>
      </c>
    </row>
    <row r="1990" spans="1:12" x14ac:dyDescent="0.25">
      <c r="A1990">
        <v>1989</v>
      </c>
      <c r="B1990">
        <v>76</v>
      </c>
      <c r="C1990" t="s">
        <v>12</v>
      </c>
      <c r="D1990" t="s">
        <v>17</v>
      </c>
      <c r="E1990">
        <v>19.010000000000002</v>
      </c>
      <c r="F1990">
        <v>3.19</v>
      </c>
      <c r="G1990">
        <v>8.19</v>
      </c>
      <c r="H1990" t="s">
        <v>21</v>
      </c>
      <c r="I1990" t="s">
        <v>24</v>
      </c>
      <c r="J1990" t="s">
        <v>27</v>
      </c>
      <c r="K1990">
        <v>21</v>
      </c>
      <c r="L1990" t="s">
        <v>29</v>
      </c>
    </row>
    <row r="1991" spans="1:12" x14ac:dyDescent="0.25">
      <c r="A1991">
        <v>1990</v>
      </c>
      <c r="B1991">
        <v>59</v>
      </c>
      <c r="C1991" t="s">
        <v>13</v>
      </c>
      <c r="D1991" t="s">
        <v>16</v>
      </c>
      <c r="E1991">
        <v>17.97</v>
      </c>
      <c r="F1991">
        <v>13.45</v>
      </c>
      <c r="G1991">
        <v>7.92</v>
      </c>
      <c r="H1991" t="s">
        <v>20</v>
      </c>
      <c r="I1991" t="s">
        <v>24</v>
      </c>
      <c r="J1991" t="s">
        <v>26</v>
      </c>
      <c r="K1991">
        <v>33</v>
      </c>
      <c r="L1991" t="s">
        <v>29</v>
      </c>
    </row>
    <row r="1992" spans="1:12" x14ac:dyDescent="0.25">
      <c r="A1992">
        <v>1991</v>
      </c>
      <c r="B1992">
        <v>56</v>
      </c>
      <c r="C1992" t="s">
        <v>12</v>
      </c>
      <c r="D1992" t="s">
        <v>17</v>
      </c>
      <c r="E1992">
        <v>29.65</v>
      </c>
      <c r="F1992">
        <v>3.54</v>
      </c>
      <c r="G1992">
        <v>11.79</v>
      </c>
      <c r="H1992" t="s">
        <v>18</v>
      </c>
      <c r="I1992" t="s">
        <v>22</v>
      </c>
      <c r="J1992" t="s">
        <v>26</v>
      </c>
      <c r="K1992">
        <v>31</v>
      </c>
      <c r="L1992" t="s">
        <v>29</v>
      </c>
    </row>
    <row r="1993" spans="1:12" x14ac:dyDescent="0.25">
      <c r="A1993">
        <v>1992</v>
      </c>
      <c r="B1993">
        <v>34</v>
      </c>
      <c r="C1993" t="s">
        <v>12</v>
      </c>
      <c r="D1993" t="s">
        <v>16</v>
      </c>
      <c r="E1993">
        <v>5.2</v>
      </c>
      <c r="F1993">
        <v>10.47</v>
      </c>
      <c r="G1993">
        <v>12.29</v>
      </c>
      <c r="H1993" t="s">
        <v>18</v>
      </c>
      <c r="I1993" t="s">
        <v>24</v>
      </c>
      <c r="J1993" t="s">
        <v>26</v>
      </c>
      <c r="K1993">
        <v>27</v>
      </c>
      <c r="L1993" t="s">
        <v>29</v>
      </c>
    </row>
    <row r="1994" spans="1:12" x14ac:dyDescent="0.25">
      <c r="A1994">
        <v>1993</v>
      </c>
      <c r="B1994">
        <v>31</v>
      </c>
      <c r="C1994" t="s">
        <v>12</v>
      </c>
      <c r="D1994" t="s">
        <v>17</v>
      </c>
      <c r="E1994">
        <v>35.49</v>
      </c>
      <c r="F1994">
        <v>8.7200000000000006</v>
      </c>
      <c r="G1994">
        <v>0.81</v>
      </c>
      <c r="H1994" t="s">
        <v>21</v>
      </c>
      <c r="I1994" t="s">
        <v>22</v>
      </c>
      <c r="J1994" t="s">
        <v>26</v>
      </c>
      <c r="K1994">
        <v>34</v>
      </c>
      <c r="L1994" t="s">
        <v>30</v>
      </c>
    </row>
    <row r="1995" spans="1:12" x14ac:dyDescent="0.25">
      <c r="A1995">
        <v>1994</v>
      </c>
      <c r="B1995">
        <v>48</v>
      </c>
      <c r="C1995" t="s">
        <v>12</v>
      </c>
      <c r="D1995" t="s">
        <v>15</v>
      </c>
      <c r="E1995">
        <v>72.86</v>
      </c>
      <c r="F1995">
        <v>24.88</v>
      </c>
      <c r="G1995">
        <v>20.97</v>
      </c>
      <c r="H1995" t="s">
        <v>21</v>
      </c>
      <c r="I1995" t="s">
        <v>22</v>
      </c>
      <c r="J1995" t="s">
        <v>25</v>
      </c>
      <c r="K1995">
        <v>19</v>
      </c>
      <c r="L1995" t="s">
        <v>29</v>
      </c>
    </row>
    <row r="1996" spans="1:12" x14ac:dyDescent="0.25">
      <c r="A1996">
        <v>1995</v>
      </c>
      <c r="B1996">
        <v>41</v>
      </c>
      <c r="C1996" t="s">
        <v>12</v>
      </c>
      <c r="D1996" t="s">
        <v>16</v>
      </c>
      <c r="E1996">
        <v>16.59</v>
      </c>
      <c r="F1996">
        <v>3.52</v>
      </c>
      <c r="G1996">
        <v>10.52</v>
      </c>
      <c r="H1996" t="s">
        <v>18</v>
      </c>
      <c r="I1996" t="s">
        <v>24</v>
      </c>
      <c r="J1996" t="s">
        <v>28</v>
      </c>
      <c r="K1996">
        <v>25</v>
      </c>
      <c r="L1996" t="s">
        <v>29</v>
      </c>
    </row>
    <row r="1997" spans="1:12" x14ac:dyDescent="0.25">
      <c r="A1997">
        <v>1996</v>
      </c>
      <c r="B1997">
        <v>52</v>
      </c>
      <c r="C1997" t="s">
        <v>13</v>
      </c>
      <c r="D1997" t="s">
        <v>17</v>
      </c>
      <c r="E1997">
        <v>14.87</v>
      </c>
      <c r="F1997">
        <v>12.7</v>
      </c>
      <c r="G1997">
        <v>14.35</v>
      </c>
      <c r="H1997" t="s">
        <v>18</v>
      </c>
      <c r="I1997" t="s">
        <v>23</v>
      </c>
      <c r="J1997" t="s">
        <v>25</v>
      </c>
      <c r="K1997">
        <v>20</v>
      </c>
      <c r="L1997" t="s">
        <v>29</v>
      </c>
    </row>
    <row r="1998" spans="1:12" x14ac:dyDescent="0.25">
      <c r="A1998">
        <v>1997</v>
      </c>
      <c r="B1998">
        <v>61</v>
      </c>
      <c r="C1998" t="s">
        <v>12</v>
      </c>
      <c r="D1998" t="s">
        <v>17</v>
      </c>
      <c r="E1998">
        <v>15.88</v>
      </c>
      <c r="F1998">
        <v>5.04</v>
      </c>
      <c r="G1998">
        <v>13.73</v>
      </c>
      <c r="H1998" t="s">
        <v>19</v>
      </c>
      <c r="I1998" t="s">
        <v>22</v>
      </c>
      <c r="J1998" t="s">
        <v>25</v>
      </c>
      <c r="K1998">
        <v>13</v>
      </c>
      <c r="L1998" t="s">
        <v>29</v>
      </c>
    </row>
    <row r="1999" spans="1:12" x14ac:dyDescent="0.25">
      <c r="A1999">
        <v>1998</v>
      </c>
      <c r="B1999">
        <v>77</v>
      </c>
      <c r="C1999" t="s">
        <v>13</v>
      </c>
      <c r="D1999" t="s">
        <v>14</v>
      </c>
      <c r="E1999">
        <v>18.57</v>
      </c>
      <c r="F1999">
        <v>2.23</v>
      </c>
      <c r="G1999">
        <v>19.96</v>
      </c>
      <c r="H1999" t="s">
        <v>19</v>
      </c>
      <c r="I1999" t="s">
        <v>22</v>
      </c>
      <c r="J1999" t="s">
        <v>26</v>
      </c>
      <c r="K1999">
        <v>22</v>
      </c>
      <c r="L1999" t="s">
        <v>29</v>
      </c>
    </row>
    <row r="2000" spans="1:12" x14ac:dyDescent="0.25">
      <c r="A2000">
        <v>1999</v>
      </c>
      <c r="B2000">
        <v>62</v>
      </c>
      <c r="C2000" t="s">
        <v>13</v>
      </c>
      <c r="D2000" t="s">
        <v>15</v>
      </c>
      <c r="E2000">
        <v>14.06</v>
      </c>
      <c r="F2000">
        <v>1.22</v>
      </c>
      <c r="G2000">
        <v>17.8</v>
      </c>
      <c r="H2000" t="s">
        <v>20</v>
      </c>
      <c r="I2000" t="s">
        <v>24</v>
      </c>
      <c r="J2000" t="s">
        <v>25</v>
      </c>
      <c r="K2000">
        <v>15</v>
      </c>
      <c r="L2000" t="s">
        <v>29</v>
      </c>
    </row>
    <row r="2001" spans="1:12" x14ac:dyDescent="0.25">
      <c r="A2001">
        <v>2000</v>
      </c>
      <c r="B2001">
        <v>51</v>
      </c>
      <c r="C2001" t="s">
        <v>13</v>
      </c>
      <c r="D2001" t="s">
        <v>15</v>
      </c>
      <c r="E2001">
        <v>3.07</v>
      </c>
      <c r="F2001">
        <v>3.65</v>
      </c>
      <c r="G2001">
        <v>17.079999999999998</v>
      </c>
      <c r="H2001" t="s">
        <v>20</v>
      </c>
      <c r="I2001" t="s">
        <v>24</v>
      </c>
      <c r="J2001" t="s">
        <v>26</v>
      </c>
      <c r="K2001">
        <v>26</v>
      </c>
      <c r="L2001" t="s">
        <v>29</v>
      </c>
    </row>
    <row r="2002" spans="1:12" x14ac:dyDescent="0.25">
      <c r="A2002">
        <v>2001</v>
      </c>
      <c r="B2002">
        <v>20</v>
      </c>
      <c r="C2002" t="s">
        <v>13</v>
      </c>
      <c r="D2002" t="s">
        <v>15</v>
      </c>
      <c r="E2002">
        <v>15.63</v>
      </c>
      <c r="F2002">
        <v>3.5</v>
      </c>
      <c r="G2002">
        <v>3.51</v>
      </c>
      <c r="H2002" t="s">
        <v>19</v>
      </c>
      <c r="I2002" t="s">
        <v>24</v>
      </c>
      <c r="J2002" t="s">
        <v>27</v>
      </c>
      <c r="K2002">
        <v>22</v>
      </c>
      <c r="L2002" t="s">
        <v>29</v>
      </c>
    </row>
    <row r="2003" spans="1:12" x14ac:dyDescent="0.25">
      <c r="A2003">
        <v>2002</v>
      </c>
      <c r="B2003">
        <v>54</v>
      </c>
      <c r="C2003" t="s">
        <v>13</v>
      </c>
      <c r="D2003" t="s">
        <v>16</v>
      </c>
      <c r="E2003">
        <v>19.329999999999998</v>
      </c>
      <c r="F2003">
        <v>1.28</v>
      </c>
      <c r="G2003">
        <v>12.96</v>
      </c>
      <c r="H2003" t="s">
        <v>18</v>
      </c>
      <c r="I2003" t="s">
        <v>24</v>
      </c>
      <c r="J2003" t="s">
        <v>26</v>
      </c>
      <c r="K2003">
        <v>30</v>
      </c>
      <c r="L2003" t="s">
        <v>29</v>
      </c>
    </row>
    <row r="2004" spans="1:12" x14ac:dyDescent="0.25">
      <c r="A2004">
        <v>2003</v>
      </c>
      <c r="B2004">
        <v>60</v>
      </c>
      <c r="C2004" t="s">
        <v>12</v>
      </c>
      <c r="D2004" t="s">
        <v>16</v>
      </c>
      <c r="E2004">
        <v>37.869999999999997</v>
      </c>
      <c r="F2004">
        <v>18.3</v>
      </c>
      <c r="G2004">
        <v>1.31</v>
      </c>
      <c r="H2004" t="s">
        <v>21</v>
      </c>
      <c r="I2004" t="s">
        <v>22</v>
      </c>
      <c r="J2004" t="s">
        <v>25</v>
      </c>
      <c r="K2004">
        <v>23</v>
      </c>
      <c r="L2004" t="s">
        <v>29</v>
      </c>
    </row>
    <row r="2005" spans="1:12" x14ac:dyDescent="0.25">
      <c r="A2005">
        <v>2004</v>
      </c>
      <c r="B2005">
        <v>57</v>
      </c>
      <c r="C2005" t="s">
        <v>12</v>
      </c>
      <c r="D2005" t="s">
        <v>15</v>
      </c>
      <c r="E2005">
        <v>8.39</v>
      </c>
      <c r="F2005">
        <v>21.69</v>
      </c>
      <c r="G2005">
        <v>16.55</v>
      </c>
      <c r="H2005" t="s">
        <v>20</v>
      </c>
      <c r="I2005" t="s">
        <v>23</v>
      </c>
      <c r="J2005" t="s">
        <v>26</v>
      </c>
      <c r="K2005">
        <v>8</v>
      </c>
      <c r="L2005" t="s">
        <v>29</v>
      </c>
    </row>
    <row r="2006" spans="1:12" x14ac:dyDescent="0.25">
      <c r="A2006">
        <v>2005</v>
      </c>
      <c r="B2006">
        <v>43</v>
      </c>
      <c r="C2006" t="s">
        <v>12</v>
      </c>
      <c r="D2006" t="s">
        <v>16</v>
      </c>
      <c r="E2006">
        <v>47.26</v>
      </c>
      <c r="F2006">
        <v>5.31</v>
      </c>
      <c r="G2006">
        <v>6.94</v>
      </c>
      <c r="H2006" t="s">
        <v>18</v>
      </c>
      <c r="I2006" t="s">
        <v>23</v>
      </c>
      <c r="J2006" t="s">
        <v>26</v>
      </c>
      <c r="K2006">
        <v>9</v>
      </c>
      <c r="L2006" t="s">
        <v>30</v>
      </c>
    </row>
    <row r="2007" spans="1:12" x14ac:dyDescent="0.25">
      <c r="A2007">
        <v>2006</v>
      </c>
      <c r="B2007">
        <v>72</v>
      </c>
      <c r="C2007" t="s">
        <v>13</v>
      </c>
      <c r="D2007" t="s">
        <v>17</v>
      </c>
      <c r="E2007">
        <v>13.38</v>
      </c>
      <c r="F2007">
        <v>7.01</v>
      </c>
      <c r="G2007">
        <v>9.06</v>
      </c>
      <c r="H2007" t="s">
        <v>21</v>
      </c>
      <c r="I2007" t="s">
        <v>22</v>
      </c>
      <c r="J2007" t="s">
        <v>26</v>
      </c>
      <c r="K2007">
        <v>31</v>
      </c>
      <c r="L2007" t="s">
        <v>29</v>
      </c>
    </row>
    <row r="2008" spans="1:12" x14ac:dyDescent="0.25">
      <c r="A2008">
        <v>2007</v>
      </c>
      <c r="B2008">
        <v>40</v>
      </c>
      <c r="C2008" t="s">
        <v>12</v>
      </c>
      <c r="D2008" t="s">
        <v>16</v>
      </c>
      <c r="E2008">
        <v>9.1999999999999993</v>
      </c>
      <c r="F2008">
        <v>8.24</v>
      </c>
      <c r="G2008">
        <v>11.19</v>
      </c>
      <c r="H2008" t="s">
        <v>21</v>
      </c>
      <c r="I2008" t="s">
        <v>23</v>
      </c>
      <c r="J2008" t="s">
        <v>26</v>
      </c>
      <c r="K2008">
        <v>25</v>
      </c>
      <c r="L2008" t="s">
        <v>30</v>
      </c>
    </row>
    <row r="2009" spans="1:12" x14ac:dyDescent="0.25">
      <c r="A2009">
        <v>2008</v>
      </c>
      <c r="B2009">
        <v>61</v>
      </c>
      <c r="C2009" t="s">
        <v>12</v>
      </c>
      <c r="D2009" t="s">
        <v>17</v>
      </c>
      <c r="E2009">
        <v>26.75</v>
      </c>
      <c r="F2009">
        <v>19.920000000000002</v>
      </c>
      <c r="G2009">
        <v>15.49</v>
      </c>
      <c r="H2009" t="s">
        <v>18</v>
      </c>
      <c r="I2009" t="s">
        <v>22</v>
      </c>
      <c r="J2009" t="s">
        <v>26</v>
      </c>
      <c r="K2009">
        <v>7</v>
      </c>
      <c r="L2009" t="s">
        <v>29</v>
      </c>
    </row>
    <row r="2010" spans="1:12" x14ac:dyDescent="0.25">
      <c r="A2010">
        <v>2009</v>
      </c>
      <c r="B2010">
        <v>56</v>
      </c>
      <c r="C2010" t="s">
        <v>13</v>
      </c>
      <c r="D2010" t="s">
        <v>17</v>
      </c>
      <c r="E2010">
        <v>12.29</v>
      </c>
      <c r="F2010">
        <v>20.2</v>
      </c>
      <c r="G2010">
        <v>21.32</v>
      </c>
      <c r="H2010" t="s">
        <v>18</v>
      </c>
      <c r="I2010" t="s">
        <v>23</v>
      </c>
      <c r="J2010" t="s">
        <v>26</v>
      </c>
      <c r="K2010">
        <v>24</v>
      </c>
      <c r="L2010" t="s">
        <v>29</v>
      </c>
    </row>
    <row r="2011" spans="1:12" x14ac:dyDescent="0.25">
      <c r="A2011">
        <v>2010</v>
      </c>
      <c r="B2011">
        <v>32</v>
      </c>
      <c r="C2011" t="s">
        <v>13</v>
      </c>
      <c r="D2011" t="s">
        <v>14</v>
      </c>
      <c r="E2011">
        <v>16.809999999999999</v>
      </c>
      <c r="F2011">
        <v>12.53</v>
      </c>
      <c r="G2011">
        <v>21.4</v>
      </c>
      <c r="H2011" t="s">
        <v>20</v>
      </c>
      <c r="I2011" t="s">
        <v>24</v>
      </c>
      <c r="J2011" t="s">
        <v>27</v>
      </c>
      <c r="K2011">
        <v>11</v>
      </c>
      <c r="L2011" t="s">
        <v>29</v>
      </c>
    </row>
    <row r="2012" spans="1:12" x14ac:dyDescent="0.25">
      <c r="A2012">
        <v>2011</v>
      </c>
      <c r="B2012">
        <v>73</v>
      </c>
      <c r="C2012" t="s">
        <v>13</v>
      </c>
      <c r="D2012" t="s">
        <v>15</v>
      </c>
      <c r="E2012">
        <v>17.61</v>
      </c>
      <c r="F2012">
        <v>12.23</v>
      </c>
      <c r="G2012">
        <v>2.46</v>
      </c>
      <c r="H2012" t="s">
        <v>19</v>
      </c>
      <c r="I2012" t="s">
        <v>23</v>
      </c>
      <c r="J2012" t="s">
        <v>26</v>
      </c>
      <c r="K2012">
        <v>34</v>
      </c>
      <c r="L2012" t="s">
        <v>30</v>
      </c>
    </row>
    <row r="2013" spans="1:12" x14ac:dyDescent="0.25">
      <c r="A2013">
        <v>2012</v>
      </c>
      <c r="B2013">
        <v>66</v>
      </c>
      <c r="C2013" t="s">
        <v>13</v>
      </c>
      <c r="D2013" t="s">
        <v>15</v>
      </c>
      <c r="E2013">
        <v>25.78</v>
      </c>
      <c r="F2013">
        <v>6.52</v>
      </c>
      <c r="G2013">
        <v>9.41</v>
      </c>
      <c r="H2013" t="s">
        <v>18</v>
      </c>
      <c r="I2013" t="s">
        <v>24</v>
      </c>
      <c r="J2013" t="s">
        <v>27</v>
      </c>
      <c r="K2013">
        <v>12</v>
      </c>
      <c r="L2013" t="s">
        <v>29</v>
      </c>
    </row>
    <row r="2014" spans="1:12" x14ac:dyDescent="0.25">
      <c r="A2014">
        <v>2013</v>
      </c>
      <c r="B2014">
        <v>21</v>
      </c>
      <c r="C2014" t="s">
        <v>12</v>
      </c>
      <c r="D2014" t="s">
        <v>17</v>
      </c>
      <c r="E2014">
        <v>16.47</v>
      </c>
      <c r="F2014">
        <v>1.24</v>
      </c>
      <c r="G2014">
        <v>3.09</v>
      </c>
      <c r="H2014" t="s">
        <v>19</v>
      </c>
      <c r="I2014" t="s">
        <v>24</v>
      </c>
      <c r="J2014" t="s">
        <v>26</v>
      </c>
      <c r="K2014">
        <v>30</v>
      </c>
      <c r="L2014" t="s">
        <v>29</v>
      </c>
    </row>
    <row r="2015" spans="1:12" x14ac:dyDescent="0.25">
      <c r="A2015">
        <v>2014</v>
      </c>
      <c r="B2015">
        <v>46</v>
      </c>
      <c r="C2015" t="s">
        <v>13</v>
      </c>
      <c r="D2015" t="s">
        <v>14</v>
      </c>
      <c r="E2015">
        <v>15.25</v>
      </c>
      <c r="F2015">
        <v>7.99</v>
      </c>
      <c r="G2015">
        <v>4.88</v>
      </c>
      <c r="H2015" t="s">
        <v>20</v>
      </c>
      <c r="I2015" t="s">
        <v>22</v>
      </c>
      <c r="J2015" t="s">
        <v>26</v>
      </c>
      <c r="K2015">
        <v>13</v>
      </c>
      <c r="L2015" t="s">
        <v>30</v>
      </c>
    </row>
    <row r="2016" spans="1:12" x14ac:dyDescent="0.25">
      <c r="A2016">
        <v>2015</v>
      </c>
      <c r="B2016">
        <v>39</v>
      </c>
      <c r="C2016" t="s">
        <v>13</v>
      </c>
      <c r="D2016" t="s">
        <v>17</v>
      </c>
      <c r="E2016">
        <v>13.13</v>
      </c>
      <c r="F2016">
        <v>22.63</v>
      </c>
      <c r="G2016">
        <v>21.88</v>
      </c>
      <c r="H2016" t="s">
        <v>19</v>
      </c>
      <c r="I2016" t="s">
        <v>23</v>
      </c>
      <c r="J2016" t="s">
        <v>25</v>
      </c>
      <c r="K2016">
        <v>9</v>
      </c>
      <c r="L2016" t="s">
        <v>29</v>
      </c>
    </row>
    <row r="2017" spans="1:12" x14ac:dyDescent="0.25">
      <c r="A2017">
        <v>2016</v>
      </c>
      <c r="B2017">
        <v>42</v>
      </c>
      <c r="C2017" t="s">
        <v>12</v>
      </c>
      <c r="D2017" t="s">
        <v>15</v>
      </c>
      <c r="E2017">
        <v>24.15</v>
      </c>
      <c r="F2017">
        <v>5.75</v>
      </c>
      <c r="G2017">
        <v>26.05</v>
      </c>
      <c r="H2017" t="s">
        <v>19</v>
      </c>
      <c r="I2017" t="s">
        <v>22</v>
      </c>
      <c r="J2017" t="s">
        <v>26</v>
      </c>
      <c r="K2017">
        <v>32</v>
      </c>
      <c r="L2017" t="s">
        <v>29</v>
      </c>
    </row>
    <row r="2018" spans="1:12" x14ac:dyDescent="0.25">
      <c r="A2018">
        <v>2017</v>
      </c>
      <c r="B2018">
        <v>30</v>
      </c>
      <c r="C2018" t="s">
        <v>12</v>
      </c>
      <c r="D2018" t="s">
        <v>15</v>
      </c>
      <c r="E2018">
        <v>11.83</v>
      </c>
      <c r="F2018">
        <v>7.41</v>
      </c>
      <c r="G2018">
        <v>12.93</v>
      </c>
      <c r="H2018" t="s">
        <v>21</v>
      </c>
      <c r="I2018" t="s">
        <v>22</v>
      </c>
      <c r="J2018" t="s">
        <v>26</v>
      </c>
      <c r="K2018">
        <v>30</v>
      </c>
      <c r="L2018" t="s">
        <v>29</v>
      </c>
    </row>
    <row r="2019" spans="1:12" x14ac:dyDescent="0.25">
      <c r="A2019">
        <v>2018</v>
      </c>
      <c r="B2019">
        <v>35</v>
      </c>
      <c r="C2019" t="s">
        <v>13</v>
      </c>
      <c r="D2019" t="s">
        <v>17</v>
      </c>
      <c r="E2019">
        <v>38.65</v>
      </c>
      <c r="F2019">
        <v>17.190000000000001</v>
      </c>
      <c r="G2019">
        <v>10.83</v>
      </c>
      <c r="H2019" t="s">
        <v>20</v>
      </c>
      <c r="I2019" t="s">
        <v>23</v>
      </c>
      <c r="J2019" t="s">
        <v>25</v>
      </c>
      <c r="K2019">
        <v>34</v>
      </c>
      <c r="L2019" t="s">
        <v>30</v>
      </c>
    </row>
    <row r="2020" spans="1:12" x14ac:dyDescent="0.25">
      <c r="A2020">
        <v>2019</v>
      </c>
      <c r="B2020">
        <v>50</v>
      </c>
      <c r="C2020" t="s">
        <v>12</v>
      </c>
      <c r="D2020" t="s">
        <v>15</v>
      </c>
      <c r="E2020">
        <v>17.739999999999998</v>
      </c>
      <c r="F2020">
        <v>7.16</v>
      </c>
      <c r="G2020">
        <v>13.06</v>
      </c>
      <c r="H2020" t="s">
        <v>18</v>
      </c>
      <c r="I2020" t="s">
        <v>23</v>
      </c>
      <c r="J2020" t="s">
        <v>26</v>
      </c>
      <c r="K2020">
        <v>18</v>
      </c>
      <c r="L2020" t="s">
        <v>29</v>
      </c>
    </row>
    <row r="2021" spans="1:12" x14ac:dyDescent="0.25">
      <c r="A2021">
        <v>2020</v>
      </c>
      <c r="B2021">
        <v>33</v>
      </c>
      <c r="C2021" t="s">
        <v>13</v>
      </c>
      <c r="D2021" t="s">
        <v>16</v>
      </c>
      <c r="E2021">
        <v>4.12</v>
      </c>
      <c r="F2021">
        <v>8.23</v>
      </c>
      <c r="G2021">
        <v>20.69</v>
      </c>
      <c r="H2021" t="s">
        <v>19</v>
      </c>
      <c r="I2021" t="s">
        <v>23</v>
      </c>
      <c r="J2021" t="s">
        <v>25</v>
      </c>
      <c r="K2021">
        <v>3</v>
      </c>
      <c r="L2021" t="s">
        <v>30</v>
      </c>
    </row>
    <row r="2022" spans="1:12" x14ac:dyDescent="0.25">
      <c r="A2022">
        <v>2021</v>
      </c>
      <c r="B2022">
        <v>62</v>
      </c>
      <c r="C2022" t="s">
        <v>13</v>
      </c>
      <c r="D2022" t="s">
        <v>14</v>
      </c>
      <c r="E2022">
        <v>21.24</v>
      </c>
      <c r="F2022">
        <v>17.46</v>
      </c>
      <c r="G2022">
        <v>12.9</v>
      </c>
      <c r="H2022" t="s">
        <v>20</v>
      </c>
      <c r="I2022" t="s">
        <v>23</v>
      </c>
      <c r="J2022" t="s">
        <v>26</v>
      </c>
      <c r="K2022">
        <v>25</v>
      </c>
      <c r="L2022" t="s">
        <v>30</v>
      </c>
    </row>
    <row r="2023" spans="1:12" x14ac:dyDescent="0.25">
      <c r="A2023">
        <v>2022</v>
      </c>
      <c r="B2023">
        <v>59</v>
      </c>
      <c r="C2023" t="s">
        <v>12</v>
      </c>
      <c r="D2023" t="s">
        <v>17</v>
      </c>
      <c r="E2023">
        <v>23.56</v>
      </c>
      <c r="F2023">
        <v>1.22</v>
      </c>
      <c r="G2023">
        <v>3.43</v>
      </c>
      <c r="H2023" t="s">
        <v>21</v>
      </c>
      <c r="I2023" t="s">
        <v>23</v>
      </c>
      <c r="J2023" t="s">
        <v>26</v>
      </c>
      <c r="K2023">
        <v>22</v>
      </c>
      <c r="L2023" t="s">
        <v>30</v>
      </c>
    </row>
    <row r="2024" spans="1:12" x14ac:dyDescent="0.25">
      <c r="A2024">
        <v>2023</v>
      </c>
      <c r="B2024">
        <v>61</v>
      </c>
      <c r="C2024" t="s">
        <v>12</v>
      </c>
      <c r="D2024" t="s">
        <v>17</v>
      </c>
      <c r="E2024">
        <v>38.92</v>
      </c>
      <c r="F2024">
        <v>3.42</v>
      </c>
      <c r="G2024">
        <v>8.5299999999999994</v>
      </c>
      <c r="H2024" t="s">
        <v>21</v>
      </c>
      <c r="I2024" t="s">
        <v>23</v>
      </c>
      <c r="J2024" t="s">
        <v>27</v>
      </c>
      <c r="K2024">
        <v>20</v>
      </c>
      <c r="L2024" t="s">
        <v>29</v>
      </c>
    </row>
    <row r="2025" spans="1:12" x14ac:dyDescent="0.25">
      <c r="A2025">
        <v>2024</v>
      </c>
      <c r="B2025">
        <v>79</v>
      </c>
      <c r="C2025" t="s">
        <v>13</v>
      </c>
      <c r="D2025" t="s">
        <v>17</v>
      </c>
      <c r="E2025">
        <v>10.02</v>
      </c>
      <c r="F2025">
        <v>32.380000000000003</v>
      </c>
      <c r="G2025">
        <v>7.71</v>
      </c>
      <c r="H2025" t="s">
        <v>19</v>
      </c>
      <c r="I2025" t="s">
        <v>22</v>
      </c>
      <c r="J2025" t="s">
        <v>25</v>
      </c>
      <c r="K2025">
        <v>20</v>
      </c>
      <c r="L2025" t="s">
        <v>29</v>
      </c>
    </row>
    <row r="2026" spans="1:12" x14ac:dyDescent="0.25">
      <c r="A2026">
        <v>2025</v>
      </c>
      <c r="B2026">
        <v>19</v>
      </c>
      <c r="C2026" t="s">
        <v>13</v>
      </c>
      <c r="D2026" t="s">
        <v>15</v>
      </c>
      <c r="E2026">
        <v>8.92</v>
      </c>
      <c r="F2026">
        <v>17.37</v>
      </c>
      <c r="G2026">
        <v>4.12</v>
      </c>
      <c r="H2026" t="s">
        <v>19</v>
      </c>
      <c r="I2026" t="s">
        <v>24</v>
      </c>
      <c r="J2026" t="s">
        <v>26</v>
      </c>
      <c r="K2026">
        <v>23</v>
      </c>
      <c r="L2026" t="s">
        <v>29</v>
      </c>
    </row>
    <row r="2027" spans="1:12" x14ac:dyDescent="0.25">
      <c r="A2027">
        <v>2026</v>
      </c>
      <c r="B2027">
        <v>72</v>
      </c>
      <c r="C2027" t="s">
        <v>13</v>
      </c>
      <c r="D2027" t="s">
        <v>14</v>
      </c>
      <c r="E2027">
        <v>26.33</v>
      </c>
      <c r="F2027">
        <v>19</v>
      </c>
      <c r="G2027">
        <v>15.56</v>
      </c>
      <c r="H2027" t="s">
        <v>18</v>
      </c>
      <c r="I2027" t="s">
        <v>22</v>
      </c>
      <c r="J2027" t="s">
        <v>27</v>
      </c>
      <c r="K2027">
        <v>10</v>
      </c>
      <c r="L2027" t="s">
        <v>29</v>
      </c>
    </row>
    <row r="2028" spans="1:12" x14ac:dyDescent="0.25">
      <c r="A2028">
        <v>2027</v>
      </c>
      <c r="B2028">
        <v>52</v>
      </c>
      <c r="C2028" t="s">
        <v>12</v>
      </c>
      <c r="D2028" t="s">
        <v>17</v>
      </c>
      <c r="E2028">
        <v>35.04</v>
      </c>
      <c r="F2028">
        <v>12.3</v>
      </c>
      <c r="G2028">
        <v>20.54</v>
      </c>
      <c r="H2028" t="s">
        <v>20</v>
      </c>
      <c r="I2028" t="s">
        <v>24</v>
      </c>
      <c r="J2028" t="s">
        <v>27</v>
      </c>
      <c r="K2028">
        <v>13</v>
      </c>
      <c r="L2028" t="s">
        <v>29</v>
      </c>
    </row>
    <row r="2029" spans="1:12" x14ac:dyDescent="0.25">
      <c r="A2029">
        <v>2028</v>
      </c>
      <c r="B2029">
        <v>59</v>
      </c>
      <c r="C2029" t="s">
        <v>13</v>
      </c>
      <c r="D2029" t="s">
        <v>17</v>
      </c>
      <c r="E2029">
        <v>9.7100000000000009</v>
      </c>
      <c r="F2029">
        <v>13.45</v>
      </c>
      <c r="G2029">
        <v>6.09</v>
      </c>
      <c r="H2029" t="s">
        <v>18</v>
      </c>
      <c r="I2029" t="s">
        <v>22</v>
      </c>
      <c r="J2029" t="s">
        <v>26</v>
      </c>
      <c r="K2029">
        <v>12</v>
      </c>
      <c r="L2029" t="s">
        <v>29</v>
      </c>
    </row>
    <row r="2030" spans="1:12" x14ac:dyDescent="0.25">
      <c r="A2030">
        <v>2029</v>
      </c>
      <c r="B2030">
        <v>51</v>
      </c>
      <c r="C2030" t="s">
        <v>13</v>
      </c>
      <c r="D2030" t="s">
        <v>16</v>
      </c>
      <c r="E2030">
        <v>20.74</v>
      </c>
      <c r="F2030">
        <v>5.92</v>
      </c>
      <c r="G2030">
        <v>2.67</v>
      </c>
      <c r="H2030" t="s">
        <v>18</v>
      </c>
      <c r="I2030" t="s">
        <v>22</v>
      </c>
      <c r="J2030" t="s">
        <v>26</v>
      </c>
      <c r="K2030">
        <v>10</v>
      </c>
      <c r="L2030" t="s">
        <v>29</v>
      </c>
    </row>
    <row r="2031" spans="1:12" x14ac:dyDescent="0.25">
      <c r="A2031">
        <v>2030</v>
      </c>
      <c r="B2031">
        <v>47</v>
      </c>
      <c r="C2031" t="s">
        <v>13</v>
      </c>
      <c r="D2031" t="s">
        <v>17</v>
      </c>
      <c r="E2031">
        <v>16.670000000000002</v>
      </c>
      <c r="F2031">
        <v>7.95</v>
      </c>
      <c r="G2031">
        <v>5.9</v>
      </c>
      <c r="H2031" t="s">
        <v>21</v>
      </c>
      <c r="I2031" t="s">
        <v>23</v>
      </c>
      <c r="J2031" t="s">
        <v>27</v>
      </c>
      <c r="K2031">
        <v>10</v>
      </c>
      <c r="L2031" t="s">
        <v>30</v>
      </c>
    </row>
    <row r="2032" spans="1:12" x14ac:dyDescent="0.25">
      <c r="A2032">
        <v>2031</v>
      </c>
      <c r="B2032">
        <v>76</v>
      </c>
      <c r="C2032" t="s">
        <v>13</v>
      </c>
      <c r="D2032" t="s">
        <v>16</v>
      </c>
      <c r="E2032">
        <v>9.98</v>
      </c>
      <c r="F2032">
        <v>19.399999999999999</v>
      </c>
      <c r="G2032">
        <v>9.8699999999999992</v>
      </c>
      <c r="H2032" t="s">
        <v>20</v>
      </c>
      <c r="I2032" t="s">
        <v>23</v>
      </c>
      <c r="J2032" t="s">
        <v>26</v>
      </c>
      <c r="K2032">
        <v>21</v>
      </c>
      <c r="L2032" t="s">
        <v>29</v>
      </c>
    </row>
    <row r="2033" spans="1:12" x14ac:dyDescent="0.25">
      <c r="A2033">
        <v>2032</v>
      </c>
      <c r="B2033">
        <v>72</v>
      </c>
      <c r="C2033" t="s">
        <v>13</v>
      </c>
      <c r="D2033" t="s">
        <v>15</v>
      </c>
      <c r="E2033">
        <v>16</v>
      </c>
      <c r="F2033">
        <v>6.75</v>
      </c>
      <c r="G2033">
        <v>9.98</v>
      </c>
      <c r="H2033" t="s">
        <v>18</v>
      </c>
      <c r="I2033" t="s">
        <v>24</v>
      </c>
      <c r="J2033" t="s">
        <v>26</v>
      </c>
      <c r="K2033">
        <v>3</v>
      </c>
      <c r="L2033" t="s">
        <v>29</v>
      </c>
    </row>
    <row r="2034" spans="1:12" x14ac:dyDescent="0.25">
      <c r="A2034">
        <v>2033</v>
      </c>
      <c r="B2034">
        <v>30</v>
      </c>
      <c r="C2034" t="s">
        <v>12</v>
      </c>
      <c r="D2034" t="s">
        <v>14</v>
      </c>
      <c r="E2034">
        <v>33.51</v>
      </c>
      <c r="F2034">
        <v>5.75</v>
      </c>
      <c r="G2034">
        <v>12.63</v>
      </c>
      <c r="H2034" t="s">
        <v>21</v>
      </c>
      <c r="I2034" t="s">
        <v>24</v>
      </c>
      <c r="J2034" t="s">
        <v>26</v>
      </c>
      <c r="K2034">
        <v>5</v>
      </c>
      <c r="L2034" t="s">
        <v>29</v>
      </c>
    </row>
    <row r="2035" spans="1:12" x14ac:dyDescent="0.25">
      <c r="A2035">
        <v>2034</v>
      </c>
      <c r="B2035">
        <v>30</v>
      </c>
      <c r="C2035" t="s">
        <v>13</v>
      </c>
      <c r="D2035" t="s">
        <v>14</v>
      </c>
      <c r="E2035">
        <v>17.79</v>
      </c>
      <c r="F2035">
        <v>9.74</v>
      </c>
      <c r="G2035">
        <v>14.38</v>
      </c>
      <c r="H2035" t="s">
        <v>19</v>
      </c>
      <c r="I2035" t="s">
        <v>22</v>
      </c>
      <c r="J2035" t="s">
        <v>25</v>
      </c>
      <c r="K2035">
        <v>34</v>
      </c>
      <c r="L2035" t="s">
        <v>30</v>
      </c>
    </row>
    <row r="2036" spans="1:12" x14ac:dyDescent="0.25">
      <c r="A2036">
        <v>2035</v>
      </c>
      <c r="B2036">
        <v>35</v>
      </c>
      <c r="C2036" t="s">
        <v>13</v>
      </c>
      <c r="D2036" t="s">
        <v>16</v>
      </c>
      <c r="E2036">
        <v>15.42</v>
      </c>
      <c r="F2036">
        <v>12.36</v>
      </c>
      <c r="G2036">
        <v>20.98</v>
      </c>
      <c r="H2036" t="s">
        <v>18</v>
      </c>
      <c r="I2036" t="s">
        <v>23</v>
      </c>
      <c r="J2036" t="s">
        <v>27</v>
      </c>
      <c r="K2036">
        <v>18</v>
      </c>
      <c r="L2036" t="s">
        <v>30</v>
      </c>
    </row>
    <row r="2037" spans="1:12" x14ac:dyDescent="0.25">
      <c r="A2037">
        <v>2036</v>
      </c>
      <c r="B2037">
        <v>49</v>
      </c>
      <c r="C2037" t="s">
        <v>13</v>
      </c>
      <c r="D2037" t="s">
        <v>14</v>
      </c>
      <c r="E2037">
        <v>25.46</v>
      </c>
      <c r="F2037">
        <v>23.6</v>
      </c>
      <c r="G2037">
        <v>17.059999999999999</v>
      </c>
      <c r="H2037" t="s">
        <v>19</v>
      </c>
      <c r="I2037" t="s">
        <v>22</v>
      </c>
      <c r="J2037" t="s">
        <v>25</v>
      </c>
      <c r="K2037">
        <v>32</v>
      </c>
      <c r="L2037" t="s">
        <v>29</v>
      </c>
    </row>
    <row r="2038" spans="1:12" x14ac:dyDescent="0.25">
      <c r="A2038">
        <v>2037</v>
      </c>
      <c r="B2038">
        <v>49</v>
      </c>
      <c r="C2038" t="s">
        <v>13</v>
      </c>
      <c r="D2038" t="s">
        <v>15</v>
      </c>
      <c r="E2038">
        <v>35.409999999999997</v>
      </c>
      <c r="F2038">
        <v>52.39</v>
      </c>
      <c r="G2038">
        <v>16.68</v>
      </c>
      <c r="H2038" t="s">
        <v>20</v>
      </c>
      <c r="I2038" t="s">
        <v>23</v>
      </c>
      <c r="J2038" t="s">
        <v>28</v>
      </c>
      <c r="K2038">
        <v>30</v>
      </c>
      <c r="L2038" t="s">
        <v>29</v>
      </c>
    </row>
    <row r="2039" spans="1:12" x14ac:dyDescent="0.25">
      <c r="A2039">
        <v>2038</v>
      </c>
      <c r="B2039">
        <v>52</v>
      </c>
      <c r="C2039" t="s">
        <v>12</v>
      </c>
      <c r="D2039" t="s">
        <v>17</v>
      </c>
      <c r="E2039">
        <v>8.27</v>
      </c>
      <c r="F2039">
        <v>4.32</v>
      </c>
      <c r="G2039">
        <v>9.2799999999999994</v>
      </c>
      <c r="H2039" t="s">
        <v>18</v>
      </c>
      <c r="I2039" t="s">
        <v>23</v>
      </c>
      <c r="J2039" t="s">
        <v>26</v>
      </c>
      <c r="K2039">
        <v>30</v>
      </c>
      <c r="L2039" t="s">
        <v>29</v>
      </c>
    </row>
    <row r="2040" spans="1:12" x14ac:dyDescent="0.25">
      <c r="A2040">
        <v>2039</v>
      </c>
      <c r="B2040">
        <v>76</v>
      </c>
      <c r="C2040" t="s">
        <v>12</v>
      </c>
      <c r="D2040" t="s">
        <v>16</v>
      </c>
      <c r="E2040">
        <v>21.31</v>
      </c>
      <c r="F2040">
        <v>15.99</v>
      </c>
      <c r="G2040">
        <v>3.3</v>
      </c>
      <c r="H2040" t="s">
        <v>19</v>
      </c>
      <c r="I2040" t="s">
        <v>24</v>
      </c>
      <c r="J2040" t="s">
        <v>26</v>
      </c>
      <c r="K2040">
        <v>18</v>
      </c>
      <c r="L2040" t="s">
        <v>29</v>
      </c>
    </row>
    <row r="2041" spans="1:12" x14ac:dyDescent="0.25">
      <c r="A2041">
        <v>2040</v>
      </c>
      <c r="B2041">
        <v>56</v>
      </c>
      <c r="C2041" t="s">
        <v>12</v>
      </c>
      <c r="D2041" t="s">
        <v>17</v>
      </c>
      <c r="E2041">
        <v>13.44</v>
      </c>
      <c r="F2041">
        <v>10.6</v>
      </c>
      <c r="G2041">
        <v>13</v>
      </c>
      <c r="H2041" t="s">
        <v>19</v>
      </c>
      <c r="I2041" t="s">
        <v>22</v>
      </c>
      <c r="J2041" t="s">
        <v>25</v>
      </c>
      <c r="K2041">
        <v>35</v>
      </c>
      <c r="L2041" t="s">
        <v>30</v>
      </c>
    </row>
    <row r="2042" spans="1:12" x14ac:dyDescent="0.25">
      <c r="A2042">
        <v>2041</v>
      </c>
      <c r="B2042">
        <v>63</v>
      </c>
      <c r="C2042" t="s">
        <v>13</v>
      </c>
      <c r="D2042" t="s">
        <v>17</v>
      </c>
      <c r="E2042">
        <v>17.850000000000001</v>
      </c>
      <c r="F2042">
        <v>1.6</v>
      </c>
      <c r="G2042">
        <v>14.23</v>
      </c>
      <c r="H2042" t="s">
        <v>20</v>
      </c>
      <c r="I2042" t="s">
        <v>22</v>
      </c>
      <c r="J2042" t="s">
        <v>28</v>
      </c>
      <c r="K2042">
        <v>27</v>
      </c>
      <c r="L2042" t="s">
        <v>29</v>
      </c>
    </row>
    <row r="2043" spans="1:12" x14ac:dyDescent="0.25">
      <c r="A2043">
        <v>2042</v>
      </c>
      <c r="B2043">
        <v>69</v>
      </c>
      <c r="C2043" t="s">
        <v>13</v>
      </c>
      <c r="D2043" t="s">
        <v>15</v>
      </c>
      <c r="E2043">
        <v>26.74</v>
      </c>
      <c r="F2043">
        <v>27.2</v>
      </c>
      <c r="G2043">
        <v>16.73</v>
      </c>
      <c r="H2043" t="s">
        <v>21</v>
      </c>
      <c r="I2043" t="s">
        <v>24</v>
      </c>
      <c r="J2043" t="s">
        <v>26</v>
      </c>
      <c r="K2043">
        <v>20</v>
      </c>
      <c r="L2043" t="s">
        <v>29</v>
      </c>
    </row>
    <row r="2044" spans="1:12" x14ac:dyDescent="0.25">
      <c r="A2044">
        <v>2043</v>
      </c>
      <c r="B2044">
        <v>46</v>
      </c>
      <c r="C2044" t="s">
        <v>12</v>
      </c>
      <c r="D2044" t="s">
        <v>15</v>
      </c>
      <c r="E2044">
        <v>14.21</v>
      </c>
      <c r="F2044">
        <v>7.24</v>
      </c>
      <c r="G2044">
        <v>4.4400000000000004</v>
      </c>
      <c r="H2044" t="s">
        <v>21</v>
      </c>
      <c r="I2044" t="s">
        <v>22</v>
      </c>
      <c r="J2044" t="s">
        <v>26</v>
      </c>
      <c r="K2044">
        <v>28</v>
      </c>
      <c r="L2044" t="s">
        <v>29</v>
      </c>
    </row>
    <row r="2045" spans="1:12" x14ac:dyDescent="0.25">
      <c r="A2045">
        <v>2044</v>
      </c>
      <c r="B2045">
        <v>79</v>
      </c>
      <c r="C2045" t="s">
        <v>12</v>
      </c>
      <c r="D2045" t="s">
        <v>17</v>
      </c>
      <c r="E2045">
        <v>16.39</v>
      </c>
      <c r="F2045">
        <v>6.89</v>
      </c>
      <c r="G2045">
        <v>20.14</v>
      </c>
      <c r="H2045" t="s">
        <v>18</v>
      </c>
      <c r="I2045" t="s">
        <v>22</v>
      </c>
      <c r="J2045" t="s">
        <v>26</v>
      </c>
      <c r="K2045">
        <v>8</v>
      </c>
      <c r="L2045" t="s">
        <v>29</v>
      </c>
    </row>
    <row r="2046" spans="1:12" x14ac:dyDescent="0.25">
      <c r="A2046">
        <v>2045</v>
      </c>
      <c r="B2046">
        <v>66</v>
      </c>
      <c r="C2046" t="s">
        <v>12</v>
      </c>
      <c r="D2046" t="s">
        <v>15</v>
      </c>
      <c r="E2046">
        <v>31.82</v>
      </c>
      <c r="F2046">
        <v>27.2</v>
      </c>
      <c r="G2046">
        <v>11.95</v>
      </c>
      <c r="H2046" t="s">
        <v>19</v>
      </c>
      <c r="I2046" t="s">
        <v>23</v>
      </c>
      <c r="J2046" t="s">
        <v>26</v>
      </c>
      <c r="K2046">
        <v>5</v>
      </c>
      <c r="L2046" t="s">
        <v>29</v>
      </c>
    </row>
    <row r="2047" spans="1:12" x14ac:dyDescent="0.25">
      <c r="A2047">
        <v>2046</v>
      </c>
      <c r="B2047">
        <v>46</v>
      </c>
      <c r="C2047" t="s">
        <v>13</v>
      </c>
      <c r="D2047" t="s">
        <v>16</v>
      </c>
      <c r="E2047">
        <v>23.19</v>
      </c>
      <c r="F2047">
        <v>9.5</v>
      </c>
      <c r="G2047">
        <v>3.57</v>
      </c>
      <c r="H2047" t="s">
        <v>21</v>
      </c>
      <c r="I2047" t="s">
        <v>23</v>
      </c>
      <c r="J2047" t="s">
        <v>26</v>
      </c>
      <c r="K2047">
        <v>8</v>
      </c>
      <c r="L2047" t="s">
        <v>29</v>
      </c>
    </row>
    <row r="2048" spans="1:12" x14ac:dyDescent="0.25">
      <c r="A2048">
        <v>2047</v>
      </c>
      <c r="B2048">
        <v>79</v>
      </c>
      <c r="C2048" t="s">
        <v>13</v>
      </c>
      <c r="D2048" t="s">
        <v>15</v>
      </c>
      <c r="E2048">
        <v>16.13</v>
      </c>
      <c r="F2048">
        <v>21.98</v>
      </c>
      <c r="G2048">
        <v>2.2599999999999998</v>
      </c>
      <c r="H2048" t="s">
        <v>18</v>
      </c>
      <c r="I2048" t="s">
        <v>22</v>
      </c>
      <c r="J2048" t="s">
        <v>26</v>
      </c>
      <c r="K2048">
        <v>16</v>
      </c>
      <c r="L2048" t="s">
        <v>29</v>
      </c>
    </row>
    <row r="2049" spans="1:12" x14ac:dyDescent="0.25">
      <c r="A2049">
        <v>2048</v>
      </c>
      <c r="B2049">
        <v>70</v>
      </c>
      <c r="C2049" t="s">
        <v>12</v>
      </c>
      <c r="D2049" t="s">
        <v>15</v>
      </c>
      <c r="E2049">
        <v>19.03</v>
      </c>
      <c r="F2049">
        <v>8.23</v>
      </c>
      <c r="G2049">
        <v>9.2799999999999994</v>
      </c>
      <c r="H2049" t="s">
        <v>19</v>
      </c>
      <c r="I2049" t="s">
        <v>23</v>
      </c>
      <c r="J2049" t="s">
        <v>27</v>
      </c>
      <c r="K2049">
        <v>20</v>
      </c>
      <c r="L2049" t="s">
        <v>29</v>
      </c>
    </row>
    <row r="2050" spans="1:12" x14ac:dyDescent="0.25">
      <c r="A2050">
        <v>2049</v>
      </c>
      <c r="B2050">
        <v>61</v>
      </c>
      <c r="C2050" t="s">
        <v>12</v>
      </c>
      <c r="D2050" t="s">
        <v>17</v>
      </c>
      <c r="E2050">
        <v>18.11</v>
      </c>
      <c r="F2050">
        <v>14.42</v>
      </c>
      <c r="G2050">
        <v>10.49</v>
      </c>
      <c r="H2050" t="s">
        <v>18</v>
      </c>
      <c r="I2050" t="s">
        <v>23</v>
      </c>
      <c r="J2050" t="s">
        <v>26</v>
      </c>
      <c r="K2050">
        <v>18</v>
      </c>
      <c r="L2050" t="s">
        <v>29</v>
      </c>
    </row>
    <row r="2051" spans="1:12" x14ac:dyDescent="0.25">
      <c r="A2051">
        <v>2050</v>
      </c>
      <c r="B2051">
        <v>74</v>
      </c>
      <c r="C2051" t="s">
        <v>12</v>
      </c>
      <c r="D2051" t="s">
        <v>17</v>
      </c>
      <c r="E2051">
        <v>3.84</v>
      </c>
      <c r="F2051">
        <v>9.02</v>
      </c>
      <c r="G2051">
        <v>4.91</v>
      </c>
      <c r="H2051" t="s">
        <v>20</v>
      </c>
      <c r="I2051" t="s">
        <v>23</v>
      </c>
      <c r="J2051" t="s">
        <v>25</v>
      </c>
      <c r="K2051">
        <v>26</v>
      </c>
      <c r="L2051" t="s">
        <v>29</v>
      </c>
    </row>
    <row r="2052" spans="1:12" x14ac:dyDescent="0.25">
      <c r="A2052">
        <v>2051</v>
      </c>
      <c r="B2052">
        <v>33</v>
      </c>
      <c r="C2052" t="s">
        <v>13</v>
      </c>
      <c r="D2052" t="s">
        <v>14</v>
      </c>
      <c r="E2052">
        <v>19.25</v>
      </c>
      <c r="F2052">
        <v>4.9800000000000004</v>
      </c>
      <c r="G2052">
        <v>9.93</v>
      </c>
      <c r="H2052" t="s">
        <v>18</v>
      </c>
      <c r="I2052" t="s">
        <v>22</v>
      </c>
      <c r="J2052" t="s">
        <v>26</v>
      </c>
      <c r="K2052">
        <v>15</v>
      </c>
      <c r="L2052" t="s">
        <v>30</v>
      </c>
    </row>
    <row r="2053" spans="1:12" x14ac:dyDescent="0.25">
      <c r="A2053">
        <v>2052</v>
      </c>
      <c r="B2053">
        <v>73</v>
      </c>
      <c r="C2053" t="s">
        <v>13</v>
      </c>
      <c r="D2053" t="s">
        <v>17</v>
      </c>
      <c r="E2053">
        <v>6.26</v>
      </c>
      <c r="F2053">
        <v>14.75</v>
      </c>
      <c r="G2053">
        <v>11.29</v>
      </c>
      <c r="H2053" t="s">
        <v>20</v>
      </c>
      <c r="I2053" t="s">
        <v>22</v>
      </c>
      <c r="J2053" t="s">
        <v>26</v>
      </c>
      <c r="K2053">
        <v>3</v>
      </c>
      <c r="L2053" t="s">
        <v>30</v>
      </c>
    </row>
    <row r="2054" spans="1:12" x14ac:dyDescent="0.25">
      <c r="A2054">
        <v>2053</v>
      </c>
      <c r="B2054">
        <v>61</v>
      </c>
      <c r="C2054" t="s">
        <v>13</v>
      </c>
      <c r="D2054" t="s">
        <v>15</v>
      </c>
      <c r="E2054">
        <v>34.799999999999997</v>
      </c>
      <c r="F2054">
        <v>17.21</v>
      </c>
      <c r="G2054">
        <v>18.600000000000001</v>
      </c>
      <c r="H2054" t="s">
        <v>19</v>
      </c>
      <c r="I2054" t="s">
        <v>22</v>
      </c>
      <c r="J2054" t="s">
        <v>25</v>
      </c>
      <c r="K2054">
        <v>16</v>
      </c>
      <c r="L2054" t="s">
        <v>29</v>
      </c>
    </row>
    <row r="2055" spans="1:12" x14ac:dyDescent="0.25">
      <c r="A2055">
        <v>2054</v>
      </c>
      <c r="B2055">
        <v>64</v>
      </c>
      <c r="C2055" t="s">
        <v>12</v>
      </c>
      <c r="D2055" t="s">
        <v>14</v>
      </c>
      <c r="E2055">
        <v>6.14</v>
      </c>
      <c r="F2055">
        <v>10.01</v>
      </c>
      <c r="G2055">
        <v>9.4</v>
      </c>
      <c r="H2055" t="s">
        <v>19</v>
      </c>
      <c r="I2055" t="s">
        <v>22</v>
      </c>
      <c r="J2055" t="s">
        <v>27</v>
      </c>
      <c r="K2055">
        <v>19</v>
      </c>
      <c r="L2055" t="s">
        <v>29</v>
      </c>
    </row>
    <row r="2056" spans="1:12" x14ac:dyDescent="0.25">
      <c r="A2056">
        <v>2055</v>
      </c>
      <c r="B2056">
        <v>74</v>
      </c>
      <c r="C2056" t="s">
        <v>12</v>
      </c>
      <c r="D2056" t="s">
        <v>17</v>
      </c>
      <c r="E2056">
        <v>12.97</v>
      </c>
      <c r="F2056">
        <v>1.25</v>
      </c>
      <c r="G2056">
        <v>13.08</v>
      </c>
      <c r="H2056" t="s">
        <v>19</v>
      </c>
      <c r="I2056" t="s">
        <v>23</v>
      </c>
      <c r="J2056" t="s">
        <v>26</v>
      </c>
      <c r="K2056">
        <v>15</v>
      </c>
      <c r="L2056" t="s">
        <v>29</v>
      </c>
    </row>
    <row r="2057" spans="1:12" x14ac:dyDescent="0.25">
      <c r="A2057">
        <v>2056</v>
      </c>
      <c r="B2057">
        <v>27</v>
      </c>
      <c r="C2057" t="s">
        <v>13</v>
      </c>
      <c r="D2057" t="s">
        <v>15</v>
      </c>
      <c r="E2057">
        <v>11.26</v>
      </c>
      <c r="F2057">
        <v>3.53</v>
      </c>
      <c r="G2057">
        <v>20.29</v>
      </c>
      <c r="H2057" t="s">
        <v>18</v>
      </c>
      <c r="I2057" t="s">
        <v>22</v>
      </c>
      <c r="J2057" t="s">
        <v>27</v>
      </c>
      <c r="K2057">
        <v>15</v>
      </c>
      <c r="L2057" t="s">
        <v>30</v>
      </c>
    </row>
    <row r="2058" spans="1:12" x14ac:dyDescent="0.25">
      <c r="A2058">
        <v>2057</v>
      </c>
      <c r="B2058">
        <v>47</v>
      </c>
      <c r="C2058" t="s">
        <v>12</v>
      </c>
      <c r="D2058" t="s">
        <v>17</v>
      </c>
      <c r="E2058">
        <v>42.85</v>
      </c>
      <c r="F2058">
        <v>6.46</v>
      </c>
      <c r="G2058">
        <v>8.9600000000000009</v>
      </c>
      <c r="H2058" t="s">
        <v>19</v>
      </c>
      <c r="I2058" t="s">
        <v>24</v>
      </c>
      <c r="J2058" t="s">
        <v>27</v>
      </c>
      <c r="K2058">
        <v>11</v>
      </c>
      <c r="L2058" t="s">
        <v>29</v>
      </c>
    </row>
    <row r="2059" spans="1:12" x14ac:dyDescent="0.25">
      <c r="A2059">
        <v>2058</v>
      </c>
      <c r="B2059">
        <v>42</v>
      </c>
      <c r="C2059" t="s">
        <v>13</v>
      </c>
      <c r="D2059" t="s">
        <v>14</v>
      </c>
      <c r="E2059">
        <v>33.9</v>
      </c>
      <c r="F2059">
        <v>25.77</v>
      </c>
      <c r="G2059">
        <v>5.77</v>
      </c>
      <c r="H2059" t="s">
        <v>19</v>
      </c>
      <c r="I2059" t="s">
        <v>23</v>
      </c>
      <c r="J2059" t="s">
        <v>26</v>
      </c>
      <c r="K2059">
        <v>8</v>
      </c>
      <c r="L2059" t="s">
        <v>29</v>
      </c>
    </row>
    <row r="2060" spans="1:12" x14ac:dyDescent="0.25">
      <c r="A2060">
        <v>2059</v>
      </c>
      <c r="B2060">
        <v>56</v>
      </c>
      <c r="C2060" t="s">
        <v>12</v>
      </c>
      <c r="D2060" t="s">
        <v>17</v>
      </c>
      <c r="E2060">
        <v>1.98</v>
      </c>
      <c r="F2060">
        <v>9.6</v>
      </c>
      <c r="G2060">
        <v>13.73</v>
      </c>
      <c r="H2060" t="s">
        <v>20</v>
      </c>
      <c r="I2060" t="s">
        <v>22</v>
      </c>
      <c r="J2060" t="s">
        <v>26</v>
      </c>
      <c r="K2060">
        <v>8</v>
      </c>
      <c r="L2060" t="s">
        <v>29</v>
      </c>
    </row>
    <row r="2061" spans="1:12" x14ac:dyDescent="0.25">
      <c r="A2061">
        <v>2060</v>
      </c>
      <c r="B2061">
        <v>37</v>
      </c>
      <c r="C2061" t="s">
        <v>12</v>
      </c>
      <c r="D2061" t="s">
        <v>15</v>
      </c>
      <c r="E2061">
        <v>17.190000000000001</v>
      </c>
      <c r="F2061">
        <v>25.46</v>
      </c>
      <c r="G2061">
        <v>16.16</v>
      </c>
      <c r="H2061" t="s">
        <v>19</v>
      </c>
      <c r="I2061" t="s">
        <v>22</v>
      </c>
      <c r="J2061" t="s">
        <v>25</v>
      </c>
      <c r="K2061">
        <v>32</v>
      </c>
      <c r="L2061" t="s">
        <v>29</v>
      </c>
    </row>
    <row r="2062" spans="1:12" x14ac:dyDescent="0.25">
      <c r="A2062">
        <v>2061</v>
      </c>
      <c r="B2062">
        <v>22</v>
      </c>
      <c r="C2062" t="s">
        <v>12</v>
      </c>
      <c r="D2062" t="s">
        <v>15</v>
      </c>
      <c r="E2062">
        <v>7.2</v>
      </c>
      <c r="F2062">
        <v>20.18</v>
      </c>
      <c r="G2062">
        <v>20.13</v>
      </c>
      <c r="H2062" t="s">
        <v>19</v>
      </c>
      <c r="I2062" t="s">
        <v>22</v>
      </c>
      <c r="J2062" t="s">
        <v>26</v>
      </c>
      <c r="K2062">
        <v>16</v>
      </c>
      <c r="L2062" t="s">
        <v>29</v>
      </c>
    </row>
    <row r="2063" spans="1:12" x14ac:dyDescent="0.25">
      <c r="A2063">
        <v>2062</v>
      </c>
      <c r="B2063">
        <v>18</v>
      </c>
      <c r="C2063" t="s">
        <v>12</v>
      </c>
      <c r="D2063" t="s">
        <v>15</v>
      </c>
      <c r="E2063">
        <v>19.29</v>
      </c>
      <c r="F2063">
        <v>6.88</v>
      </c>
      <c r="G2063">
        <v>6.98</v>
      </c>
      <c r="H2063" t="s">
        <v>19</v>
      </c>
      <c r="I2063" t="s">
        <v>23</v>
      </c>
      <c r="J2063" t="s">
        <v>26</v>
      </c>
      <c r="K2063">
        <v>6</v>
      </c>
      <c r="L2063" t="s">
        <v>29</v>
      </c>
    </row>
    <row r="2064" spans="1:12" x14ac:dyDescent="0.25">
      <c r="A2064">
        <v>2063</v>
      </c>
      <c r="B2064">
        <v>47</v>
      </c>
      <c r="C2064" t="s">
        <v>13</v>
      </c>
      <c r="D2064" t="s">
        <v>17</v>
      </c>
      <c r="E2064">
        <v>26.36</v>
      </c>
      <c r="F2064">
        <v>11.63</v>
      </c>
      <c r="G2064">
        <v>7.4</v>
      </c>
      <c r="H2064" t="s">
        <v>21</v>
      </c>
      <c r="I2064" t="s">
        <v>24</v>
      </c>
      <c r="J2064" t="s">
        <v>26</v>
      </c>
      <c r="K2064">
        <v>4</v>
      </c>
      <c r="L2064" t="s">
        <v>29</v>
      </c>
    </row>
    <row r="2065" spans="1:12" x14ac:dyDescent="0.25">
      <c r="A2065">
        <v>2064</v>
      </c>
      <c r="B2065">
        <v>66</v>
      </c>
      <c r="C2065" t="s">
        <v>12</v>
      </c>
      <c r="D2065" t="s">
        <v>17</v>
      </c>
      <c r="E2065">
        <v>20.38</v>
      </c>
      <c r="F2065">
        <v>17.52</v>
      </c>
      <c r="G2065">
        <v>14.83</v>
      </c>
      <c r="H2065" t="s">
        <v>19</v>
      </c>
      <c r="I2065" t="s">
        <v>22</v>
      </c>
      <c r="J2065" t="s">
        <v>26</v>
      </c>
      <c r="K2065">
        <v>19</v>
      </c>
      <c r="L2065" t="s">
        <v>29</v>
      </c>
    </row>
    <row r="2066" spans="1:12" x14ac:dyDescent="0.25">
      <c r="A2066">
        <v>2065</v>
      </c>
      <c r="B2066">
        <v>20</v>
      </c>
      <c r="C2066" t="s">
        <v>13</v>
      </c>
      <c r="D2066" t="s">
        <v>15</v>
      </c>
      <c r="E2066">
        <v>27.38</v>
      </c>
      <c r="F2066">
        <v>5.21</v>
      </c>
      <c r="G2066">
        <v>12.8</v>
      </c>
      <c r="H2066" t="s">
        <v>18</v>
      </c>
      <c r="I2066" t="s">
        <v>24</v>
      </c>
      <c r="J2066" t="s">
        <v>27</v>
      </c>
      <c r="K2066">
        <v>16</v>
      </c>
      <c r="L2066" t="s">
        <v>29</v>
      </c>
    </row>
    <row r="2067" spans="1:12" x14ac:dyDescent="0.25">
      <c r="A2067">
        <v>2066</v>
      </c>
      <c r="B2067">
        <v>62</v>
      </c>
      <c r="C2067" t="s">
        <v>13</v>
      </c>
      <c r="D2067" t="s">
        <v>14</v>
      </c>
      <c r="E2067">
        <v>14.48</v>
      </c>
      <c r="F2067">
        <v>16.59</v>
      </c>
      <c r="G2067">
        <v>14.93</v>
      </c>
      <c r="H2067" t="s">
        <v>20</v>
      </c>
      <c r="I2067" t="s">
        <v>23</v>
      </c>
      <c r="J2067" t="s">
        <v>26</v>
      </c>
      <c r="K2067">
        <v>19</v>
      </c>
      <c r="L2067" t="s">
        <v>29</v>
      </c>
    </row>
    <row r="2068" spans="1:12" x14ac:dyDescent="0.25">
      <c r="A2068">
        <v>2067</v>
      </c>
      <c r="B2068">
        <v>31</v>
      </c>
      <c r="C2068" t="s">
        <v>13</v>
      </c>
      <c r="D2068" t="s">
        <v>16</v>
      </c>
      <c r="E2068">
        <v>20.81</v>
      </c>
      <c r="F2068">
        <v>15.21</v>
      </c>
      <c r="G2068">
        <v>12.76</v>
      </c>
      <c r="H2068" t="s">
        <v>19</v>
      </c>
      <c r="I2068" t="s">
        <v>22</v>
      </c>
      <c r="J2068" t="s">
        <v>26</v>
      </c>
      <c r="K2068">
        <v>32</v>
      </c>
      <c r="L2068" t="s">
        <v>29</v>
      </c>
    </row>
    <row r="2069" spans="1:12" x14ac:dyDescent="0.25">
      <c r="A2069">
        <v>2068</v>
      </c>
      <c r="B2069">
        <v>73</v>
      </c>
      <c r="C2069" t="s">
        <v>12</v>
      </c>
      <c r="D2069" t="s">
        <v>17</v>
      </c>
      <c r="E2069">
        <v>26.77</v>
      </c>
      <c r="F2069">
        <v>4.96</v>
      </c>
      <c r="G2069">
        <v>8.5500000000000007</v>
      </c>
      <c r="H2069" t="s">
        <v>18</v>
      </c>
      <c r="I2069" t="s">
        <v>22</v>
      </c>
      <c r="J2069" t="s">
        <v>26</v>
      </c>
      <c r="K2069">
        <v>31</v>
      </c>
      <c r="L2069" t="s">
        <v>29</v>
      </c>
    </row>
    <row r="2070" spans="1:12" x14ac:dyDescent="0.25">
      <c r="A2070">
        <v>2069</v>
      </c>
      <c r="B2070">
        <v>47</v>
      </c>
      <c r="C2070" t="s">
        <v>13</v>
      </c>
      <c r="D2070" t="s">
        <v>14</v>
      </c>
      <c r="E2070">
        <v>12.62</v>
      </c>
      <c r="F2070">
        <v>14.2</v>
      </c>
      <c r="G2070">
        <v>8.7100000000000009</v>
      </c>
      <c r="H2070" t="s">
        <v>20</v>
      </c>
      <c r="I2070" t="s">
        <v>23</v>
      </c>
      <c r="J2070" t="s">
        <v>25</v>
      </c>
      <c r="K2070">
        <v>9</v>
      </c>
      <c r="L2070" t="s">
        <v>29</v>
      </c>
    </row>
    <row r="2071" spans="1:12" x14ac:dyDescent="0.25">
      <c r="A2071">
        <v>2070</v>
      </c>
      <c r="B2071">
        <v>67</v>
      </c>
      <c r="C2071" t="s">
        <v>13</v>
      </c>
      <c r="D2071" t="s">
        <v>15</v>
      </c>
      <c r="E2071">
        <v>9.1</v>
      </c>
      <c r="F2071">
        <v>9.24</v>
      </c>
      <c r="G2071">
        <v>9.07</v>
      </c>
      <c r="H2071" t="s">
        <v>20</v>
      </c>
      <c r="I2071" t="s">
        <v>23</v>
      </c>
      <c r="J2071" t="s">
        <v>25</v>
      </c>
      <c r="K2071">
        <v>11</v>
      </c>
      <c r="L2071" t="s">
        <v>30</v>
      </c>
    </row>
    <row r="2072" spans="1:12" x14ac:dyDescent="0.25">
      <c r="A2072">
        <v>2071</v>
      </c>
      <c r="B2072">
        <v>21</v>
      </c>
      <c r="C2072" t="s">
        <v>13</v>
      </c>
      <c r="D2072" t="s">
        <v>17</v>
      </c>
      <c r="E2072">
        <v>10.81</v>
      </c>
      <c r="F2072">
        <v>2.82</v>
      </c>
      <c r="G2072">
        <v>17.579999999999998</v>
      </c>
      <c r="H2072" t="s">
        <v>18</v>
      </c>
      <c r="I2072" t="s">
        <v>22</v>
      </c>
      <c r="J2072" t="s">
        <v>27</v>
      </c>
      <c r="K2072">
        <v>25</v>
      </c>
      <c r="L2072" t="s">
        <v>29</v>
      </c>
    </row>
    <row r="2073" spans="1:12" x14ac:dyDescent="0.25">
      <c r="A2073">
        <v>2072</v>
      </c>
      <c r="B2073">
        <v>35</v>
      </c>
      <c r="C2073" t="s">
        <v>12</v>
      </c>
      <c r="D2073" t="s">
        <v>16</v>
      </c>
      <c r="E2073">
        <v>15.98</v>
      </c>
      <c r="F2073">
        <v>6.46</v>
      </c>
      <c r="G2073">
        <v>18.29</v>
      </c>
      <c r="H2073" t="s">
        <v>18</v>
      </c>
      <c r="I2073" t="s">
        <v>23</v>
      </c>
      <c r="J2073" t="s">
        <v>25</v>
      </c>
      <c r="K2073">
        <v>16</v>
      </c>
      <c r="L2073" t="s">
        <v>30</v>
      </c>
    </row>
    <row r="2074" spans="1:12" x14ac:dyDescent="0.25">
      <c r="A2074">
        <v>2073</v>
      </c>
      <c r="B2074">
        <v>79</v>
      </c>
      <c r="C2074" t="s">
        <v>12</v>
      </c>
      <c r="D2074" t="s">
        <v>14</v>
      </c>
      <c r="E2074">
        <v>17.510000000000002</v>
      </c>
      <c r="F2074">
        <v>6.27</v>
      </c>
      <c r="G2074">
        <v>1.98</v>
      </c>
      <c r="H2074" t="s">
        <v>21</v>
      </c>
      <c r="I2074" t="s">
        <v>22</v>
      </c>
      <c r="J2074" t="s">
        <v>25</v>
      </c>
      <c r="K2074">
        <v>22</v>
      </c>
      <c r="L2074" t="s">
        <v>29</v>
      </c>
    </row>
    <row r="2075" spans="1:12" x14ac:dyDescent="0.25">
      <c r="A2075">
        <v>2074</v>
      </c>
      <c r="B2075">
        <v>54</v>
      </c>
      <c r="C2075" t="s">
        <v>13</v>
      </c>
      <c r="D2075" t="s">
        <v>16</v>
      </c>
      <c r="E2075">
        <v>21.6</v>
      </c>
      <c r="F2075">
        <v>28.88</v>
      </c>
      <c r="G2075">
        <v>14.32</v>
      </c>
      <c r="H2075" t="s">
        <v>21</v>
      </c>
      <c r="I2075" t="s">
        <v>23</v>
      </c>
      <c r="J2075" t="s">
        <v>26</v>
      </c>
      <c r="K2075">
        <v>19</v>
      </c>
      <c r="L2075" t="s">
        <v>29</v>
      </c>
    </row>
    <row r="2076" spans="1:12" x14ac:dyDescent="0.25">
      <c r="A2076">
        <v>2075</v>
      </c>
      <c r="B2076">
        <v>42</v>
      </c>
      <c r="C2076" t="s">
        <v>12</v>
      </c>
      <c r="D2076" t="s">
        <v>15</v>
      </c>
      <c r="E2076">
        <v>10.02</v>
      </c>
      <c r="F2076">
        <v>3.59</v>
      </c>
      <c r="G2076">
        <v>18.850000000000001</v>
      </c>
      <c r="H2076" t="s">
        <v>19</v>
      </c>
      <c r="I2076" t="s">
        <v>23</v>
      </c>
      <c r="J2076" t="s">
        <v>26</v>
      </c>
      <c r="K2076">
        <v>34</v>
      </c>
      <c r="L2076" t="s">
        <v>29</v>
      </c>
    </row>
    <row r="2077" spans="1:12" x14ac:dyDescent="0.25">
      <c r="A2077">
        <v>2076</v>
      </c>
      <c r="B2077">
        <v>65</v>
      </c>
      <c r="C2077" t="s">
        <v>13</v>
      </c>
      <c r="D2077" t="s">
        <v>14</v>
      </c>
      <c r="E2077">
        <v>27.26</v>
      </c>
      <c r="F2077">
        <v>5.74</v>
      </c>
      <c r="G2077">
        <v>10.28</v>
      </c>
      <c r="H2077" t="s">
        <v>21</v>
      </c>
      <c r="I2077" t="s">
        <v>22</v>
      </c>
      <c r="J2077" t="s">
        <v>25</v>
      </c>
      <c r="K2077">
        <v>27</v>
      </c>
      <c r="L2077" t="s">
        <v>29</v>
      </c>
    </row>
    <row r="2078" spans="1:12" x14ac:dyDescent="0.25">
      <c r="A2078">
        <v>2077</v>
      </c>
      <c r="B2078">
        <v>18</v>
      </c>
      <c r="C2078" t="s">
        <v>13</v>
      </c>
      <c r="D2078" t="s">
        <v>15</v>
      </c>
      <c r="E2078">
        <v>48.81</v>
      </c>
      <c r="F2078">
        <v>13.28</v>
      </c>
      <c r="G2078">
        <v>0.41</v>
      </c>
      <c r="H2078" t="s">
        <v>18</v>
      </c>
      <c r="I2078" t="s">
        <v>23</v>
      </c>
      <c r="J2078" t="s">
        <v>27</v>
      </c>
      <c r="K2078">
        <v>32</v>
      </c>
      <c r="L2078" t="s">
        <v>29</v>
      </c>
    </row>
    <row r="2079" spans="1:12" x14ac:dyDescent="0.25">
      <c r="A2079">
        <v>2078</v>
      </c>
      <c r="B2079">
        <v>70</v>
      </c>
      <c r="C2079" t="s">
        <v>12</v>
      </c>
      <c r="D2079" t="s">
        <v>14</v>
      </c>
      <c r="E2079">
        <v>11.32</v>
      </c>
      <c r="F2079">
        <v>10.42</v>
      </c>
      <c r="G2079">
        <v>11.08</v>
      </c>
      <c r="H2079" t="s">
        <v>21</v>
      </c>
      <c r="I2079" t="s">
        <v>24</v>
      </c>
      <c r="J2079" t="s">
        <v>28</v>
      </c>
      <c r="K2079">
        <v>29</v>
      </c>
      <c r="L2079" t="s">
        <v>30</v>
      </c>
    </row>
    <row r="2080" spans="1:12" x14ac:dyDescent="0.25">
      <c r="A2080">
        <v>2079</v>
      </c>
      <c r="B2080">
        <v>63</v>
      </c>
      <c r="C2080" t="s">
        <v>13</v>
      </c>
      <c r="D2080" t="s">
        <v>14</v>
      </c>
      <c r="E2080">
        <v>65.22</v>
      </c>
      <c r="F2080">
        <v>8.5500000000000007</v>
      </c>
      <c r="G2080">
        <v>6.96</v>
      </c>
      <c r="H2080" t="s">
        <v>20</v>
      </c>
      <c r="I2080" t="s">
        <v>24</v>
      </c>
      <c r="J2080" t="s">
        <v>25</v>
      </c>
      <c r="K2080">
        <v>29</v>
      </c>
      <c r="L2080" t="s">
        <v>29</v>
      </c>
    </row>
    <row r="2081" spans="1:12" x14ac:dyDescent="0.25">
      <c r="A2081">
        <v>2080</v>
      </c>
      <c r="B2081">
        <v>32</v>
      </c>
      <c r="C2081" t="s">
        <v>12</v>
      </c>
      <c r="D2081" t="s">
        <v>15</v>
      </c>
      <c r="E2081">
        <v>52.76</v>
      </c>
      <c r="F2081">
        <v>8.42</v>
      </c>
      <c r="G2081">
        <v>11.5</v>
      </c>
      <c r="H2081" t="s">
        <v>18</v>
      </c>
      <c r="I2081" t="s">
        <v>22</v>
      </c>
      <c r="J2081" t="s">
        <v>26</v>
      </c>
      <c r="K2081">
        <v>33</v>
      </c>
      <c r="L2081" t="s">
        <v>30</v>
      </c>
    </row>
    <row r="2082" spans="1:12" x14ac:dyDescent="0.25">
      <c r="A2082">
        <v>2081</v>
      </c>
      <c r="B2082">
        <v>26</v>
      </c>
      <c r="C2082" t="s">
        <v>12</v>
      </c>
      <c r="D2082" t="s">
        <v>16</v>
      </c>
      <c r="E2082">
        <v>17.47</v>
      </c>
      <c r="F2082">
        <v>19.14</v>
      </c>
      <c r="G2082">
        <v>21.92</v>
      </c>
      <c r="H2082" t="s">
        <v>19</v>
      </c>
      <c r="I2082" t="s">
        <v>24</v>
      </c>
      <c r="J2082" t="s">
        <v>26</v>
      </c>
      <c r="K2082">
        <v>28</v>
      </c>
      <c r="L2082" t="s">
        <v>29</v>
      </c>
    </row>
    <row r="2083" spans="1:12" x14ac:dyDescent="0.25">
      <c r="A2083">
        <v>2082</v>
      </c>
      <c r="B2083">
        <v>32</v>
      </c>
      <c r="C2083" t="s">
        <v>13</v>
      </c>
      <c r="D2083" t="s">
        <v>15</v>
      </c>
      <c r="E2083">
        <v>15.66</v>
      </c>
      <c r="F2083">
        <v>5.05</v>
      </c>
      <c r="G2083">
        <v>12.77</v>
      </c>
      <c r="H2083" t="s">
        <v>20</v>
      </c>
      <c r="I2083" t="s">
        <v>24</v>
      </c>
      <c r="J2083" t="s">
        <v>26</v>
      </c>
      <c r="K2083">
        <v>16</v>
      </c>
      <c r="L2083" t="s">
        <v>29</v>
      </c>
    </row>
    <row r="2084" spans="1:12" x14ac:dyDescent="0.25">
      <c r="A2084">
        <v>2083</v>
      </c>
      <c r="B2084">
        <v>66</v>
      </c>
      <c r="C2084" t="s">
        <v>12</v>
      </c>
      <c r="D2084" t="s">
        <v>17</v>
      </c>
      <c r="E2084">
        <v>10.69</v>
      </c>
      <c r="F2084">
        <v>3.84</v>
      </c>
      <c r="G2084">
        <v>22.68</v>
      </c>
      <c r="H2084" t="s">
        <v>20</v>
      </c>
      <c r="I2084" t="s">
        <v>23</v>
      </c>
      <c r="J2084" t="s">
        <v>26</v>
      </c>
      <c r="K2084">
        <v>23</v>
      </c>
      <c r="L2084" t="s">
        <v>29</v>
      </c>
    </row>
    <row r="2085" spans="1:12" x14ac:dyDescent="0.25">
      <c r="A2085">
        <v>2084</v>
      </c>
      <c r="B2085">
        <v>74</v>
      </c>
      <c r="C2085" t="s">
        <v>12</v>
      </c>
      <c r="D2085" t="s">
        <v>17</v>
      </c>
      <c r="E2085">
        <v>29.8</v>
      </c>
      <c r="F2085">
        <v>1.2</v>
      </c>
      <c r="G2085">
        <v>4.83</v>
      </c>
      <c r="H2085" t="s">
        <v>20</v>
      </c>
      <c r="I2085" t="s">
        <v>24</v>
      </c>
      <c r="J2085" t="s">
        <v>26</v>
      </c>
      <c r="K2085">
        <v>30</v>
      </c>
      <c r="L2085" t="s">
        <v>29</v>
      </c>
    </row>
    <row r="2086" spans="1:12" x14ac:dyDescent="0.25">
      <c r="A2086">
        <v>2085</v>
      </c>
      <c r="B2086">
        <v>41</v>
      </c>
      <c r="C2086" t="s">
        <v>13</v>
      </c>
      <c r="D2086" t="s">
        <v>17</v>
      </c>
      <c r="E2086">
        <v>18.27</v>
      </c>
      <c r="F2086">
        <v>6.76</v>
      </c>
      <c r="G2086">
        <v>17.43</v>
      </c>
      <c r="H2086" t="s">
        <v>18</v>
      </c>
      <c r="I2086" t="s">
        <v>23</v>
      </c>
      <c r="J2086" t="s">
        <v>26</v>
      </c>
      <c r="K2086">
        <v>17</v>
      </c>
      <c r="L2086" t="s">
        <v>29</v>
      </c>
    </row>
    <row r="2087" spans="1:12" x14ac:dyDescent="0.25">
      <c r="A2087">
        <v>2086</v>
      </c>
      <c r="B2087">
        <v>21</v>
      </c>
      <c r="C2087" t="s">
        <v>13</v>
      </c>
      <c r="D2087" t="s">
        <v>14</v>
      </c>
      <c r="E2087">
        <v>19.579999999999998</v>
      </c>
      <c r="F2087">
        <v>2.98</v>
      </c>
      <c r="G2087">
        <v>15.24</v>
      </c>
      <c r="H2087" t="s">
        <v>18</v>
      </c>
      <c r="I2087" t="s">
        <v>23</v>
      </c>
      <c r="J2087" t="s">
        <v>26</v>
      </c>
      <c r="K2087">
        <v>32</v>
      </c>
      <c r="L2087" t="s">
        <v>29</v>
      </c>
    </row>
    <row r="2088" spans="1:12" x14ac:dyDescent="0.25">
      <c r="A2088">
        <v>2087</v>
      </c>
      <c r="B2088">
        <v>29</v>
      </c>
      <c r="C2088" t="s">
        <v>12</v>
      </c>
      <c r="D2088" t="s">
        <v>16</v>
      </c>
      <c r="E2088">
        <v>9.25</v>
      </c>
      <c r="F2088">
        <v>7.76</v>
      </c>
      <c r="G2088">
        <v>9.8000000000000007</v>
      </c>
      <c r="H2088" t="s">
        <v>19</v>
      </c>
      <c r="I2088" t="s">
        <v>22</v>
      </c>
      <c r="J2088" t="s">
        <v>25</v>
      </c>
      <c r="K2088">
        <v>27</v>
      </c>
      <c r="L2088" t="s">
        <v>29</v>
      </c>
    </row>
    <row r="2089" spans="1:12" x14ac:dyDescent="0.25">
      <c r="A2089">
        <v>2088</v>
      </c>
      <c r="B2089">
        <v>76</v>
      </c>
      <c r="C2089" t="s">
        <v>12</v>
      </c>
      <c r="D2089" t="s">
        <v>17</v>
      </c>
      <c r="E2089">
        <v>30.32</v>
      </c>
      <c r="F2089">
        <v>1.72</v>
      </c>
      <c r="G2089">
        <v>1.5</v>
      </c>
      <c r="H2089" t="s">
        <v>21</v>
      </c>
      <c r="I2089" t="s">
        <v>22</v>
      </c>
      <c r="J2089" t="s">
        <v>26</v>
      </c>
      <c r="K2089">
        <v>13</v>
      </c>
      <c r="L2089" t="s">
        <v>30</v>
      </c>
    </row>
    <row r="2090" spans="1:12" x14ac:dyDescent="0.25">
      <c r="A2090">
        <v>2089</v>
      </c>
      <c r="B2090">
        <v>75</v>
      </c>
      <c r="C2090" t="s">
        <v>13</v>
      </c>
      <c r="D2090" t="s">
        <v>14</v>
      </c>
      <c r="E2090">
        <v>14.81</v>
      </c>
      <c r="F2090">
        <v>7.67</v>
      </c>
      <c r="G2090">
        <v>9.43</v>
      </c>
      <c r="H2090" t="s">
        <v>21</v>
      </c>
      <c r="I2090" t="s">
        <v>23</v>
      </c>
      <c r="J2090" t="s">
        <v>25</v>
      </c>
      <c r="K2090">
        <v>13</v>
      </c>
      <c r="L2090" t="s">
        <v>29</v>
      </c>
    </row>
    <row r="2091" spans="1:12" x14ac:dyDescent="0.25">
      <c r="A2091">
        <v>2090</v>
      </c>
      <c r="B2091">
        <v>54</v>
      </c>
      <c r="C2091" t="s">
        <v>12</v>
      </c>
      <c r="D2091" t="s">
        <v>14</v>
      </c>
      <c r="E2091">
        <v>7.64</v>
      </c>
      <c r="F2091">
        <v>12.52</v>
      </c>
      <c r="G2091">
        <v>5.46</v>
      </c>
      <c r="H2091" t="s">
        <v>21</v>
      </c>
      <c r="I2091" t="s">
        <v>23</v>
      </c>
      <c r="J2091" t="s">
        <v>26</v>
      </c>
      <c r="K2091">
        <v>30</v>
      </c>
      <c r="L2091" t="s">
        <v>29</v>
      </c>
    </row>
    <row r="2092" spans="1:12" x14ac:dyDescent="0.25">
      <c r="A2092">
        <v>2091</v>
      </c>
      <c r="B2092">
        <v>78</v>
      </c>
      <c r="C2092" t="s">
        <v>12</v>
      </c>
      <c r="D2092" t="s">
        <v>15</v>
      </c>
      <c r="E2092">
        <v>16.55</v>
      </c>
      <c r="F2092">
        <v>9.66</v>
      </c>
      <c r="G2092">
        <v>1.96</v>
      </c>
      <c r="H2092" t="s">
        <v>21</v>
      </c>
      <c r="I2092" t="s">
        <v>22</v>
      </c>
      <c r="J2092" t="s">
        <v>26</v>
      </c>
      <c r="K2092">
        <v>7</v>
      </c>
      <c r="L2092" t="s">
        <v>29</v>
      </c>
    </row>
    <row r="2093" spans="1:12" x14ac:dyDescent="0.25">
      <c r="A2093">
        <v>2092</v>
      </c>
      <c r="B2093">
        <v>54</v>
      </c>
      <c r="C2093" t="s">
        <v>12</v>
      </c>
      <c r="D2093" t="s">
        <v>14</v>
      </c>
      <c r="E2093">
        <v>9.7200000000000006</v>
      </c>
      <c r="F2093">
        <v>15.6</v>
      </c>
      <c r="G2093">
        <v>5.82</v>
      </c>
      <c r="H2093" t="s">
        <v>20</v>
      </c>
      <c r="I2093" t="s">
        <v>23</v>
      </c>
      <c r="J2093" t="s">
        <v>28</v>
      </c>
      <c r="K2093">
        <v>30</v>
      </c>
      <c r="L2093" t="s">
        <v>30</v>
      </c>
    </row>
    <row r="2094" spans="1:12" x14ac:dyDescent="0.25">
      <c r="A2094">
        <v>2093</v>
      </c>
      <c r="B2094">
        <v>60</v>
      </c>
      <c r="C2094" t="s">
        <v>12</v>
      </c>
      <c r="D2094" t="s">
        <v>15</v>
      </c>
      <c r="E2094">
        <v>38.950000000000003</v>
      </c>
      <c r="F2094">
        <v>21.49</v>
      </c>
      <c r="G2094">
        <v>13.35</v>
      </c>
      <c r="H2094" t="s">
        <v>18</v>
      </c>
      <c r="I2094" t="s">
        <v>22</v>
      </c>
      <c r="J2094" t="s">
        <v>26</v>
      </c>
      <c r="K2094">
        <v>10</v>
      </c>
      <c r="L2094" t="s">
        <v>30</v>
      </c>
    </row>
    <row r="2095" spans="1:12" x14ac:dyDescent="0.25">
      <c r="A2095">
        <v>2094</v>
      </c>
      <c r="B2095">
        <v>77</v>
      </c>
      <c r="C2095" t="s">
        <v>12</v>
      </c>
      <c r="D2095" t="s">
        <v>14</v>
      </c>
      <c r="E2095">
        <v>52.34</v>
      </c>
      <c r="F2095">
        <v>12.27</v>
      </c>
      <c r="G2095">
        <v>10.93</v>
      </c>
      <c r="H2095" t="s">
        <v>21</v>
      </c>
      <c r="I2095" t="s">
        <v>22</v>
      </c>
      <c r="J2095" t="s">
        <v>27</v>
      </c>
      <c r="K2095">
        <v>28</v>
      </c>
      <c r="L2095" t="s">
        <v>29</v>
      </c>
    </row>
    <row r="2096" spans="1:12" x14ac:dyDescent="0.25">
      <c r="A2096">
        <v>2095</v>
      </c>
      <c r="B2096">
        <v>23</v>
      </c>
      <c r="C2096" t="s">
        <v>12</v>
      </c>
      <c r="D2096" t="s">
        <v>15</v>
      </c>
      <c r="E2096">
        <v>16.88</v>
      </c>
      <c r="F2096">
        <v>9.84</v>
      </c>
      <c r="G2096">
        <v>9.2100000000000009</v>
      </c>
      <c r="H2096" t="s">
        <v>20</v>
      </c>
      <c r="I2096" t="s">
        <v>23</v>
      </c>
      <c r="J2096" t="s">
        <v>26</v>
      </c>
      <c r="K2096">
        <v>8</v>
      </c>
      <c r="L2096" t="s">
        <v>29</v>
      </c>
    </row>
    <row r="2097" spans="1:12" x14ac:dyDescent="0.25">
      <c r="A2097">
        <v>2096</v>
      </c>
      <c r="B2097">
        <v>56</v>
      </c>
      <c r="C2097" t="s">
        <v>12</v>
      </c>
      <c r="D2097" t="s">
        <v>15</v>
      </c>
      <c r="E2097">
        <v>33.33</v>
      </c>
      <c r="F2097">
        <v>13.57</v>
      </c>
      <c r="G2097">
        <v>3.76</v>
      </c>
      <c r="H2097" t="s">
        <v>18</v>
      </c>
      <c r="I2097" t="s">
        <v>23</v>
      </c>
      <c r="J2097" t="s">
        <v>26</v>
      </c>
      <c r="K2097">
        <v>34</v>
      </c>
      <c r="L2097" t="s">
        <v>29</v>
      </c>
    </row>
    <row r="2098" spans="1:12" x14ac:dyDescent="0.25">
      <c r="A2098">
        <v>2097</v>
      </c>
      <c r="B2098">
        <v>73</v>
      </c>
      <c r="C2098" t="s">
        <v>13</v>
      </c>
      <c r="D2098" t="s">
        <v>17</v>
      </c>
      <c r="E2098">
        <v>32.82</v>
      </c>
      <c r="F2098">
        <v>12.59</v>
      </c>
      <c r="G2098">
        <v>1.1599999999999999</v>
      </c>
      <c r="H2098" t="s">
        <v>18</v>
      </c>
      <c r="I2098" t="s">
        <v>22</v>
      </c>
      <c r="J2098" t="s">
        <v>26</v>
      </c>
      <c r="K2098">
        <v>34</v>
      </c>
      <c r="L2098" t="s">
        <v>30</v>
      </c>
    </row>
    <row r="2099" spans="1:12" x14ac:dyDescent="0.25">
      <c r="A2099">
        <v>2098</v>
      </c>
      <c r="B2099">
        <v>63</v>
      </c>
      <c r="C2099" t="s">
        <v>13</v>
      </c>
      <c r="D2099" t="s">
        <v>16</v>
      </c>
      <c r="E2099">
        <v>0.63</v>
      </c>
      <c r="F2099">
        <v>17.63</v>
      </c>
      <c r="G2099">
        <v>4.4800000000000004</v>
      </c>
      <c r="H2099" t="s">
        <v>18</v>
      </c>
      <c r="I2099" t="s">
        <v>22</v>
      </c>
      <c r="J2099" t="s">
        <v>26</v>
      </c>
      <c r="K2099">
        <v>14</v>
      </c>
      <c r="L2099" t="s">
        <v>30</v>
      </c>
    </row>
    <row r="2100" spans="1:12" x14ac:dyDescent="0.25">
      <c r="A2100">
        <v>2099</v>
      </c>
      <c r="B2100">
        <v>41</v>
      </c>
      <c r="C2100" t="s">
        <v>13</v>
      </c>
      <c r="D2100" t="s">
        <v>17</v>
      </c>
      <c r="E2100">
        <v>10.82</v>
      </c>
      <c r="F2100">
        <v>10.34</v>
      </c>
      <c r="G2100">
        <v>7.71</v>
      </c>
      <c r="H2100" t="s">
        <v>20</v>
      </c>
      <c r="I2100" t="s">
        <v>23</v>
      </c>
      <c r="J2100" t="s">
        <v>26</v>
      </c>
      <c r="K2100">
        <v>8</v>
      </c>
      <c r="L2100" t="s">
        <v>29</v>
      </c>
    </row>
    <row r="2101" spans="1:12" x14ac:dyDescent="0.25">
      <c r="A2101">
        <v>2100</v>
      </c>
      <c r="B2101">
        <v>28</v>
      </c>
      <c r="C2101" t="s">
        <v>13</v>
      </c>
      <c r="D2101" t="s">
        <v>15</v>
      </c>
      <c r="E2101">
        <v>18.809999999999999</v>
      </c>
      <c r="F2101">
        <v>3.26</v>
      </c>
      <c r="G2101">
        <v>5.77</v>
      </c>
      <c r="H2101" t="s">
        <v>21</v>
      </c>
      <c r="I2101" t="s">
        <v>23</v>
      </c>
      <c r="J2101" t="s">
        <v>25</v>
      </c>
      <c r="K2101">
        <v>15</v>
      </c>
      <c r="L2101" t="s">
        <v>29</v>
      </c>
    </row>
    <row r="2102" spans="1:12" x14ac:dyDescent="0.25">
      <c r="A2102">
        <v>2101</v>
      </c>
      <c r="B2102">
        <v>79</v>
      </c>
      <c r="C2102" t="s">
        <v>13</v>
      </c>
      <c r="D2102" t="s">
        <v>17</v>
      </c>
      <c r="E2102">
        <v>12.85</v>
      </c>
      <c r="F2102">
        <v>20.78</v>
      </c>
      <c r="G2102">
        <v>7.39</v>
      </c>
      <c r="H2102" t="s">
        <v>18</v>
      </c>
      <c r="I2102" t="s">
        <v>23</v>
      </c>
      <c r="J2102" t="s">
        <v>26</v>
      </c>
      <c r="K2102">
        <v>25</v>
      </c>
      <c r="L2102" t="s">
        <v>29</v>
      </c>
    </row>
    <row r="2103" spans="1:12" x14ac:dyDescent="0.25">
      <c r="A2103">
        <v>2102</v>
      </c>
      <c r="B2103">
        <v>30</v>
      </c>
      <c r="C2103" t="s">
        <v>12</v>
      </c>
      <c r="D2103" t="s">
        <v>14</v>
      </c>
      <c r="E2103">
        <v>10.199999999999999</v>
      </c>
      <c r="F2103">
        <v>1.84</v>
      </c>
      <c r="G2103">
        <v>23.65</v>
      </c>
      <c r="H2103" t="s">
        <v>20</v>
      </c>
      <c r="I2103" t="s">
        <v>23</v>
      </c>
      <c r="J2103" t="s">
        <v>25</v>
      </c>
      <c r="K2103">
        <v>19</v>
      </c>
      <c r="L2103" t="s">
        <v>30</v>
      </c>
    </row>
    <row r="2104" spans="1:12" x14ac:dyDescent="0.25">
      <c r="A2104">
        <v>2103</v>
      </c>
      <c r="B2104">
        <v>51</v>
      </c>
      <c r="C2104" t="s">
        <v>12</v>
      </c>
      <c r="D2104" t="s">
        <v>17</v>
      </c>
      <c r="E2104">
        <v>34.18</v>
      </c>
      <c r="F2104">
        <v>16.59</v>
      </c>
      <c r="G2104">
        <v>9.59</v>
      </c>
      <c r="H2104" t="s">
        <v>18</v>
      </c>
      <c r="I2104" t="s">
        <v>22</v>
      </c>
      <c r="J2104" t="s">
        <v>26</v>
      </c>
      <c r="K2104">
        <v>3</v>
      </c>
      <c r="L2104" t="s">
        <v>29</v>
      </c>
    </row>
    <row r="2105" spans="1:12" x14ac:dyDescent="0.25">
      <c r="A2105">
        <v>2104</v>
      </c>
      <c r="B2105">
        <v>42</v>
      </c>
      <c r="C2105" t="s">
        <v>12</v>
      </c>
      <c r="D2105" t="s">
        <v>15</v>
      </c>
      <c r="E2105">
        <v>12.49</v>
      </c>
      <c r="F2105">
        <v>13.35</v>
      </c>
      <c r="G2105">
        <v>18.190000000000001</v>
      </c>
      <c r="H2105" t="s">
        <v>19</v>
      </c>
      <c r="I2105" t="s">
        <v>22</v>
      </c>
      <c r="J2105" t="s">
        <v>26</v>
      </c>
      <c r="K2105">
        <v>9</v>
      </c>
      <c r="L2105" t="s">
        <v>29</v>
      </c>
    </row>
    <row r="2106" spans="1:12" x14ac:dyDescent="0.25">
      <c r="A2106">
        <v>2105</v>
      </c>
      <c r="B2106">
        <v>24</v>
      </c>
      <c r="C2106" t="s">
        <v>12</v>
      </c>
      <c r="D2106" t="s">
        <v>17</v>
      </c>
      <c r="E2106">
        <v>21.64</v>
      </c>
      <c r="F2106">
        <v>13.61</v>
      </c>
      <c r="G2106">
        <v>5.3</v>
      </c>
      <c r="H2106" t="s">
        <v>19</v>
      </c>
      <c r="I2106" t="s">
        <v>22</v>
      </c>
      <c r="J2106" t="s">
        <v>27</v>
      </c>
      <c r="K2106">
        <v>15</v>
      </c>
      <c r="L2106" t="s">
        <v>29</v>
      </c>
    </row>
    <row r="2107" spans="1:12" x14ac:dyDescent="0.25">
      <c r="A2107">
        <v>2106</v>
      </c>
      <c r="B2107">
        <v>69</v>
      </c>
      <c r="C2107" t="s">
        <v>13</v>
      </c>
      <c r="D2107" t="s">
        <v>15</v>
      </c>
      <c r="E2107">
        <v>32.36</v>
      </c>
      <c r="F2107">
        <v>10.57</v>
      </c>
      <c r="G2107">
        <v>5.13</v>
      </c>
      <c r="H2107" t="s">
        <v>20</v>
      </c>
      <c r="I2107" t="s">
        <v>24</v>
      </c>
      <c r="J2107" t="s">
        <v>27</v>
      </c>
      <c r="K2107">
        <v>16</v>
      </c>
      <c r="L2107" t="s">
        <v>30</v>
      </c>
    </row>
    <row r="2108" spans="1:12" x14ac:dyDescent="0.25">
      <c r="A2108">
        <v>2107</v>
      </c>
      <c r="B2108">
        <v>21</v>
      </c>
      <c r="C2108" t="s">
        <v>12</v>
      </c>
      <c r="D2108" t="s">
        <v>14</v>
      </c>
      <c r="E2108">
        <v>40.35</v>
      </c>
      <c r="F2108">
        <v>5.55</v>
      </c>
      <c r="G2108">
        <v>2.71</v>
      </c>
      <c r="H2108" t="s">
        <v>21</v>
      </c>
      <c r="I2108" t="s">
        <v>23</v>
      </c>
      <c r="J2108" t="s">
        <v>26</v>
      </c>
      <c r="K2108">
        <v>19</v>
      </c>
      <c r="L2108" t="s">
        <v>29</v>
      </c>
    </row>
    <row r="2109" spans="1:12" x14ac:dyDescent="0.25">
      <c r="A2109">
        <v>2108</v>
      </c>
      <c r="B2109">
        <v>76</v>
      </c>
      <c r="C2109" t="s">
        <v>12</v>
      </c>
      <c r="D2109" t="s">
        <v>14</v>
      </c>
      <c r="E2109">
        <v>7.67</v>
      </c>
      <c r="F2109">
        <v>9.17</v>
      </c>
      <c r="G2109">
        <v>10.02</v>
      </c>
      <c r="H2109" t="s">
        <v>21</v>
      </c>
      <c r="I2109" t="s">
        <v>23</v>
      </c>
      <c r="J2109" t="s">
        <v>26</v>
      </c>
      <c r="K2109">
        <v>32</v>
      </c>
      <c r="L2109" t="s">
        <v>29</v>
      </c>
    </row>
    <row r="2110" spans="1:12" x14ac:dyDescent="0.25">
      <c r="A2110">
        <v>2109</v>
      </c>
      <c r="B2110">
        <v>25</v>
      </c>
      <c r="C2110" t="s">
        <v>13</v>
      </c>
      <c r="D2110" t="s">
        <v>17</v>
      </c>
      <c r="E2110">
        <v>8.2200000000000006</v>
      </c>
      <c r="F2110">
        <v>22.83</v>
      </c>
      <c r="G2110">
        <v>4.05</v>
      </c>
      <c r="H2110" t="s">
        <v>18</v>
      </c>
      <c r="I2110" t="s">
        <v>22</v>
      </c>
      <c r="J2110" t="s">
        <v>26</v>
      </c>
      <c r="K2110">
        <v>29</v>
      </c>
      <c r="L2110" t="s">
        <v>29</v>
      </c>
    </row>
    <row r="2111" spans="1:12" x14ac:dyDescent="0.25">
      <c r="A2111">
        <v>2110</v>
      </c>
      <c r="B2111">
        <v>37</v>
      </c>
      <c r="C2111" t="s">
        <v>12</v>
      </c>
      <c r="D2111" t="s">
        <v>17</v>
      </c>
      <c r="E2111">
        <v>20.11</v>
      </c>
      <c r="F2111">
        <v>13.92</v>
      </c>
      <c r="G2111">
        <v>31.45</v>
      </c>
      <c r="H2111" t="s">
        <v>21</v>
      </c>
      <c r="I2111" t="s">
        <v>22</v>
      </c>
      <c r="J2111" t="s">
        <v>28</v>
      </c>
      <c r="K2111">
        <v>27</v>
      </c>
      <c r="L2111" t="s">
        <v>29</v>
      </c>
    </row>
    <row r="2112" spans="1:12" x14ac:dyDescent="0.25">
      <c r="A2112">
        <v>2111</v>
      </c>
      <c r="B2112">
        <v>46</v>
      </c>
      <c r="C2112" t="s">
        <v>12</v>
      </c>
      <c r="D2112" t="s">
        <v>16</v>
      </c>
      <c r="E2112">
        <v>3.03</v>
      </c>
      <c r="F2112">
        <v>14.03</v>
      </c>
      <c r="G2112">
        <v>8.1</v>
      </c>
      <c r="H2112" t="s">
        <v>21</v>
      </c>
      <c r="I2112" t="s">
        <v>22</v>
      </c>
      <c r="J2112" t="s">
        <v>26</v>
      </c>
      <c r="K2112">
        <v>11</v>
      </c>
      <c r="L2112" t="s">
        <v>29</v>
      </c>
    </row>
    <row r="2113" spans="1:12" x14ac:dyDescent="0.25">
      <c r="A2113">
        <v>2112</v>
      </c>
      <c r="B2113">
        <v>71</v>
      </c>
      <c r="C2113" t="s">
        <v>13</v>
      </c>
      <c r="D2113" t="s">
        <v>17</v>
      </c>
      <c r="E2113">
        <v>8.5399999999999991</v>
      </c>
      <c r="F2113">
        <v>23.22</v>
      </c>
      <c r="G2113">
        <v>8.57</v>
      </c>
      <c r="H2113" t="s">
        <v>19</v>
      </c>
      <c r="I2113" t="s">
        <v>22</v>
      </c>
      <c r="J2113" t="s">
        <v>27</v>
      </c>
      <c r="K2113">
        <v>8</v>
      </c>
      <c r="L2113" t="s">
        <v>29</v>
      </c>
    </row>
    <row r="2114" spans="1:12" x14ac:dyDescent="0.25">
      <c r="A2114">
        <v>2113</v>
      </c>
      <c r="B2114">
        <v>70</v>
      </c>
      <c r="C2114" t="s">
        <v>12</v>
      </c>
      <c r="D2114" t="s">
        <v>14</v>
      </c>
      <c r="E2114">
        <v>36.49</v>
      </c>
      <c r="F2114">
        <v>25.09</v>
      </c>
      <c r="G2114">
        <v>7.63</v>
      </c>
      <c r="H2114" t="s">
        <v>20</v>
      </c>
      <c r="I2114" t="s">
        <v>22</v>
      </c>
      <c r="J2114" t="s">
        <v>26</v>
      </c>
      <c r="K2114">
        <v>28</v>
      </c>
      <c r="L2114" t="s">
        <v>29</v>
      </c>
    </row>
    <row r="2115" spans="1:12" x14ac:dyDescent="0.25">
      <c r="A2115">
        <v>2114</v>
      </c>
      <c r="B2115">
        <v>68</v>
      </c>
      <c r="C2115" t="s">
        <v>12</v>
      </c>
      <c r="D2115" t="s">
        <v>16</v>
      </c>
      <c r="E2115">
        <v>25.94</v>
      </c>
      <c r="F2115">
        <v>17.13</v>
      </c>
      <c r="G2115">
        <v>5.49</v>
      </c>
      <c r="H2115" t="s">
        <v>19</v>
      </c>
      <c r="I2115" t="s">
        <v>23</v>
      </c>
      <c r="J2115" t="s">
        <v>28</v>
      </c>
      <c r="K2115">
        <v>29</v>
      </c>
      <c r="L2115" t="s">
        <v>29</v>
      </c>
    </row>
    <row r="2116" spans="1:12" x14ac:dyDescent="0.25">
      <c r="A2116">
        <v>2115</v>
      </c>
      <c r="B2116">
        <v>62</v>
      </c>
      <c r="C2116" t="s">
        <v>12</v>
      </c>
      <c r="D2116" t="s">
        <v>16</v>
      </c>
      <c r="E2116">
        <v>15.98</v>
      </c>
      <c r="F2116">
        <v>34.76</v>
      </c>
      <c r="G2116">
        <v>18.489999999999998</v>
      </c>
      <c r="H2116" t="s">
        <v>20</v>
      </c>
      <c r="I2116" t="s">
        <v>22</v>
      </c>
      <c r="J2116" t="s">
        <v>26</v>
      </c>
      <c r="K2116">
        <v>33</v>
      </c>
      <c r="L2116" t="s">
        <v>29</v>
      </c>
    </row>
    <row r="2117" spans="1:12" x14ac:dyDescent="0.25">
      <c r="A2117">
        <v>2116</v>
      </c>
      <c r="B2117">
        <v>63</v>
      </c>
      <c r="C2117" t="s">
        <v>12</v>
      </c>
      <c r="D2117" t="s">
        <v>17</v>
      </c>
      <c r="E2117">
        <v>23.54</v>
      </c>
      <c r="F2117">
        <v>13.85</v>
      </c>
      <c r="G2117">
        <v>11.77</v>
      </c>
      <c r="H2117" t="s">
        <v>18</v>
      </c>
      <c r="I2117" t="s">
        <v>22</v>
      </c>
      <c r="J2117" t="s">
        <v>26</v>
      </c>
      <c r="K2117">
        <v>5</v>
      </c>
      <c r="L2117" t="s">
        <v>29</v>
      </c>
    </row>
    <row r="2118" spans="1:12" x14ac:dyDescent="0.25">
      <c r="A2118">
        <v>2117</v>
      </c>
      <c r="B2118">
        <v>27</v>
      </c>
      <c r="C2118" t="s">
        <v>12</v>
      </c>
      <c r="D2118" t="s">
        <v>17</v>
      </c>
      <c r="E2118">
        <v>27.07</v>
      </c>
      <c r="F2118">
        <v>17.09</v>
      </c>
      <c r="G2118">
        <v>2.1800000000000002</v>
      </c>
      <c r="H2118" t="s">
        <v>19</v>
      </c>
      <c r="I2118" t="s">
        <v>24</v>
      </c>
      <c r="J2118" t="s">
        <v>25</v>
      </c>
      <c r="K2118">
        <v>26</v>
      </c>
      <c r="L2118" t="s">
        <v>29</v>
      </c>
    </row>
    <row r="2119" spans="1:12" x14ac:dyDescent="0.25">
      <c r="A2119">
        <v>2118</v>
      </c>
      <c r="B2119">
        <v>60</v>
      </c>
      <c r="C2119" t="s">
        <v>13</v>
      </c>
      <c r="D2119" t="s">
        <v>14</v>
      </c>
      <c r="E2119">
        <v>5.66</v>
      </c>
      <c r="F2119">
        <v>19.75</v>
      </c>
      <c r="G2119">
        <v>2.11</v>
      </c>
      <c r="H2119" t="s">
        <v>20</v>
      </c>
      <c r="I2119" t="s">
        <v>22</v>
      </c>
      <c r="J2119" t="s">
        <v>28</v>
      </c>
      <c r="K2119">
        <v>17</v>
      </c>
      <c r="L2119" t="s">
        <v>29</v>
      </c>
    </row>
    <row r="2120" spans="1:12" x14ac:dyDescent="0.25">
      <c r="A2120">
        <v>2119</v>
      </c>
      <c r="B2120">
        <v>51</v>
      </c>
      <c r="C2120" t="s">
        <v>13</v>
      </c>
      <c r="D2120" t="s">
        <v>17</v>
      </c>
      <c r="E2120">
        <v>12.33</v>
      </c>
      <c r="F2120">
        <v>24.25</v>
      </c>
      <c r="G2120">
        <v>3.03</v>
      </c>
      <c r="H2120" t="s">
        <v>21</v>
      </c>
      <c r="I2120" t="s">
        <v>22</v>
      </c>
      <c r="J2120" t="s">
        <v>28</v>
      </c>
      <c r="K2120">
        <v>8</v>
      </c>
      <c r="L2120" t="s">
        <v>29</v>
      </c>
    </row>
    <row r="2121" spans="1:12" x14ac:dyDescent="0.25">
      <c r="A2121">
        <v>2120</v>
      </c>
      <c r="B2121">
        <v>74</v>
      </c>
      <c r="C2121" t="s">
        <v>13</v>
      </c>
      <c r="D2121" t="s">
        <v>16</v>
      </c>
      <c r="E2121">
        <v>39.51</v>
      </c>
      <c r="F2121">
        <v>4.58</v>
      </c>
      <c r="G2121">
        <v>3.55</v>
      </c>
      <c r="H2121" t="s">
        <v>20</v>
      </c>
      <c r="I2121" t="s">
        <v>22</v>
      </c>
      <c r="J2121" t="s">
        <v>25</v>
      </c>
      <c r="K2121">
        <v>13</v>
      </c>
      <c r="L2121" t="s">
        <v>30</v>
      </c>
    </row>
    <row r="2122" spans="1:12" x14ac:dyDescent="0.25">
      <c r="A2122">
        <v>2121</v>
      </c>
      <c r="B2122">
        <v>43</v>
      </c>
      <c r="C2122" t="s">
        <v>13</v>
      </c>
      <c r="D2122" t="s">
        <v>15</v>
      </c>
      <c r="E2122">
        <v>20.34</v>
      </c>
      <c r="F2122">
        <v>3.01</v>
      </c>
      <c r="G2122">
        <v>6.98</v>
      </c>
      <c r="H2122" t="s">
        <v>21</v>
      </c>
      <c r="I2122" t="s">
        <v>24</v>
      </c>
      <c r="J2122" t="s">
        <v>25</v>
      </c>
      <c r="K2122">
        <v>32</v>
      </c>
      <c r="L2122" t="s">
        <v>29</v>
      </c>
    </row>
    <row r="2123" spans="1:12" x14ac:dyDescent="0.25">
      <c r="A2123">
        <v>2122</v>
      </c>
      <c r="B2123">
        <v>58</v>
      </c>
      <c r="C2123" t="s">
        <v>13</v>
      </c>
      <c r="D2123" t="s">
        <v>16</v>
      </c>
      <c r="E2123">
        <v>21.13</v>
      </c>
      <c r="F2123">
        <v>3.47</v>
      </c>
      <c r="G2123">
        <v>16.57</v>
      </c>
      <c r="H2123" t="s">
        <v>18</v>
      </c>
      <c r="I2123" t="s">
        <v>24</v>
      </c>
      <c r="J2123" t="s">
        <v>25</v>
      </c>
      <c r="K2123">
        <v>31</v>
      </c>
      <c r="L2123" t="s">
        <v>29</v>
      </c>
    </row>
    <row r="2124" spans="1:12" x14ac:dyDescent="0.25">
      <c r="A2124">
        <v>2123</v>
      </c>
      <c r="B2124">
        <v>66</v>
      </c>
      <c r="C2124" t="s">
        <v>13</v>
      </c>
      <c r="D2124" t="s">
        <v>17</v>
      </c>
      <c r="E2124">
        <v>16.91</v>
      </c>
      <c r="F2124">
        <v>6.79</v>
      </c>
      <c r="G2124">
        <v>9.65</v>
      </c>
      <c r="H2124" t="s">
        <v>21</v>
      </c>
      <c r="I2124" t="s">
        <v>22</v>
      </c>
      <c r="J2124" t="s">
        <v>25</v>
      </c>
      <c r="K2124">
        <v>25</v>
      </c>
      <c r="L2124" t="s">
        <v>29</v>
      </c>
    </row>
    <row r="2125" spans="1:12" x14ac:dyDescent="0.25">
      <c r="A2125">
        <v>2124</v>
      </c>
      <c r="B2125">
        <v>75</v>
      </c>
      <c r="C2125" t="s">
        <v>12</v>
      </c>
      <c r="D2125" t="s">
        <v>15</v>
      </c>
      <c r="E2125">
        <v>3.87</v>
      </c>
      <c r="F2125">
        <v>20.22</v>
      </c>
      <c r="G2125">
        <v>2.88</v>
      </c>
      <c r="H2125" t="s">
        <v>20</v>
      </c>
      <c r="I2125" t="s">
        <v>22</v>
      </c>
      <c r="J2125" t="s">
        <v>27</v>
      </c>
      <c r="K2125">
        <v>5</v>
      </c>
      <c r="L2125" t="s">
        <v>29</v>
      </c>
    </row>
    <row r="2126" spans="1:12" x14ac:dyDescent="0.25">
      <c r="A2126">
        <v>2125</v>
      </c>
      <c r="B2126">
        <v>20</v>
      </c>
      <c r="C2126" t="s">
        <v>13</v>
      </c>
      <c r="D2126" t="s">
        <v>15</v>
      </c>
      <c r="E2126">
        <v>11.19</v>
      </c>
      <c r="F2126">
        <v>8.2799999999999994</v>
      </c>
      <c r="G2126">
        <v>4.59</v>
      </c>
      <c r="H2126" t="s">
        <v>19</v>
      </c>
      <c r="I2126" t="s">
        <v>23</v>
      </c>
      <c r="J2126" t="s">
        <v>26</v>
      </c>
      <c r="K2126">
        <v>28</v>
      </c>
      <c r="L2126" t="s">
        <v>29</v>
      </c>
    </row>
    <row r="2127" spans="1:12" x14ac:dyDescent="0.25">
      <c r="A2127">
        <v>2126</v>
      </c>
      <c r="B2127">
        <v>73</v>
      </c>
      <c r="C2127" t="s">
        <v>13</v>
      </c>
      <c r="D2127" t="s">
        <v>16</v>
      </c>
      <c r="E2127">
        <v>22.65</v>
      </c>
      <c r="F2127">
        <v>9.2200000000000006</v>
      </c>
      <c r="G2127">
        <v>1.97</v>
      </c>
      <c r="H2127" t="s">
        <v>20</v>
      </c>
      <c r="I2127" t="s">
        <v>22</v>
      </c>
      <c r="J2127" t="s">
        <v>25</v>
      </c>
      <c r="K2127">
        <v>16</v>
      </c>
      <c r="L2127" t="s">
        <v>30</v>
      </c>
    </row>
    <row r="2128" spans="1:12" x14ac:dyDescent="0.25">
      <c r="A2128">
        <v>2127</v>
      </c>
      <c r="B2128">
        <v>23</v>
      </c>
      <c r="C2128" t="s">
        <v>12</v>
      </c>
      <c r="D2128" t="s">
        <v>16</v>
      </c>
      <c r="E2128">
        <v>12.54</v>
      </c>
      <c r="F2128">
        <v>3.01</v>
      </c>
      <c r="G2128">
        <v>8.3000000000000007</v>
      </c>
      <c r="H2128" t="s">
        <v>19</v>
      </c>
      <c r="I2128" t="s">
        <v>22</v>
      </c>
      <c r="J2128" t="s">
        <v>26</v>
      </c>
      <c r="K2128">
        <v>21</v>
      </c>
      <c r="L2128" t="s">
        <v>29</v>
      </c>
    </row>
    <row r="2129" spans="1:12" x14ac:dyDescent="0.25">
      <c r="A2129">
        <v>2128</v>
      </c>
      <c r="B2129">
        <v>22</v>
      </c>
      <c r="C2129" t="s">
        <v>12</v>
      </c>
      <c r="D2129" t="s">
        <v>17</v>
      </c>
      <c r="E2129">
        <v>7.9</v>
      </c>
      <c r="F2129">
        <v>3.35</v>
      </c>
      <c r="G2129">
        <v>15.99</v>
      </c>
      <c r="H2129" t="s">
        <v>20</v>
      </c>
      <c r="I2129" t="s">
        <v>22</v>
      </c>
      <c r="J2129" t="s">
        <v>25</v>
      </c>
      <c r="K2129">
        <v>23</v>
      </c>
      <c r="L2129" t="s">
        <v>29</v>
      </c>
    </row>
    <row r="2130" spans="1:12" x14ac:dyDescent="0.25">
      <c r="A2130">
        <v>2129</v>
      </c>
      <c r="B2130">
        <v>22</v>
      </c>
      <c r="C2130" t="s">
        <v>13</v>
      </c>
      <c r="D2130" t="s">
        <v>15</v>
      </c>
      <c r="E2130">
        <v>8.75</v>
      </c>
      <c r="F2130">
        <v>6.61</v>
      </c>
      <c r="G2130">
        <v>30.52</v>
      </c>
      <c r="H2130" t="s">
        <v>20</v>
      </c>
      <c r="I2130" t="s">
        <v>23</v>
      </c>
      <c r="J2130" t="s">
        <v>27</v>
      </c>
      <c r="K2130">
        <v>23</v>
      </c>
      <c r="L2130" t="s">
        <v>29</v>
      </c>
    </row>
    <row r="2131" spans="1:12" x14ac:dyDescent="0.25">
      <c r="A2131">
        <v>2130</v>
      </c>
      <c r="B2131">
        <v>71</v>
      </c>
      <c r="C2131" t="s">
        <v>12</v>
      </c>
      <c r="D2131" t="s">
        <v>16</v>
      </c>
      <c r="E2131">
        <v>40</v>
      </c>
      <c r="F2131">
        <v>5.32</v>
      </c>
      <c r="G2131">
        <v>4.0999999999999996</v>
      </c>
      <c r="H2131" t="s">
        <v>18</v>
      </c>
      <c r="I2131" t="s">
        <v>22</v>
      </c>
      <c r="J2131" t="s">
        <v>26</v>
      </c>
      <c r="K2131">
        <v>11</v>
      </c>
      <c r="L2131" t="s">
        <v>29</v>
      </c>
    </row>
    <row r="2132" spans="1:12" x14ac:dyDescent="0.25">
      <c r="A2132">
        <v>2131</v>
      </c>
      <c r="B2132">
        <v>64</v>
      </c>
      <c r="C2132" t="s">
        <v>13</v>
      </c>
      <c r="D2132" t="s">
        <v>15</v>
      </c>
      <c r="E2132">
        <v>12.06</v>
      </c>
      <c r="F2132">
        <v>17.36</v>
      </c>
      <c r="G2132">
        <v>12.25</v>
      </c>
      <c r="H2132" t="s">
        <v>21</v>
      </c>
      <c r="I2132" t="s">
        <v>23</v>
      </c>
      <c r="J2132" t="s">
        <v>26</v>
      </c>
      <c r="K2132">
        <v>15</v>
      </c>
      <c r="L2132" t="s">
        <v>30</v>
      </c>
    </row>
    <row r="2133" spans="1:12" x14ac:dyDescent="0.25">
      <c r="A2133">
        <v>2132</v>
      </c>
      <c r="B2133">
        <v>40</v>
      </c>
      <c r="C2133" t="s">
        <v>12</v>
      </c>
      <c r="D2133" t="s">
        <v>17</v>
      </c>
      <c r="E2133">
        <v>35.25</v>
      </c>
      <c r="F2133">
        <v>2.99</v>
      </c>
      <c r="G2133">
        <v>26.5</v>
      </c>
      <c r="H2133" t="s">
        <v>20</v>
      </c>
      <c r="I2133" t="s">
        <v>22</v>
      </c>
      <c r="J2133" t="s">
        <v>26</v>
      </c>
      <c r="K2133">
        <v>26</v>
      </c>
      <c r="L2133" t="s">
        <v>29</v>
      </c>
    </row>
    <row r="2134" spans="1:12" x14ac:dyDescent="0.25">
      <c r="A2134">
        <v>2133</v>
      </c>
      <c r="B2134">
        <v>66</v>
      </c>
      <c r="C2134" t="s">
        <v>13</v>
      </c>
      <c r="D2134" t="s">
        <v>15</v>
      </c>
      <c r="E2134">
        <v>21.19</v>
      </c>
      <c r="F2134">
        <v>3.72</v>
      </c>
      <c r="G2134">
        <v>16.38</v>
      </c>
      <c r="H2134" t="s">
        <v>19</v>
      </c>
      <c r="I2134" t="s">
        <v>23</v>
      </c>
      <c r="J2134" t="s">
        <v>26</v>
      </c>
      <c r="K2134">
        <v>13</v>
      </c>
      <c r="L2134" t="s">
        <v>29</v>
      </c>
    </row>
    <row r="2135" spans="1:12" x14ac:dyDescent="0.25">
      <c r="A2135">
        <v>2134</v>
      </c>
      <c r="B2135">
        <v>26</v>
      </c>
      <c r="C2135" t="s">
        <v>12</v>
      </c>
      <c r="D2135" t="s">
        <v>15</v>
      </c>
      <c r="E2135">
        <v>14.75</v>
      </c>
      <c r="F2135">
        <v>12.56</v>
      </c>
      <c r="G2135">
        <v>15.21</v>
      </c>
      <c r="H2135" t="s">
        <v>21</v>
      </c>
      <c r="I2135" t="s">
        <v>22</v>
      </c>
      <c r="J2135" t="s">
        <v>26</v>
      </c>
      <c r="K2135">
        <v>31</v>
      </c>
      <c r="L2135" t="s">
        <v>29</v>
      </c>
    </row>
    <row r="2136" spans="1:12" x14ac:dyDescent="0.25">
      <c r="A2136">
        <v>2135</v>
      </c>
      <c r="B2136">
        <v>52</v>
      </c>
      <c r="C2136" t="s">
        <v>12</v>
      </c>
      <c r="D2136" t="s">
        <v>15</v>
      </c>
      <c r="E2136">
        <v>9.84</v>
      </c>
      <c r="F2136">
        <v>8.36</v>
      </c>
      <c r="G2136">
        <v>11.57</v>
      </c>
      <c r="H2136" t="s">
        <v>18</v>
      </c>
      <c r="I2136" t="s">
        <v>23</v>
      </c>
      <c r="J2136" t="s">
        <v>27</v>
      </c>
      <c r="K2136">
        <v>19</v>
      </c>
      <c r="L2136" t="s">
        <v>29</v>
      </c>
    </row>
    <row r="2137" spans="1:12" x14ac:dyDescent="0.25">
      <c r="A2137">
        <v>2136</v>
      </c>
      <c r="B2137">
        <v>37</v>
      </c>
      <c r="C2137" t="s">
        <v>13</v>
      </c>
      <c r="D2137" t="s">
        <v>17</v>
      </c>
      <c r="E2137">
        <v>26.38</v>
      </c>
      <c r="F2137">
        <v>7.82</v>
      </c>
      <c r="G2137">
        <v>21.75</v>
      </c>
      <c r="H2137" t="s">
        <v>21</v>
      </c>
      <c r="I2137" t="s">
        <v>23</v>
      </c>
      <c r="J2137" t="s">
        <v>25</v>
      </c>
      <c r="K2137">
        <v>28</v>
      </c>
      <c r="L2137" t="s">
        <v>29</v>
      </c>
    </row>
    <row r="2138" spans="1:12" x14ac:dyDescent="0.25">
      <c r="A2138">
        <v>2137</v>
      </c>
      <c r="B2138">
        <v>75</v>
      </c>
      <c r="C2138" t="s">
        <v>13</v>
      </c>
      <c r="D2138" t="s">
        <v>15</v>
      </c>
      <c r="E2138">
        <v>32.659999999999997</v>
      </c>
      <c r="F2138">
        <v>20.05</v>
      </c>
      <c r="G2138">
        <v>4.97</v>
      </c>
      <c r="H2138" t="s">
        <v>20</v>
      </c>
      <c r="I2138" t="s">
        <v>22</v>
      </c>
      <c r="J2138" t="s">
        <v>27</v>
      </c>
      <c r="K2138">
        <v>28</v>
      </c>
      <c r="L2138" t="s">
        <v>29</v>
      </c>
    </row>
    <row r="2139" spans="1:12" x14ac:dyDescent="0.25">
      <c r="A2139">
        <v>2138</v>
      </c>
      <c r="B2139">
        <v>66</v>
      </c>
      <c r="C2139" t="s">
        <v>13</v>
      </c>
      <c r="D2139" t="s">
        <v>17</v>
      </c>
      <c r="E2139">
        <v>27.98</v>
      </c>
      <c r="F2139">
        <v>8</v>
      </c>
      <c r="G2139">
        <v>12.5</v>
      </c>
      <c r="H2139" t="s">
        <v>19</v>
      </c>
      <c r="I2139" t="s">
        <v>23</v>
      </c>
      <c r="J2139" t="s">
        <v>26</v>
      </c>
      <c r="K2139">
        <v>14</v>
      </c>
      <c r="L2139" t="s">
        <v>29</v>
      </c>
    </row>
    <row r="2140" spans="1:12" x14ac:dyDescent="0.25">
      <c r="A2140">
        <v>2139</v>
      </c>
      <c r="B2140">
        <v>78</v>
      </c>
      <c r="C2140" t="s">
        <v>13</v>
      </c>
      <c r="D2140" t="s">
        <v>17</v>
      </c>
      <c r="E2140">
        <v>6.17</v>
      </c>
      <c r="F2140">
        <v>10.28</v>
      </c>
      <c r="G2140">
        <v>8</v>
      </c>
      <c r="H2140" t="s">
        <v>19</v>
      </c>
      <c r="I2140" t="s">
        <v>22</v>
      </c>
      <c r="J2140" t="s">
        <v>27</v>
      </c>
      <c r="K2140">
        <v>20</v>
      </c>
      <c r="L2140" t="s">
        <v>29</v>
      </c>
    </row>
    <row r="2141" spans="1:12" x14ac:dyDescent="0.25">
      <c r="A2141">
        <v>2140</v>
      </c>
      <c r="B2141">
        <v>76</v>
      </c>
      <c r="C2141" t="s">
        <v>13</v>
      </c>
      <c r="D2141" t="s">
        <v>17</v>
      </c>
      <c r="E2141">
        <v>12.04</v>
      </c>
      <c r="F2141">
        <v>6.67</v>
      </c>
      <c r="G2141">
        <v>5.67</v>
      </c>
      <c r="H2141" t="s">
        <v>21</v>
      </c>
      <c r="I2141" t="s">
        <v>24</v>
      </c>
      <c r="J2141" t="s">
        <v>25</v>
      </c>
      <c r="K2141">
        <v>11</v>
      </c>
      <c r="L2141" t="s">
        <v>29</v>
      </c>
    </row>
    <row r="2142" spans="1:12" x14ac:dyDescent="0.25">
      <c r="A2142">
        <v>2141</v>
      </c>
      <c r="B2142">
        <v>59</v>
      </c>
      <c r="C2142" t="s">
        <v>12</v>
      </c>
      <c r="D2142" t="s">
        <v>17</v>
      </c>
      <c r="E2142">
        <v>13.1</v>
      </c>
      <c r="F2142">
        <v>9.24</v>
      </c>
      <c r="G2142">
        <v>3.47</v>
      </c>
      <c r="H2142" t="s">
        <v>19</v>
      </c>
      <c r="I2142" t="s">
        <v>24</v>
      </c>
      <c r="J2142" t="s">
        <v>26</v>
      </c>
      <c r="K2142">
        <v>5</v>
      </c>
      <c r="L2142" t="s">
        <v>29</v>
      </c>
    </row>
    <row r="2143" spans="1:12" x14ac:dyDescent="0.25">
      <c r="A2143">
        <v>2142</v>
      </c>
      <c r="B2143">
        <v>52</v>
      </c>
      <c r="C2143" t="s">
        <v>13</v>
      </c>
      <c r="D2143" t="s">
        <v>14</v>
      </c>
      <c r="E2143">
        <v>3.17</v>
      </c>
      <c r="F2143">
        <v>17.77</v>
      </c>
      <c r="G2143">
        <v>30.34</v>
      </c>
      <c r="H2143" t="s">
        <v>20</v>
      </c>
      <c r="I2143" t="s">
        <v>23</v>
      </c>
      <c r="J2143" t="s">
        <v>25</v>
      </c>
      <c r="K2143">
        <v>12</v>
      </c>
      <c r="L2143" t="s">
        <v>30</v>
      </c>
    </row>
    <row r="2144" spans="1:12" x14ac:dyDescent="0.25">
      <c r="A2144">
        <v>2143</v>
      </c>
      <c r="B2144">
        <v>67</v>
      </c>
      <c r="C2144" t="s">
        <v>13</v>
      </c>
      <c r="D2144" t="s">
        <v>15</v>
      </c>
      <c r="E2144">
        <v>23.4</v>
      </c>
      <c r="F2144">
        <v>7.34</v>
      </c>
      <c r="G2144">
        <v>4.3499999999999996</v>
      </c>
      <c r="H2144" t="s">
        <v>19</v>
      </c>
      <c r="I2144" t="s">
        <v>24</v>
      </c>
      <c r="J2144" t="s">
        <v>28</v>
      </c>
      <c r="K2144">
        <v>4</v>
      </c>
      <c r="L2144" t="s">
        <v>29</v>
      </c>
    </row>
    <row r="2145" spans="1:12" x14ac:dyDescent="0.25">
      <c r="A2145">
        <v>2144</v>
      </c>
      <c r="B2145">
        <v>35</v>
      </c>
      <c r="C2145" t="s">
        <v>12</v>
      </c>
      <c r="D2145" t="s">
        <v>17</v>
      </c>
      <c r="E2145">
        <v>25.54</v>
      </c>
      <c r="F2145">
        <v>11.5</v>
      </c>
      <c r="G2145">
        <v>10.52</v>
      </c>
      <c r="H2145" t="s">
        <v>19</v>
      </c>
      <c r="I2145" t="s">
        <v>23</v>
      </c>
      <c r="J2145" t="s">
        <v>26</v>
      </c>
      <c r="K2145">
        <v>10</v>
      </c>
      <c r="L2145" t="s">
        <v>29</v>
      </c>
    </row>
    <row r="2146" spans="1:12" x14ac:dyDescent="0.25">
      <c r="A2146">
        <v>2145</v>
      </c>
      <c r="B2146">
        <v>79</v>
      </c>
      <c r="C2146" t="s">
        <v>12</v>
      </c>
      <c r="D2146" t="s">
        <v>15</v>
      </c>
      <c r="E2146">
        <v>24.99</v>
      </c>
      <c r="F2146">
        <v>7.42</v>
      </c>
      <c r="G2146">
        <v>12.75</v>
      </c>
      <c r="H2146" t="s">
        <v>19</v>
      </c>
      <c r="I2146" t="s">
        <v>24</v>
      </c>
      <c r="J2146" t="s">
        <v>25</v>
      </c>
      <c r="K2146">
        <v>20</v>
      </c>
      <c r="L2146" t="s">
        <v>30</v>
      </c>
    </row>
    <row r="2147" spans="1:12" x14ac:dyDescent="0.25">
      <c r="A2147">
        <v>2146</v>
      </c>
      <c r="B2147">
        <v>34</v>
      </c>
      <c r="C2147" t="s">
        <v>13</v>
      </c>
      <c r="D2147" t="s">
        <v>15</v>
      </c>
      <c r="E2147">
        <v>22.44</v>
      </c>
      <c r="F2147">
        <v>1.1399999999999999</v>
      </c>
      <c r="G2147">
        <v>3.17</v>
      </c>
      <c r="H2147" t="s">
        <v>20</v>
      </c>
      <c r="I2147" t="s">
        <v>22</v>
      </c>
      <c r="J2147" t="s">
        <v>27</v>
      </c>
      <c r="K2147">
        <v>33</v>
      </c>
      <c r="L2147" t="s">
        <v>29</v>
      </c>
    </row>
    <row r="2148" spans="1:12" x14ac:dyDescent="0.25">
      <c r="A2148">
        <v>2147</v>
      </c>
      <c r="B2148">
        <v>41</v>
      </c>
      <c r="C2148" t="s">
        <v>12</v>
      </c>
      <c r="D2148" t="s">
        <v>17</v>
      </c>
      <c r="E2148">
        <v>13.91</v>
      </c>
      <c r="F2148">
        <v>5.46</v>
      </c>
      <c r="G2148">
        <v>13.64</v>
      </c>
      <c r="H2148" t="s">
        <v>18</v>
      </c>
      <c r="I2148" t="s">
        <v>23</v>
      </c>
      <c r="J2148" t="s">
        <v>26</v>
      </c>
      <c r="K2148">
        <v>16</v>
      </c>
      <c r="L2148" t="s">
        <v>29</v>
      </c>
    </row>
    <row r="2149" spans="1:12" x14ac:dyDescent="0.25">
      <c r="A2149">
        <v>2148</v>
      </c>
      <c r="B2149">
        <v>20</v>
      </c>
      <c r="C2149" t="s">
        <v>12</v>
      </c>
      <c r="D2149" t="s">
        <v>17</v>
      </c>
      <c r="E2149">
        <v>9.5500000000000007</v>
      </c>
      <c r="F2149">
        <v>6.52</v>
      </c>
      <c r="G2149">
        <v>23.21</v>
      </c>
      <c r="H2149" t="s">
        <v>19</v>
      </c>
      <c r="I2149" t="s">
        <v>23</v>
      </c>
      <c r="J2149" t="s">
        <v>25</v>
      </c>
      <c r="K2149">
        <v>35</v>
      </c>
      <c r="L2149" t="s">
        <v>30</v>
      </c>
    </row>
    <row r="2150" spans="1:12" x14ac:dyDescent="0.25">
      <c r="A2150">
        <v>2149</v>
      </c>
      <c r="B2150">
        <v>49</v>
      </c>
      <c r="C2150" t="s">
        <v>13</v>
      </c>
      <c r="D2150" t="s">
        <v>14</v>
      </c>
      <c r="E2150">
        <v>13.87</v>
      </c>
      <c r="F2150">
        <v>10.210000000000001</v>
      </c>
      <c r="G2150">
        <v>15.35</v>
      </c>
      <c r="H2150" t="s">
        <v>18</v>
      </c>
      <c r="I2150" t="s">
        <v>23</v>
      </c>
      <c r="J2150" t="s">
        <v>26</v>
      </c>
      <c r="K2150">
        <v>31</v>
      </c>
      <c r="L2150" t="s">
        <v>29</v>
      </c>
    </row>
    <row r="2151" spans="1:12" x14ac:dyDescent="0.25">
      <c r="A2151">
        <v>2150</v>
      </c>
      <c r="B2151">
        <v>52</v>
      </c>
      <c r="C2151" t="s">
        <v>12</v>
      </c>
      <c r="D2151" t="s">
        <v>17</v>
      </c>
      <c r="E2151">
        <v>21.3</v>
      </c>
      <c r="F2151">
        <v>15.32</v>
      </c>
      <c r="G2151">
        <v>8.6999999999999993</v>
      </c>
      <c r="H2151" t="s">
        <v>21</v>
      </c>
      <c r="I2151" t="s">
        <v>22</v>
      </c>
      <c r="J2151" t="s">
        <v>26</v>
      </c>
      <c r="K2151">
        <v>35</v>
      </c>
      <c r="L2151" t="s">
        <v>30</v>
      </c>
    </row>
    <row r="2152" spans="1:12" x14ac:dyDescent="0.25">
      <c r="A2152">
        <v>2151</v>
      </c>
      <c r="B2152">
        <v>55</v>
      </c>
      <c r="C2152" t="s">
        <v>12</v>
      </c>
      <c r="D2152" t="s">
        <v>14</v>
      </c>
      <c r="E2152">
        <v>37.25</v>
      </c>
      <c r="F2152">
        <v>8.6</v>
      </c>
      <c r="G2152">
        <v>9.98</v>
      </c>
      <c r="H2152" t="s">
        <v>21</v>
      </c>
      <c r="I2152" t="s">
        <v>23</v>
      </c>
      <c r="J2152" t="s">
        <v>25</v>
      </c>
      <c r="K2152">
        <v>4</v>
      </c>
      <c r="L2152" t="s">
        <v>29</v>
      </c>
    </row>
    <row r="2153" spans="1:12" x14ac:dyDescent="0.25">
      <c r="A2153">
        <v>2152</v>
      </c>
      <c r="B2153">
        <v>30</v>
      </c>
      <c r="C2153" t="s">
        <v>13</v>
      </c>
      <c r="D2153" t="s">
        <v>15</v>
      </c>
      <c r="E2153">
        <v>18.27</v>
      </c>
      <c r="F2153">
        <v>7.22</v>
      </c>
      <c r="G2153">
        <v>8.26</v>
      </c>
      <c r="H2153" t="s">
        <v>20</v>
      </c>
      <c r="I2153" t="s">
        <v>22</v>
      </c>
      <c r="J2153" t="s">
        <v>26</v>
      </c>
      <c r="K2153">
        <v>34</v>
      </c>
      <c r="L2153" t="s">
        <v>29</v>
      </c>
    </row>
    <row r="2154" spans="1:12" x14ac:dyDescent="0.25">
      <c r="A2154">
        <v>2153</v>
      </c>
      <c r="B2154">
        <v>73</v>
      </c>
      <c r="C2154" t="s">
        <v>13</v>
      </c>
      <c r="D2154" t="s">
        <v>15</v>
      </c>
      <c r="E2154">
        <v>17.86</v>
      </c>
      <c r="F2154">
        <v>12.14</v>
      </c>
      <c r="G2154">
        <v>6.04</v>
      </c>
      <c r="H2154" t="s">
        <v>20</v>
      </c>
      <c r="I2154" t="s">
        <v>22</v>
      </c>
      <c r="J2154" t="s">
        <v>25</v>
      </c>
      <c r="K2154">
        <v>25</v>
      </c>
      <c r="L2154" t="s">
        <v>29</v>
      </c>
    </row>
    <row r="2155" spans="1:12" x14ac:dyDescent="0.25">
      <c r="A2155">
        <v>2154</v>
      </c>
      <c r="B2155">
        <v>78</v>
      </c>
      <c r="C2155" t="s">
        <v>12</v>
      </c>
      <c r="D2155" t="s">
        <v>15</v>
      </c>
      <c r="E2155">
        <v>3.46</v>
      </c>
      <c r="F2155">
        <v>9.85</v>
      </c>
      <c r="G2155">
        <v>3.98</v>
      </c>
      <c r="H2155" t="s">
        <v>20</v>
      </c>
      <c r="I2155" t="s">
        <v>24</v>
      </c>
      <c r="J2155" t="s">
        <v>26</v>
      </c>
      <c r="K2155">
        <v>7</v>
      </c>
      <c r="L2155" t="s">
        <v>29</v>
      </c>
    </row>
    <row r="2156" spans="1:12" x14ac:dyDescent="0.25">
      <c r="A2156">
        <v>2155</v>
      </c>
      <c r="B2156">
        <v>64</v>
      </c>
      <c r="C2156" t="s">
        <v>12</v>
      </c>
      <c r="D2156" t="s">
        <v>15</v>
      </c>
      <c r="E2156">
        <v>22.22</v>
      </c>
      <c r="F2156">
        <v>2.97</v>
      </c>
      <c r="G2156">
        <v>6.81</v>
      </c>
      <c r="H2156" t="s">
        <v>20</v>
      </c>
      <c r="I2156" t="s">
        <v>24</v>
      </c>
      <c r="J2156" t="s">
        <v>26</v>
      </c>
      <c r="K2156">
        <v>18</v>
      </c>
      <c r="L2156" t="s">
        <v>30</v>
      </c>
    </row>
    <row r="2157" spans="1:12" x14ac:dyDescent="0.25">
      <c r="A2157">
        <v>2156</v>
      </c>
      <c r="B2157">
        <v>42</v>
      </c>
      <c r="C2157" t="s">
        <v>13</v>
      </c>
      <c r="D2157" t="s">
        <v>17</v>
      </c>
      <c r="E2157">
        <v>38.9</v>
      </c>
      <c r="F2157">
        <v>25.57</v>
      </c>
      <c r="G2157">
        <v>10.92</v>
      </c>
      <c r="H2157" t="s">
        <v>18</v>
      </c>
      <c r="I2157" t="s">
        <v>23</v>
      </c>
      <c r="J2157" t="s">
        <v>26</v>
      </c>
      <c r="K2157">
        <v>26</v>
      </c>
      <c r="L2157" t="s">
        <v>29</v>
      </c>
    </row>
    <row r="2158" spans="1:12" x14ac:dyDescent="0.25">
      <c r="A2158">
        <v>2157</v>
      </c>
      <c r="B2158">
        <v>26</v>
      </c>
      <c r="C2158" t="s">
        <v>12</v>
      </c>
      <c r="D2158" t="s">
        <v>16</v>
      </c>
      <c r="E2158">
        <v>16.07</v>
      </c>
      <c r="F2158">
        <v>7.65</v>
      </c>
      <c r="G2158">
        <v>23.89</v>
      </c>
      <c r="H2158" t="s">
        <v>20</v>
      </c>
      <c r="I2158" t="s">
        <v>22</v>
      </c>
      <c r="J2158" t="s">
        <v>26</v>
      </c>
      <c r="K2158">
        <v>30</v>
      </c>
      <c r="L2158" t="s">
        <v>30</v>
      </c>
    </row>
    <row r="2159" spans="1:12" x14ac:dyDescent="0.25">
      <c r="A2159">
        <v>2158</v>
      </c>
      <c r="B2159">
        <v>21</v>
      </c>
      <c r="C2159" t="s">
        <v>12</v>
      </c>
      <c r="D2159" t="s">
        <v>15</v>
      </c>
      <c r="E2159">
        <v>15.25</v>
      </c>
      <c r="F2159">
        <v>9.85</v>
      </c>
      <c r="G2159">
        <v>7.74</v>
      </c>
      <c r="H2159" t="s">
        <v>18</v>
      </c>
      <c r="I2159" t="s">
        <v>24</v>
      </c>
      <c r="J2159" t="s">
        <v>26</v>
      </c>
      <c r="K2159">
        <v>27</v>
      </c>
      <c r="L2159" t="s">
        <v>29</v>
      </c>
    </row>
    <row r="2160" spans="1:12" x14ac:dyDescent="0.25">
      <c r="A2160">
        <v>2159</v>
      </c>
      <c r="B2160">
        <v>31</v>
      </c>
      <c r="C2160" t="s">
        <v>12</v>
      </c>
      <c r="D2160" t="s">
        <v>14</v>
      </c>
      <c r="E2160">
        <v>13.28</v>
      </c>
      <c r="F2160">
        <v>2.39</v>
      </c>
      <c r="G2160">
        <v>7.94</v>
      </c>
      <c r="H2160" t="s">
        <v>19</v>
      </c>
      <c r="I2160" t="s">
        <v>24</v>
      </c>
      <c r="J2160" t="s">
        <v>27</v>
      </c>
      <c r="K2160">
        <v>9</v>
      </c>
      <c r="L2160" t="s">
        <v>29</v>
      </c>
    </row>
    <row r="2161" spans="1:12" x14ac:dyDescent="0.25">
      <c r="A2161">
        <v>2160</v>
      </c>
      <c r="B2161">
        <v>54</v>
      </c>
      <c r="C2161" t="s">
        <v>13</v>
      </c>
      <c r="D2161" t="s">
        <v>14</v>
      </c>
      <c r="E2161">
        <v>26.94</v>
      </c>
      <c r="F2161">
        <v>20.88</v>
      </c>
      <c r="G2161">
        <v>5.8</v>
      </c>
      <c r="H2161" t="s">
        <v>19</v>
      </c>
      <c r="I2161" t="s">
        <v>23</v>
      </c>
      <c r="J2161" t="s">
        <v>27</v>
      </c>
      <c r="K2161">
        <v>9</v>
      </c>
      <c r="L2161" t="s">
        <v>29</v>
      </c>
    </row>
    <row r="2162" spans="1:12" x14ac:dyDescent="0.25">
      <c r="A2162">
        <v>2161</v>
      </c>
      <c r="B2162">
        <v>51</v>
      </c>
      <c r="C2162" t="s">
        <v>12</v>
      </c>
      <c r="D2162" t="s">
        <v>15</v>
      </c>
      <c r="E2162">
        <v>3.3</v>
      </c>
      <c r="F2162">
        <v>6.85</v>
      </c>
      <c r="G2162">
        <v>25.86</v>
      </c>
      <c r="H2162" t="s">
        <v>21</v>
      </c>
      <c r="I2162" t="s">
        <v>23</v>
      </c>
      <c r="J2162" t="s">
        <v>27</v>
      </c>
      <c r="K2162">
        <v>24</v>
      </c>
      <c r="L2162" t="s">
        <v>30</v>
      </c>
    </row>
    <row r="2163" spans="1:12" x14ac:dyDescent="0.25">
      <c r="A2163">
        <v>2162</v>
      </c>
      <c r="B2163">
        <v>28</v>
      </c>
      <c r="C2163" t="s">
        <v>12</v>
      </c>
      <c r="D2163" t="s">
        <v>15</v>
      </c>
      <c r="E2163">
        <v>35.270000000000003</v>
      </c>
      <c r="F2163">
        <v>27.42</v>
      </c>
      <c r="G2163">
        <v>8.89</v>
      </c>
      <c r="H2163" t="s">
        <v>21</v>
      </c>
      <c r="I2163" t="s">
        <v>23</v>
      </c>
      <c r="J2163" t="s">
        <v>26</v>
      </c>
      <c r="K2163">
        <v>24</v>
      </c>
      <c r="L2163" t="s">
        <v>30</v>
      </c>
    </row>
    <row r="2164" spans="1:12" x14ac:dyDescent="0.25">
      <c r="A2164">
        <v>2163</v>
      </c>
      <c r="B2164">
        <v>58</v>
      </c>
      <c r="C2164" t="s">
        <v>13</v>
      </c>
      <c r="D2164" t="s">
        <v>15</v>
      </c>
      <c r="E2164">
        <v>14.8</v>
      </c>
      <c r="F2164">
        <v>9.48</v>
      </c>
      <c r="G2164">
        <v>15.33</v>
      </c>
      <c r="H2164" t="s">
        <v>18</v>
      </c>
      <c r="I2164" t="s">
        <v>23</v>
      </c>
      <c r="J2164" t="s">
        <v>27</v>
      </c>
      <c r="K2164">
        <v>29</v>
      </c>
      <c r="L2164" t="s">
        <v>29</v>
      </c>
    </row>
    <row r="2165" spans="1:12" x14ac:dyDescent="0.25">
      <c r="A2165">
        <v>2164</v>
      </c>
      <c r="B2165">
        <v>73</v>
      </c>
      <c r="C2165" t="s">
        <v>12</v>
      </c>
      <c r="D2165" t="s">
        <v>15</v>
      </c>
      <c r="E2165">
        <v>22.48</v>
      </c>
      <c r="F2165">
        <v>14.67</v>
      </c>
      <c r="G2165">
        <v>13.36</v>
      </c>
      <c r="H2165" t="s">
        <v>20</v>
      </c>
      <c r="I2165" t="s">
        <v>23</v>
      </c>
      <c r="J2165" t="s">
        <v>27</v>
      </c>
      <c r="K2165">
        <v>35</v>
      </c>
      <c r="L2165" t="s">
        <v>30</v>
      </c>
    </row>
    <row r="2166" spans="1:12" x14ac:dyDescent="0.25">
      <c r="A2166">
        <v>2165</v>
      </c>
      <c r="B2166">
        <v>20</v>
      </c>
      <c r="C2166" t="s">
        <v>12</v>
      </c>
      <c r="D2166" t="s">
        <v>15</v>
      </c>
      <c r="E2166">
        <v>28.27</v>
      </c>
      <c r="F2166">
        <v>7.37</v>
      </c>
      <c r="G2166">
        <v>16.100000000000001</v>
      </c>
      <c r="H2166" t="s">
        <v>21</v>
      </c>
      <c r="I2166" t="s">
        <v>22</v>
      </c>
      <c r="J2166" t="s">
        <v>26</v>
      </c>
      <c r="K2166">
        <v>34</v>
      </c>
      <c r="L2166" t="s">
        <v>29</v>
      </c>
    </row>
    <row r="2167" spans="1:12" x14ac:dyDescent="0.25">
      <c r="A2167">
        <v>2166</v>
      </c>
      <c r="B2167">
        <v>76</v>
      </c>
      <c r="C2167" t="s">
        <v>13</v>
      </c>
      <c r="D2167" t="s">
        <v>17</v>
      </c>
      <c r="E2167">
        <v>8.66</v>
      </c>
      <c r="F2167">
        <v>3.19</v>
      </c>
      <c r="G2167">
        <v>16.14</v>
      </c>
      <c r="H2167" t="s">
        <v>18</v>
      </c>
      <c r="I2167" t="s">
        <v>22</v>
      </c>
      <c r="J2167" t="s">
        <v>26</v>
      </c>
      <c r="K2167">
        <v>34</v>
      </c>
      <c r="L2167" t="s">
        <v>30</v>
      </c>
    </row>
    <row r="2168" spans="1:12" x14ac:dyDescent="0.25">
      <c r="A2168">
        <v>2167</v>
      </c>
      <c r="B2168">
        <v>45</v>
      </c>
      <c r="C2168" t="s">
        <v>13</v>
      </c>
      <c r="D2168" t="s">
        <v>15</v>
      </c>
      <c r="E2168">
        <v>17.100000000000001</v>
      </c>
      <c r="F2168">
        <v>13.24</v>
      </c>
      <c r="G2168">
        <v>7.99</v>
      </c>
      <c r="H2168" t="s">
        <v>21</v>
      </c>
      <c r="I2168" t="s">
        <v>22</v>
      </c>
      <c r="J2168" t="s">
        <v>26</v>
      </c>
      <c r="K2168">
        <v>3</v>
      </c>
      <c r="L2168" t="s">
        <v>29</v>
      </c>
    </row>
    <row r="2169" spans="1:12" x14ac:dyDescent="0.25">
      <c r="A2169">
        <v>2168</v>
      </c>
      <c r="B2169">
        <v>46</v>
      </c>
      <c r="C2169" t="s">
        <v>13</v>
      </c>
      <c r="D2169" t="s">
        <v>17</v>
      </c>
      <c r="E2169">
        <v>14.58</v>
      </c>
      <c r="F2169">
        <v>13.14</v>
      </c>
      <c r="G2169">
        <v>6.35</v>
      </c>
      <c r="H2169" t="s">
        <v>20</v>
      </c>
      <c r="I2169" t="s">
        <v>22</v>
      </c>
      <c r="J2169" t="s">
        <v>26</v>
      </c>
      <c r="K2169">
        <v>12</v>
      </c>
      <c r="L2169" t="s">
        <v>29</v>
      </c>
    </row>
    <row r="2170" spans="1:12" x14ac:dyDescent="0.25">
      <c r="A2170">
        <v>2169</v>
      </c>
      <c r="B2170">
        <v>26</v>
      </c>
      <c r="C2170" t="s">
        <v>13</v>
      </c>
      <c r="D2170" t="s">
        <v>14</v>
      </c>
      <c r="E2170">
        <v>7.11</v>
      </c>
      <c r="F2170">
        <v>0.85</v>
      </c>
      <c r="G2170">
        <v>25.82</v>
      </c>
      <c r="H2170" t="s">
        <v>18</v>
      </c>
      <c r="I2170" t="s">
        <v>23</v>
      </c>
      <c r="J2170" t="s">
        <v>27</v>
      </c>
      <c r="K2170">
        <v>6</v>
      </c>
      <c r="L2170" t="s">
        <v>29</v>
      </c>
    </row>
    <row r="2171" spans="1:12" x14ac:dyDescent="0.25">
      <c r="A2171">
        <v>2170</v>
      </c>
      <c r="B2171">
        <v>20</v>
      </c>
      <c r="C2171" t="s">
        <v>12</v>
      </c>
      <c r="D2171" t="s">
        <v>16</v>
      </c>
      <c r="E2171">
        <v>32.5</v>
      </c>
      <c r="F2171">
        <v>2.89</v>
      </c>
      <c r="G2171">
        <v>6.29</v>
      </c>
      <c r="H2171" t="s">
        <v>21</v>
      </c>
      <c r="I2171" t="s">
        <v>24</v>
      </c>
      <c r="J2171" t="s">
        <v>25</v>
      </c>
      <c r="K2171">
        <v>31</v>
      </c>
      <c r="L2171" t="s">
        <v>29</v>
      </c>
    </row>
    <row r="2172" spans="1:12" x14ac:dyDescent="0.25">
      <c r="A2172">
        <v>2171</v>
      </c>
      <c r="B2172">
        <v>42</v>
      </c>
      <c r="C2172" t="s">
        <v>12</v>
      </c>
      <c r="D2172" t="s">
        <v>14</v>
      </c>
      <c r="E2172">
        <v>13.77</v>
      </c>
      <c r="F2172">
        <v>20.57</v>
      </c>
      <c r="G2172">
        <v>9.83</v>
      </c>
      <c r="H2172" t="s">
        <v>20</v>
      </c>
      <c r="I2172" t="s">
        <v>24</v>
      </c>
      <c r="J2172" t="s">
        <v>25</v>
      </c>
      <c r="K2172">
        <v>9</v>
      </c>
      <c r="L2172" t="s">
        <v>29</v>
      </c>
    </row>
    <row r="2173" spans="1:12" x14ac:dyDescent="0.25">
      <c r="A2173">
        <v>2172</v>
      </c>
      <c r="B2173">
        <v>51</v>
      </c>
      <c r="C2173" t="s">
        <v>13</v>
      </c>
      <c r="D2173" t="s">
        <v>15</v>
      </c>
      <c r="E2173">
        <v>6.88</v>
      </c>
      <c r="F2173">
        <v>6.88</v>
      </c>
      <c r="G2173">
        <v>5.39</v>
      </c>
      <c r="H2173" t="s">
        <v>18</v>
      </c>
      <c r="I2173" t="s">
        <v>22</v>
      </c>
      <c r="J2173" t="s">
        <v>26</v>
      </c>
      <c r="K2173">
        <v>8</v>
      </c>
      <c r="L2173" t="s">
        <v>30</v>
      </c>
    </row>
    <row r="2174" spans="1:12" x14ac:dyDescent="0.25">
      <c r="A2174">
        <v>2173</v>
      </c>
      <c r="B2174">
        <v>29</v>
      </c>
      <c r="C2174" t="s">
        <v>13</v>
      </c>
      <c r="D2174" t="s">
        <v>17</v>
      </c>
      <c r="E2174">
        <v>17.809999999999999</v>
      </c>
      <c r="F2174">
        <v>15.97</v>
      </c>
      <c r="G2174">
        <v>15.76</v>
      </c>
      <c r="H2174" t="s">
        <v>18</v>
      </c>
      <c r="I2174" t="s">
        <v>24</v>
      </c>
      <c r="J2174" t="s">
        <v>26</v>
      </c>
      <c r="K2174">
        <v>13</v>
      </c>
      <c r="L2174" t="s">
        <v>29</v>
      </c>
    </row>
    <row r="2175" spans="1:12" x14ac:dyDescent="0.25">
      <c r="A2175">
        <v>2174</v>
      </c>
      <c r="B2175">
        <v>59</v>
      </c>
      <c r="C2175" t="s">
        <v>12</v>
      </c>
      <c r="D2175" t="s">
        <v>17</v>
      </c>
      <c r="E2175">
        <v>5.4</v>
      </c>
      <c r="F2175">
        <v>36.19</v>
      </c>
      <c r="G2175">
        <v>7.55</v>
      </c>
      <c r="H2175" t="s">
        <v>18</v>
      </c>
      <c r="I2175" t="s">
        <v>23</v>
      </c>
      <c r="J2175" t="s">
        <v>26</v>
      </c>
      <c r="K2175">
        <v>11</v>
      </c>
      <c r="L2175" t="s">
        <v>30</v>
      </c>
    </row>
    <row r="2176" spans="1:12" x14ac:dyDescent="0.25">
      <c r="A2176">
        <v>2175</v>
      </c>
      <c r="B2176">
        <v>26</v>
      </c>
      <c r="C2176" t="s">
        <v>13</v>
      </c>
      <c r="D2176" t="s">
        <v>15</v>
      </c>
      <c r="E2176">
        <v>12.55</v>
      </c>
      <c r="F2176">
        <v>13.74</v>
      </c>
      <c r="G2176">
        <v>5.9</v>
      </c>
      <c r="H2176" t="s">
        <v>19</v>
      </c>
      <c r="I2176" t="s">
        <v>22</v>
      </c>
      <c r="J2176" t="s">
        <v>28</v>
      </c>
      <c r="K2176">
        <v>32</v>
      </c>
      <c r="L2176" t="s">
        <v>29</v>
      </c>
    </row>
    <row r="2177" spans="1:12" x14ac:dyDescent="0.25">
      <c r="A2177">
        <v>2176</v>
      </c>
      <c r="B2177">
        <v>32</v>
      </c>
      <c r="C2177" t="s">
        <v>12</v>
      </c>
      <c r="D2177" t="s">
        <v>15</v>
      </c>
      <c r="E2177">
        <v>21.03</v>
      </c>
      <c r="F2177">
        <v>9.6</v>
      </c>
      <c r="G2177">
        <v>10.23</v>
      </c>
      <c r="H2177" t="s">
        <v>18</v>
      </c>
      <c r="I2177" t="s">
        <v>23</v>
      </c>
      <c r="J2177" t="s">
        <v>26</v>
      </c>
      <c r="K2177">
        <v>24</v>
      </c>
      <c r="L2177" t="s">
        <v>29</v>
      </c>
    </row>
    <row r="2178" spans="1:12" x14ac:dyDescent="0.25">
      <c r="A2178">
        <v>2177</v>
      </c>
      <c r="B2178">
        <v>57</v>
      </c>
      <c r="C2178" t="s">
        <v>13</v>
      </c>
      <c r="D2178" t="s">
        <v>16</v>
      </c>
      <c r="E2178">
        <v>4.92</v>
      </c>
      <c r="F2178">
        <v>5.4</v>
      </c>
      <c r="G2178">
        <v>22.02</v>
      </c>
      <c r="H2178" t="s">
        <v>21</v>
      </c>
      <c r="I2178" t="s">
        <v>23</v>
      </c>
      <c r="J2178" t="s">
        <v>27</v>
      </c>
      <c r="K2178">
        <v>11</v>
      </c>
      <c r="L2178" t="s">
        <v>29</v>
      </c>
    </row>
    <row r="2179" spans="1:12" x14ac:dyDescent="0.25">
      <c r="A2179">
        <v>2178</v>
      </c>
      <c r="B2179">
        <v>42</v>
      </c>
      <c r="C2179" t="s">
        <v>12</v>
      </c>
      <c r="D2179" t="s">
        <v>16</v>
      </c>
      <c r="E2179">
        <v>25.87</v>
      </c>
      <c r="F2179">
        <v>12.17</v>
      </c>
      <c r="G2179">
        <v>5.26</v>
      </c>
      <c r="H2179" t="s">
        <v>18</v>
      </c>
      <c r="I2179" t="s">
        <v>23</v>
      </c>
      <c r="J2179" t="s">
        <v>26</v>
      </c>
      <c r="K2179">
        <v>35</v>
      </c>
      <c r="L2179" t="s">
        <v>29</v>
      </c>
    </row>
    <row r="2180" spans="1:12" x14ac:dyDescent="0.25">
      <c r="A2180">
        <v>2179</v>
      </c>
      <c r="B2180">
        <v>22</v>
      </c>
      <c r="C2180" t="s">
        <v>13</v>
      </c>
      <c r="D2180" t="s">
        <v>17</v>
      </c>
      <c r="E2180">
        <v>18.43</v>
      </c>
      <c r="F2180">
        <v>13.2</v>
      </c>
      <c r="G2180">
        <v>17.100000000000001</v>
      </c>
      <c r="H2180" t="s">
        <v>18</v>
      </c>
      <c r="I2180" t="s">
        <v>22</v>
      </c>
      <c r="J2180" t="s">
        <v>25</v>
      </c>
      <c r="K2180">
        <v>28</v>
      </c>
      <c r="L2180" t="s">
        <v>30</v>
      </c>
    </row>
    <row r="2181" spans="1:12" x14ac:dyDescent="0.25">
      <c r="A2181">
        <v>2180</v>
      </c>
      <c r="B2181">
        <v>28</v>
      </c>
      <c r="C2181" t="s">
        <v>13</v>
      </c>
      <c r="D2181" t="s">
        <v>17</v>
      </c>
      <c r="E2181">
        <v>28.37</v>
      </c>
      <c r="F2181">
        <v>10.4</v>
      </c>
      <c r="G2181">
        <v>5.55</v>
      </c>
      <c r="H2181" t="s">
        <v>18</v>
      </c>
      <c r="I2181" t="s">
        <v>23</v>
      </c>
      <c r="J2181" t="s">
        <v>25</v>
      </c>
      <c r="K2181">
        <v>18</v>
      </c>
      <c r="L2181" t="s">
        <v>29</v>
      </c>
    </row>
    <row r="2182" spans="1:12" x14ac:dyDescent="0.25">
      <c r="A2182">
        <v>2181</v>
      </c>
      <c r="B2182">
        <v>76</v>
      </c>
      <c r="C2182" t="s">
        <v>12</v>
      </c>
      <c r="D2182" t="s">
        <v>17</v>
      </c>
      <c r="E2182">
        <v>28.17</v>
      </c>
      <c r="F2182">
        <v>16.420000000000002</v>
      </c>
      <c r="G2182">
        <v>1.61</v>
      </c>
      <c r="H2182" t="s">
        <v>18</v>
      </c>
      <c r="I2182" t="s">
        <v>22</v>
      </c>
      <c r="J2182" t="s">
        <v>27</v>
      </c>
      <c r="K2182">
        <v>11</v>
      </c>
      <c r="L2182" t="s">
        <v>29</v>
      </c>
    </row>
    <row r="2183" spans="1:12" x14ac:dyDescent="0.25">
      <c r="A2183">
        <v>2182</v>
      </c>
      <c r="B2183">
        <v>51</v>
      </c>
      <c r="C2183" t="s">
        <v>13</v>
      </c>
      <c r="D2183" t="s">
        <v>15</v>
      </c>
      <c r="E2183">
        <v>12.24</v>
      </c>
      <c r="F2183">
        <v>3.5</v>
      </c>
      <c r="G2183">
        <v>10.84</v>
      </c>
      <c r="H2183" t="s">
        <v>18</v>
      </c>
      <c r="I2183" t="s">
        <v>23</v>
      </c>
      <c r="J2183" t="s">
        <v>26</v>
      </c>
      <c r="K2183">
        <v>25</v>
      </c>
      <c r="L2183" t="s">
        <v>30</v>
      </c>
    </row>
    <row r="2184" spans="1:12" x14ac:dyDescent="0.25">
      <c r="A2184">
        <v>2183</v>
      </c>
      <c r="B2184">
        <v>41</v>
      </c>
      <c r="C2184" t="s">
        <v>12</v>
      </c>
      <c r="D2184" t="s">
        <v>15</v>
      </c>
      <c r="E2184">
        <v>12.48</v>
      </c>
      <c r="F2184">
        <v>10.55</v>
      </c>
      <c r="G2184">
        <v>4.55</v>
      </c>
      <c r="H2184" t="s">
        <v>19</v>
      </c>
      <c r="I2184" t="s">
        <v>24</v>
      </c>
      <c r="J2184" t="s">
        <v>26</v>
      </c>
      <c r="K2184">
        <v>17</v>
      </c>
      <c r="L2184" t="s">
        <v>29</v>
      </c>
    </row>
    <row r="2185" spans="1:12" x14ac:dyDescent="0.25">
      <c r="A2185">
        <v>2184</v>
      </c>
      <c r="B2185">
        <v>77</v>
      </c>
      <c r="C2185" t="s">
        <v>12</v>
      </c>
      <c r="D2185" t="s">
        <v>15</v>
      </c>
      <c r="E2185">
        <v>23.55</v>
      </c>
      <c r="F2185">
        <v>9.6300000000000008</v>
      </c>
      <c r="G2185">
        <v>5.9</v>
      </c>
      <c r="H2185" t="s">
        <v>20</v>
      </c>
      <c r="I2185" t="s">
        <v>22</v>
      </c>
      <c r="J2185" t="s">
        <v>26</v>
      </c>
      <c r="K2185">
        <v>21</v>
      </c>
      <c r="L2185" t="s">
        <v>29</v>
      </c>
    </row>
    <row r="2186" spans="1:12" x14ac:dyDescent="0.25">
      <c r="A2186">
        <v>2185</v>
      </c>
      <c r="B2186">
        <v>32</v>
      </c>
      <c r="C2186" t="s">
        <v>12</v>
      </c>
      <c r="D2186" t="s">
        <v>15</v>
      </c>
      <c r="E2186">
        <v>7.63</v>
      </c>
      <c r="F2186">
        <v>6.13</v>
      </c>
      <c r="G2186">
        <v>4.0599999999999996</v>
      </c>
      <c r="H2186" t="s">
        <v>19</v>
      </c>
      <c r="I2186" t="s">
        <v>23</v>
      </c>
      <c r="J2186" t="s">
        <v>27</v>
      </c>
      <c r="K2186">
        <v>18</v>
      </c>
      <c r="L2186" t="s">
        <v>29</v>
      </c>
    </row>
    <row r="2187" spans="1:12" x14ac:dyDescent="0.25">
      <c r="A2187">
        <v>2186</v>
      </c>
      <c r="B2187">
        <v>55</v>
      </c>
      <c r="C2187" t="s">
        <v>12</v>
      </c>
      <c r="D2187" t="s">
        <v>14</v>
      </c>
      <c r="E2187">
        <v>7.68</v>
      </c>
      <c r="F2187">
        <v>12.97</v>
      </c>
      <c r="G2187">
        <v>27.77</v>
      </c>
      <c r="H2187" t="s">
        <v>21</v>
      </c>
      <c r="I2187" t="s">
        <v>23</v>
      </c>
      <c r="J2187" t="s">
        <v>26</v>
      </c>
      <c r="K2187">
        <v>27</v>
      </c>
      <c r="L2187" t="s">
        <v>30</v>
      </c>
    </row>
    <row r="2188" spans="1:12" x14ac:dyDescent="0.25">
      <c r="A2188">
        <v>2187</v>
      </c>
      <c r="B2188">
        <v>25</v>
      </c>
      <c r="C2188" t="s">
        <v>12</v>
      </c>
      <c r="D2188" t="s">
        <v>17</v>
      </c>
      <c r="E2188">
        <v>11.04</v>
      </c>
      <c r="F2188">
        <v>3.17</v>
      </c>
      <c r="G2188">
        <v>0.47</v>
      </c>
      <c r="H2188" t="s">
        <v>20</v>
      </c>
      <c r="I2188" t="s">
        <v>24</v>
      </c>
      <c r="J2188" t="s">
        <v>26</v>
      </c>
      <c r="K2188">
        <v>15</v>
      </c>
      <c r="L2188" t="s">
        <v>29</v>
      </c>
    </row>
    <row r="2189" spans="1:12" x14ac:dyDescent="0.25">
      <c r="A2189">
        <v>2188</v>
      </c>
      <c r="B2189">
        <v>76</v>
      </c>
      <c r="C2189" t="s">
        <v>13</v>
      </c>
      <c r="D2189" t="s">
        <v>16</v>
      </c>
      <c r="E2189">
        <v>5.81</v>
      </c>
      <c r="F2189">
        <v>5.1100000000000003</v>
      </c>
      <c r="G2189">
        <v>10.88</v>
      </c>
      <c r="H2189" t="s">
        <v>21</v>
      </c>
      <c r="I2189" t="s">
        <v>23</v>
      </c>
      <c r="J2189" t="s">
        <v>26</v>
      </c>
      <c r="K2189">
        <v>9</v>
      </c>
      <c r="L2189" t="s">
        <v>29</v>
      </c>
    </row>
    <row r="2190" spans="1:12" x14ac:dyDescent="0.25">
      <c r="A2190">
        <v>2189</v>
      </c>
      <c r="B2190">
        <v>22</v>
      </c>
      <c r="C2190" t="s">
        <v>13</v>
      </c>
      <c r="D2190" t="s">
        <v>15</v>
      </c>
      <c r="E2190">
        <v>6.81</v>
      </c>
      <c r="F2190">
        <v>7.5</v>
      </c>
      <c r="G2190">
        <v>7.66</v>
      </c>
      <c r="H2190" t="s">
        <v>18</v>
      </c>
      <c r="I2190" t="s">
        <v>22</v>
      </c>
      <c r="J2190" t="s">
        <v>26</v>
      </c>
      <c r="K2190">
        <v>16</v>
      </c>
      <c r="L2190" t="s">
        <v>29</v>
      </c>
    </row>
    <row r="2191" spans="1:12" x14ac:dyDescent="0.25">
      <c r="A2191">
        <v>2190</v>
      </c>
      <c r="B2191">
        <v>65</v>
      </c>
      <c r="C2191" t="s">
        <v>12</v>
      </c>
      <c r="D2191" t="s">
        <v>17</v>
      </c>
      <c r="E2191">
        <v>7</v>
      </c>
      <c r="F2191">
        <v>8.4499999999999993</v>
      </c>
      <c r="G2191">
        <v>3.96</v>
      </c>
      <c r="H2191" t="s">
        <v>21</v>
      </c>
      <c r="I2191" t="s">
        <v>22</v>
      </c>
      <c r="J2191" t="s">
        <v>27</v>
      </c>
      <c r="K2191">
        <v>25</v>
      </c>
      <c r="L2191" t="s">
        <v>30</v>
      </c>
    </row>
    <row r="2192" spans="1:12" x14ac:dyDescent="0.25">
      <c r="A2192">
        <v>2191</v>
      </c>
      <c r="B2192">
        <v>43</v>
      </c>
      <c r="C2192" t="s">
        <v>13</v>
      </c>
      <c r="D2192" t="s">
        <v>15</v>
      </c>
      <c r="E2192">
        <v>13.8</v>
      </c>
      <c r="F2192">
        <v>13.46</v>
      </c>
      <c r="G2192">
        <v>9.86</v>
      </c>
      <c r="H2192" t="s">
        <v>19</v>
      </c>
      <c r="I2192" t="s">
        <v>23</v>
      </c>
      <c r="J2192" t="s">
        <v>27</v>
      </c>
      <c r="K2192">
        <v>25</v>
      </c>
      <c r="L2192" t="s">
        <v>29</v>
      </c>
    </row>
    <row r="2193" spans="1:12" x14ac:dyDescent="0.25">
      <c r="A2193">
        <v>2192</v>
      </c>
      <c r="B2193">
        <v>35</v>
      </c>
      <c r="C2193" t="s">
        <v>12</v>
      </c>
      <c r="D2193" t="s">
        <v>15</v>
      </c>
      <c r="E2193">
        <v>13.36</v>
      </c>
      <c r="F2193">
        <v>14.5</v>
      </c>
      <c r="G2193">
        <v>17.7</v>
      </c>
      <c r="H2193" t="s">
        <v>19</v>
      </c>
      <c r="I2193" t="s">
        <v>23</v>
      </c>
      <c r="J2193" t="s">
        <v>26</v>
      </c>
      <c r="K2193">
        <v>19</v>
      </c>
      <c r="L2193" t="s">
        <v>29</v>
      </c>
    </row>
    <row r="2194" spans="1:12" x14ac:dyDescent="0.25">
      <c r="A2194">
        <v>2193</v>
      </c>
      <c r="B2194">
        <v>23</v>
      </c>
      <c r="C2194" t="s">
        <v>13</v>
      </c>
      <c r="D2194" t="s">
        <v>15</v>
      </c>
      <c r="E2194">
        <v>31.07</v>
      </c>
      <c r="F2194">
        <v>4.97</v>
      </c>
      <c r="G2194">
        <v>11.53</v>
      </c>
      <c r="H2194" t="s">
        <v>18</v>
      </c>
      <c r="I2194" t="s">
        <v>22</v>
      </c>
      <c r="J2194" t="s">
        <v>27</v>
      </c>
      <c r="K2194">
        <v>15</v>
      </c>
      <c r="L2194" t="s">
        <v>29</v>
      </c>
    </row>
    <row r="2195" spans="1:12" x14ac:dyDescent="0.25">
      <c r="A2195">
        <v>2194</v>
      </c>
      <c r="B2195">
        <v>54</v>
      </c>
      <c r="C2195" t="s">
        <v>13</v>
      </c>
      <c r="D2195" t="s">
        <v>16</v>
      </c>
      <c r="E2195">
        <v>13.97</v>
      </c>
      <c r="F2195">
        <v>27.26</v>
      </c>
      <c r="G2195">
        <v>20.010000000000002</v>
      </c>
      <c r="H2195" t="s">
        <v>18</v>
      </c>
      <c r="I2195" t="s">
        <v>23</v>
      </c>
      <c r="J2195" t="s">
        <v>25</v>
      </c>
      <c r="K2195">
        <v>29</v>
      </c>
      <c r="L2195" t="s">
        <v>29</v>
      </c>
    </row>
    <row r="2196" spans="1:12" x14ac:dyDescent="0.25">
      <c r="A2196">
        <v>2195</v>
      </c>
      <c r="B2196">
        <v>77</v>
      </c>
      <c r="C2196" t="s">
        <v>13</v>
      </c>
      <c r="D2196" t="s">
        <v>16</v>
      </c>
      <c r="E2196">
        <v>16.23</v>
      </c>
      <c r="F2196">
        <v>12.88</v>
      </c>
      <c r="G2196">
        <v>29.97</v>
      </c>
      <c r="H2196" t="s">
        <v>20</v>
      </c>
      <c r="I2196" t="s">
        <v>23</v>
      </c>
      <c r="J2196" t="s">
        <v>26</v>
      </c>
      <c r="K2196">
        <v>4</v>
      </c>
      <c r="L2196" t="s">
        <v>29</v>
      </c>
    </row>
    <row r="2197" spans="1:12" x14ac:dyDescent="0.25">
      <c r="A2197">
        <v>2196</v>
      </c>
      <c r="B2197">
        <v>65</v>
      </c>
      <c r="C2197" t="s">
        <v>13</v>
      </c>
      <c r="D2197" t="s">
        <v>17</v>
      </c>
      <c r="E2197">
        <v>46.74</v>
      </c>
      <c r="F2197">
        <v>32.75</v>
      </c>
      <c r="G2197">
        <v>8.16</v>
      </c>
      <c r="H2197" t="s">
        <v>19</v>
      </c>
      <c r="I2197" t="s">
        <v>23</v>
      </c>
      <c r="J2197" t="s">
        <v>27</v>
      </c>
      <c r="K2197">
        <v>32</v>
      </c>
      <c r="L2197" t="s">
        <v>29</v>
      </c>
    </row>
    <row r="2198" spans="1:12" x14ac:dyDescent="0.25">
      <c r="A2198">
        <v>2197</v>
      </c>
      <c r="B2198">
        <v>30</v>
      </c>
      <c r="C2198" t="s">
        <v>12</v>
      </c>
      <c r="D2198" t="s">
        <v>17</v>
      </c>
      <c r="E2198">
        <v>2.06</v>
      </c>
      <c r="F2198">
        <v>23.9</v>
      </c>
      <c r="G2198">
        <v>6.19</v>
      </c>
      <c r="H2198" t="s">
        <v>19</v>
      </c>
      <c r="I2198" t="s">
        <v>23</v>
      </c>
      <c r="J2198" t="s">
        <v>25</v>
      </c>
      <c r="K2198">
        <v>6</v>
      </c>
      <c r="L2198" t="s">
        <v>29</v>
      </c>
    </row>
    <row r="2199" spans="1:12" x14ac:dyDescent="0.25">
      <c r="A2199">
        <v>2198</v>
      </c>
      <c r="B2199">
        <v>45</v>
      </c>
      <c r="C2199" t="s">
        <v>12</v>
      </c>
      <c r="D2199" t="s">
        <v>14</v>
      </c>
      <c r="E2199">
        <v>19.739999999999998</v>
      </c>
      <c r="F2199">
        <v>6.27</v>
      </c>
      <c r="G2199">
        <v>29.07</v>
      </c>
      <c r="H2199" t="s">
        <v>20</v>
      </c>
      <c r="I2199" t="s">
        <v>23</v>
      </c>
      <c r="J2199" t="s">
        <v>26</v>
      </c>
      <c r="K2199">
        <v>32</v>
      </c>
      <c r="L2199" t="s">
        <v>29</v>
      </c>
    </row>
    <row r="2200" spans="1:12" x14ac:dyDescent="0.25">
      <c r="A2200">
        <v>2199</v>
      </c>
      <c r="B2200">
        <v>22</v>
      </c>
      <c r="C2200" t="s">
        <v>13</v>
      </c>
      <c r="D2200" t="s">
        <v>15</v>
      </c>
      <c r="E2200">
        <v>14.81</v>
      </c>
      <c r="F2200">
        <v>3.16</v>
      </c>
      <c r="G2200">
        <v>12.87</v>
      </c>
      <c r="H2200" t="s">
        <v>19</v>
      </c>
      <c r="I2200" t="s">
        <v>24</v>
      </c>
      <c r="J2200" t="s">
        <v>25</v>
      </c>
      <c r="K2200">
        <v>5</v>
      </c>
      <c r="L2200" t="s">
        <v>29</v>
      </c>
    </row>
    <row r="2201" spans="1:12" x14ac:dyDescent="0.25">
      <c r="A2201">
        <v>2200</v>
      </c>
      <c r="B2201">
        <v>30</v>
      </c>
      <c r="C2201" t="s">
        <v>13</v>
      </c>
      <c r="D2201" t="s">
        <v>15</v>
      </c>
      <c r="E2201">
        <v>21.05</v>
      </c>
      <c r="F2201">
        <v>2.44</v>
      </c>
      <c r="G2201">
        <v>9.14</v>
      </c>
      <c r="H2201" t="s">
        <v>20</v>
      </c>
      <c r="I2201" t="s">
        <v>22</v>
      </c>
      <c r="J2201" t="s">
        <v>26</v>
      </c>
      <c r="K2201">
        <v>16</v>
      </c>
      <c r="L2201" t="s">
        <v>29</v>
      </c>
    </row>
  </sheetData>
  <autoFilter ref="A1:L2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8444-D3F1-4CE9-A2E5-6F11A3F51D8C}">
  <dimension ref="A1:U20"/>
  <sheetViews>
    <sheetView showGridLines="0" tabSelected="1" zoomScale="90" zoomScaleNormal="90" workbookViewId="0">
      <selection activeCell="Z10" sqref="Z10"/>
    </sheetView>
  </sheetViews>
  <sheetFormatPr defaultRowHeight="15" x14ac:dyDescent="0.25"/>
  <cols>
    <col min="16" max="16" width="10.28515625" bestFit="1" customWidth="1"/>
    <col min="17" max="17" width="7.7109375" customWidth="1"/>
    <col min="18" max="18" width="10.140625" customWidth="1"/>
  </cols>
  <sheetData>
    <row r="1" spans="1:21" ht="21" customHeight="1" x14ac:dyDescent="0.25">
      <c r="A1" s="11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15" spans="1:21" ht="15.75" x14ac:dyDescent="0.25">
      <c r="P15" s="8" t="s">
        <v>49</v>
      </c>
      <c r="Q15" s="8"/>
      <c r="R15" s="8"/>
      <c r="S15" s="8"/>
      <c r="T15" s="12"/>
    </row>
    <row r="16" spans="1:21" ht="15.75" x14ac:dyDescent="0.25">
      <c r="P16" s="8" t="s">
        <v>50</v>
      </c>
      <c r="Q16" s="10"/>
      <c r="R16" s="10"/>
      <c r="S16" s="10"/>
    </row>
    <row r="17" spans="16:19" x14ac:dyDescent="0.25">
      <c r="Q17" s="5" t="s">
        <v>44</v>
      </c>
      <c r="R17" s="5" t="s">
        <v>46</v>
      </c>
      <c r="S17" s="5" t="s">
        <v>45</v>
      </c>
    </row>
    <row r="18" spans="16:19" x14ac:dyDescent="0.25">
      <c r="P18" s="5" t="s">
        <v>44</v>
      </c>
      <c r="Q18">
        <f>CORREL(Sheet1!E:E,Sheet1!E:E)</f>
        <v>0.99999999999999978</v>
      </c>
      <c r="R18">
        <f>CORREL(Sheet1!F:F,Sheet1!E:E)</f>
        <v>1.1470476413962628E-2</v>
      </c>
      <c r="S18">
        <f>CORREL(Sheet1!G:G,Sheet1!E:E)</f>
        <v>3.6195229905979275E-3</v>
      </c>
    </row>
    <row r="19" spans="16:19" x14ac:dyDescent="0.25">
      <c r="P19" s="5" t="s">
        <v>46</v>
      </c>
      <c r="Q19">
        <f>CORREL(Sheet1!E:E,Sheet1!F:F)</f>
        <v>1.1470476413962628E-2</v>
      </c>
      <c r="R19">
        <f>CORREL(Sheet1!F:F,Sheet1!F:F)</f>
        <v>1.0000000000000002</v>
      </c>
      <c r="S19">
        <f>CORREL(Sheet1!G:G,Sheet1!F:F)</f>
        <v>-3.7629121391259041E-2</v>
      </c>
    </row>
    <row r="20" spans="16:19" x14ac:dyDescent="0.25">
      <c r="P20" s="5" t="s">
        <v>45</v>
      </c>
      <c r="Q20">
        <f>CORREL(Sheet1!E:E,Sheet1!G:G)</f>
        <v>3.6195229905979275E-3</v>
      </c>
      <c r="R20">
        <f>CORREL(Sheet1!F:F,Sheet1!G:G)</f>
        <v>-3.7629121391259041E-2</v>
      </c>
      <c r="S20">
        <f>CORREL(Sheet1!G:G,Sheet1!G:G)</f>
        <v>1.0000000000000002</v>
      </c>
    </row>
  </sheetData>
  <mergeCells count="3">
    <mergeCell ref="P16:S16"/>
    <mergeCell ref="P15:S15"/>
    <mergeCell ref="A1:U2"/>
  </mergeCells>
  <phoneticPr fontId="4" type="noConversion"/>
  <conditionalFormatting sqref="Q18:S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336D-A430-41F9-9498-30CC17F42830}">
  <dimension ref="A1"/>
  <sheetViews>
    <sheetView workbookViewId="0">
      <selection activeCell="G20" sqref="G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84B1-4264-4C17-A1A1-F9587D2A5E11}">
  <dimension ref="A1:O15"/>
  <sheetViews>
    <sheetView workbookViewId="0">
      <selection activeCell="H6" sqref="H6"/>
    </sheetView>
  </sheetViews>
  <sheetFormatPr defaultRowHeight="15" x14ac:dyDescent="0.25"/>
  <cols>
    <col min="1" max="1" width="15" bestFit="1" customWidth="1"/>
    <col min="2" max="2" width="10.5703125" customWidth="1"/>
    <col min="3" max="3" width="10.85546875" customWidth="1"/>
    <col min="5" max="5" width="13.140625" bestFit="1" customWidth="1"/>
    <col min="6" max="6" width="37.7109375" bestFit="1" customWidth="1"/>
    <col min="7" max="7" width="36.7109375" bestFit="1" customWidth="1"/>
    <col min="8" max="8" width="11.140625" customWidth="1"/>
    <col min="9" max="9" width="15" bestFit="1" customWidth="1"/>
  </cols>
  <sheetData>
    <row r="1" spans="1:15" x14ac:dyDescent="0.25">
      <c r="A1" s="2" t="s">
        <v>31</v>
      </c>
      <c r="B1" t="s">
        <v>36</v>
      </c>
      <c r="C1" t="s">
        <v>33</v>
      </c>
      <c r="E1" s="2" t="s">
        <v>31</v>
      </c>
      <c r="F1" t="s">
        <v>37</v>
      </c>
      <c r="G1" t="s">
        <v>34</v>
      </c>
      <c r="I1" s="2" t="s">
        <v>31</v>
      </c>
      <c r="J1" t="s">
        <v>38</v>
      </c>
      <c r="K1" t="s">
        <v>35</v>
      </c>
      <c r="M1" s="2" t="s">
        <v>31</v>
      </c>
      <c r="N1" t="s">
        <v>39</v>
      </c>
      <c r="O1" t="s">
        <v>40</v>
      </c>
    </row>
    <row r="2" spans="1:15" x14ac:dyDescent="0.25">
      <c r="A2" s="3" t="s">
        <v>15</v>
      </c>
      <c r="B2" s="4">
        <v>19.313252240717024</v>
      </c>
      <c r="C2" s="4">
        <v>12.904346720433589</v>
      </c>
      <c r="E2" s="3" t="s">
        <v>15</v>
      </c>
      <c r="F2" s="4">
        <v>12.038092189500652</v>
      </c>
      <c r="G2" s="4">
        <v>8.4310325475075096</v>
      </c>
      <c r="I2" s="3" t="s">
        <v>15</v>
      </c>
      <c r="J2" s="4">
        <v>10.657695262483998</v>
      </c>
      <c r="K2" s="4">
        <v>7.1869537118123876</v>
      </c>
      <c r="M2" s="3" t="s">
        <v>13</v>
      </c>
      <c r="N2" s="4">
        <v>48.526269702276707</v>
      </c>
      <c r="O2" s="4">
        <v>18.000747669468833</v>
      </c>
    </row>
    <row r="3" spans="1:15" x14ac:dyDescent="0.25">
      <c r="A3" s="3" t="s">
        <v>16</v>
      </c>
      <c r="B3" s="4">
        <v>20.343761467889902</v>
      </c>
      <c r="C3" s="4">
        <v>12.348826072103519</v>
      </c>
      <c r="E3" s="3" t="s">
        <v>32</v>
      </c>
      <c r="F3" s="4">
        <v>12.038092189500652</v>
      </c>
      <c r="G3" s="4">
        <v>8.4310325475075096</v>
      </c>
      <c r="I3" s="3" t="s">
        <v>16</v>
      </c>
      <c r="J3" s="4">
        <v>11.49022935779816</v>
      </c>
      <c r="K3" s="4">
        <v>7.6330474438855314</v>
      </c>
      <c r="M3" s="3" t="s">
        <v>12</v>
      </c>
      <c r="N3" s="4">
        <v>49.913988657844989</v>
      </c>
      <c r="O3" s="4">
        <v>17.99650898996229</v>
      </c>
    </row>
    <row r="4" spans="1:15" x14ac:dyDescent="0.25">
      <c r="A4" s="3" t="s">
        <v>14</v>
      </c>
      <c r="B4" s="4">
        <v>20.558794326241145</v>
      </c>
      <c r="C4" s="4">
        <v>12.646486697659965</v>
      </c>
      <c r="I4" s="3" t="s">
        <v>14</v>
      </c>
      <c r="J4" s="4">
        <v>11.158699763593377</v>
      </c>
      <c r="K4" s="4">
        <v>6.9122209215571457</v>
      </c>
      <c r="M4" s="3" t="s">
        <v>32</v>
      </c>
      <c r="N4" s="4">
        <v>49.193636363636365</v>
      </c>
      <c r="O4" s="4">
        <v>18.007975481714166</v>
      </c>
    </row>
    <row r="5" spans="1:15" x14ac:dyDescent="0.25">
      <c r="A5" s="3" t="s">
        <v>17</v>
      </c>
      <c r="B5" s="4">
        <v>19.618839285714273</v>
      </c>
      <c r="C5" s="4">
        <v>12.063397301933088</v>
      </c>
      <c r="I5" s="3" t="s">
        <v>17</v>
      </c>
      <c r="J5" s="4">
        <v>10.821214285714289</v>
      </c>
      <c r="K5" s="4">
        <v>7.229153803350485</v>
      </c>
    </row>
    <row r="6" spans="1:15" x14ac:dyDescent="0.25">
      <c r="A6" s="3" t="s">
        <v>32</v>
      </c>
      <c r="B6" s="4">
        <v>19.83475</v>
      </c>
      <c r="C6" s="4">
        <v>12.537092985562845</v>
      </c>
      <c r="I6" s="3" t="s">
        <v>32</v>
      </c>
      <c r="J6" s="4">
        <v>10.960640909090937</v>
      </c>
      <c r="K6" s="4">
        <v>7.2388970288206549</v>
      </c>
    </row>
    <row r="9" spans="1:15" x14ac:dyDescent="0.25">
      <c r="A9" s="2" t="s">
        <v>42</v>
      </c>
      <c r="B9" s="2" t="s">
        <v>41</v>
      </c>
    </row>
    <row r="10" spans="1:15" x14ac:dyDescent="0.25">
      <c r="A10" s="2" t="s">
        <v>31</v>
      </c>
      <c r="B10" t="s">
        <v>21</v>
      </c>
      <c r="C10" t="s">
        <v>18</v>
      </c>
      <c r="D10" t="s">
        <v>20</v>
      </c>
      <c r="E10" t="s">
        <v>19</v>
      </c>
      <c r="F10" t="s">
        <v>32</v>
      </c>
    </row>
    <row r="11" spans="1:15" x14ac:dyDescent="0.25">
      <c r="A11" s="3" t="s">
        <v>15</v>
      </c>
      <c r="B11" s="4">
        <v>187</v>
      </c>
      <c r="C11" s="4">
        <v>186</v>
      </c>
      <c r="D11" s="4">
        <v>203</v>
      </c>
      <c r="E11" s="4">
        <v>205</v>
      </c>
      <c r="F11" s="4">
        <v>781</v>
      </c>
    </row>
    <row r="12" spans="1:15" x14ac:dyDescent="0.25">
      <c r="A12" s="3" t="s">
        <v>16</v>
      </c>
      <c r="B12" s="4">
        <v>106</v>
      </c>
      <c r="C12" s="4">
        <v>111</v>
      </c>
      <c r="D12" s="4">
        <v>102</v>
      </c>
      <c r="E12" s="4">
        <v>117</v>
      </c>
      <c r="F12" s="4">
        <v>436</v>
      </c>
    </row>
    <row r="13" spans="1:15" x14ac:dyDescent="0.25">
      <c r="A13" s="3" t="s">
        <v>14</v>
      </c>
      <c r="B13" s="4">
        <v>117</v>
      </c>
      <c r="C13" s="4">
        <v>95</v>
      </c>
      <c r="D13" s="4">
        <v>102</v>
      </c>
      <c r="E13" s="4">
        <v>109</v>
      </c>
      <c r="F13" s="4">
        <v>423</v>
      </c>
    </row>
    <row r="14" spans="1:15" x14ac:dyDescent="0.25">
      <c r="A14" s="3" t="s">
        <v>17</v>
      </c>
      <c r="B14" s="4">
        <v>150</v>
      </c>
      <c r="C14" s="4">
        <v>139</v>
      </c>
      <c r="D14" s="4">
        <v>140</v>
      </c>
      <c r="E14" s="4">
        <v>131</v>
      </c>
      <c r="F14" s="4">
        <v>560</v>
      </c>
    </row>
    <row r="15" spans="1:15" x14ac:dyDescent="0.25">
      <c r="A15" s="3" t="s">
        <v>32</v>
      </c>
      <c r="B15" s="4">
        <v>560</v>
      </c>
      <c r="C15" s="4">
        <v>531</v>
      </c>
      <c r="D15" s="4">
        <v>547</v>
      </c>
      <c r="E15" s="4">
        <v>562</v>
      </c>
      <c r="F15" s="4">
        <v>2200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97FD-84A8-49C5-BF36-4AE5AA17C35A}">
  <dimension ref="A1"/>
  <sheetViews>
    <sheetView workbookViewId="0">
      <selection activeCell="A17" sqref="A17:E21"/>
    </sheetView>
  </sheetViews>
  <sheetFormatPr defaultRowHeight="15" x14ac:dyDescent="0.25"/>
  <cols>
    <col min="1" max="1" width="10.28515625" bestFit="1" customWidth="1"/>
    <col min="3" max="3" width="12.7109375" bestFit="1" customWidth="1"/>
    <col min="5" max="5" width="13.4257812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946A-3715-4F22-AB0B-51B2E9C84175}">
  <dimension ref="A1:L782"/>
  <sheetViews>
    <sheetView workbookViewId="0">
      <selection activeCell="K1" sqref="K1:L5"/>
    </sheetView>
  </sheetViews>
  <sheetFormatPr defaultRowHeight="15" x14ac:dyDescent="0.25"/>
  <cols>
    <col min="1" max="1" width="12.7109375" bestFit="1" customWidth="1"/>
    <col min="2" max="2" width="13.7109375" bestFit="1" customWidth="1"/>
    <col min="3" max="3" width="14.85546875" bestFit="1" customWidth="1"/>
    <col min="4" max="4" width="15" bestFit="1" customWidth="1"/>
  </cols>
  <sheetData>
    <row r="1" spans="1:12" x14ac:dyDescent="0.25">
      <c r="A1" s="7" t="s">
        <v>15</v>
      </c>
      <c r="B1" s="7" t="s">
        <v>17</v>
      </c>
      <c r="C1" s="7" t="s">
        <v>16</v>
      </c>
      <c r="D1" s="7" t="s">
        <v>14</v>
      </c>
      <c r="F1" s="2" t="s">
        <v>31</v>
      </c>
      <c r="G1" t="s">
        <v>43</v>
      </c>
      <c r="K1" s="2" t="s">
        <v>31</v>
      </c>
      <c r="L1" t="s">
        <v>47</v>
      </c>
    </row>
    <row r="2" spans="1:12" x14ac:dyDescent="0.25">
      <c r="A2" cm="1">
        <f t="array" ref="A2:A782">_xlfn._xlws.FILTER(Sheet1!$E$2:$E$2201,Sheet1!$D$2:$D$2201="Autoimmune")</f>
        <v>10.95</v>
      </c>
      <c r="B2" cm="1">
        <f t="array" ref="B2:B561">_xlfn._xlws.FILTER(Sheet1!$E$2:$E$2201,Sheet1!$D$2:$D$2201="Viral Infection")</f>
        <v>36.049999999999997</v>
      </c>
      <c r="C2" cm="1">
        <f t="array" ref="C2:C437">_xlfn._xlws.FILTER(Sheet1!$E$2:$E$2201,Sheet1!$D$2:$D$2201="Cardiac Disease")</f>
        <v>21.42</v>
      </c>
      <c r="D2" cm="1">
        <f t="array" ref="D2:D424">_xlfn._xlws.FILTER(Sheet1!$E$2:$E$2201,Sheet1!$D$2:$D$2201="Healthy Control")</f>
        <v>35.28</v>
      </c>
      <c r="F2" s="3" t="s">
        <v>23</v>
      </c>
      <c r="G2" s="4">
        <v>922</v>
      </c>
      <c r="K2" s="3" t="s">
        <v>19</v>
      </c>
      <c r="L2" s="9">
        <v>0.25545454545454543</v>
      </c>
    </row>
    <row r="3" spans="1:12" x14ac:dyDescent="0.25">
      <c r="A3">
        <v>17.87</v>
      </c>
      <c r="B3">
        <v>23.56</v>
      </c>
      <c r="C3">
        <v>11.35</v>
      </c>
      <c r="D3">
        <v>8.92</v>
      </c>
      <c r="F3" s="3" t="s">
        <v>22</v>
      </c>
      <c r="G3" s="4">
        <v>806</v>
      </c>
      <c r="K3" s="3" t="s">
        <v>21</v>
      </c>
      <c r="L3" s="9">
        <v>0.25454545454545452</v>
      </c>
    </row>
    <row r="4" spans="1:12" x14ac:dyDescent="0.25">
      <c r="A4">
        <v>17.940000000000001</v>
      </c>
      <c r="B4">
        <v>23.95</v>
      </c>
      <c r="C4">
        <v>21.53</v>
      </c>
      <c r="D4">
        <v>22.97</v>
      </c>
      <c r="F4" s="3" t="s">
        <v>24</v>
      </c>
      <c r="G4" s="4">
        <v>472</v>
      </c>
      <c r="K4" s="3" t="s">
        <v>20</v>
      </c>
      <c r="L4" s="9">
        <v>0.24863636363636363</v>
      </c>
    </row>
    <row r="5" spans="1:12" x14ac:dyDescent="0.25">
      <c r="A5">
        <v>16.62</v>
      </c>
      <c r="B5">
        <v>7.67</v>
      </c>
      <c r="C5">
        <v>40.65</v>
      </c>
      <c r="D5">
        <v>22.83</v>
      </c>
      <c r="F5" s="3" t="s">
        <v>32</v>
      </c>
      <c r="G5" s="4">
        <v>2200</v>
      </c>
      <c r="K5" s="3" t="s">
        <v>18</v>
      </c>
      <c r="L5" s="9">
        <v>0.24136363636363636</v>
      </c>
    </row>
    <row r="6" spans="1:12" x14ac:dyDescent="0.25">
      <c r="A6">
        <v>9.5500000000000007</v>
      </c>
      <c r="B6">
        <v>16.14</v>
      </c>
      <c r="C6">
        <v>7.26</v>
      </c>
      <c r="D6">
        <v>44.47</v>
      </c>
    </row>
    <row r="7" spans="1:12" x14ac:dyDescent="0.25">
      <c r="A7">
        <v>1.43</v>
      </c>
      <c r="B7">
        <v>6.45</v>
      </c>
      <c r="C7">
        <v>16.91</v>
      </c>
      <c r="D7">
        <v>6.86</v>
      </c>
    </row>
    <row r="8" spans="1:12" x14ac:dyDescent="0.25">
      <c r="A8">
        <v>8.27</v>
      </c>
      <c r="B8">
        <v>9.42</v>
      </c>
      <c r="C8">
        <v>66.92</v>
      </c>
      <c r="D8">
        <v>3.47</v>
      </c>
    </row>
    <row r="9" spans="1:12" x14ac:dyDescent="0.25">
      <c r="A9">
        <v>26.62</v>
      </c>
      <c r="B9">
        <v>21.29</v>
      </c>
      <c r="C9">
        <v>9.86</v>
      </c>
      <c r="D9">
        <v>39.119999999999997</v>
      </c>
    </row>
    <row r="10" spans="1:12" x14ac:dyDescent="0.25">
      <c r="A10">
        <v>3.44</v>
      </c>
      <c r="B10">
        <v>21.75</v>
      </c>
      <c r="C10">
        <v>17.95</v>
      </c>
      <c r="D10">
        <v>31.25</v>
      </c>
    </row>
    <row r="11" spans="1:12" x14ac:dyDescent="0.25">
      <c r="A11">
        <v>26.02</v>
      </c>
      <c r="B11">
        <v>16.96</v>
      </c>
      <c r="C11">
        <v>20.170000000000002</v>
      </c>
      <c r="D11">
        <v>18.190000000000001</v>
      </c>
    </row>
    <row r="12" spans="1:12" x14ac:dyDescent="0.25">
      <c r="A12">
        <v>37.83</v>
      </c>
      <c r="B12">
        <v>18.82</v>
      </c>
      <c r="C12">
        <v>14.06</v>
      </c>
      <c r="D12">
        <v>9.68</v>
      </c>
    </row>
    <row r="13" spans="1:12" x14ac:dyDescent="0.25">
      <c r="A13">
        <v>6.27</v>
      </c>
      <c r="B13">
        <v>20.22</v>
      </c>
      <c r="C13">
        <v>33.200000000000003</v>
      </c>
      <c r="D13">
        <v>26.84</v>
      </c>
    </row>
    <row r="14" spans="1:12" x14ac:dyDescent="0.25">
      <c r="A14">
        <v>7.57</v>
      </c>
      <c r="B14">
        <v>33.31</v>
      </c>
      <c r="C14">
        <v>14.2</v>
      </c>
      <c r="D14">
        <v>8.4</v>
      </c>
    </row>
    <row r="15" spans="1:12" x14ac:dyDescent="0.25">
      <c r="A15">
        <v>51.21</v>
      </c>
      <c r="B15">
        <v>20.94</v>
      </c>
      <c r="C15">
        <v>10.9</v>
      </c>
      <c r="D15">
        <v>14.7</v>
      </c>
    </row>
    <row r="16" spans="1:12" x14ac:dyDescent="0.25">
      <c r="A16">
        <v>6.55</v>
      </c>
      <c r="B16">
        <v>9.4</v>
      </c>
      <c r="C16">
        <v>7.25</v>
      </c>
      <c r="D16">
        <v>9.43</v>
      </c>
    </row>
    <row r="17" spans="1:4" x14ac:dyDescent="0.25">
      <c r="A17">
        <v>6.13</v>
      </c>
      <c r="B17">
        <v>36.409999999999997</v>
      </c>
      <c r="C17">
        <v>28.28</v>
      </c>
      <c r="D17">
        <v>23.12</v>
      </c>
    </row>
    <row r="18" spans="1:4" x14ac:dyDescent="0.25">
      <c r="A18">
        <v>13.07</v>
      </c>
      <c r="B18">
        <v>5.0999999999999996</v>
      </c>
      <c r="C18">
        <v>13.43</v>
      </c>
      <c r="D18">
        <v>9.32</v>
      </c>
    </row>
    <row r="19" spans="1:4" x14ac:dyDescent="0.25">
      <c r="A19">
        <v>25.46</v>
      </c>
      <c r="B19">
        <v>33.450000000000003</v>
      </c>
      <c r="C19">
        <v>15.71</v>
      </c>
      <c r="D19">
        <v>17.420000000000002</v>
      </c>
    </row>
    <row r="20" spans="1:4" x14ac:dyDescent="0.25">
      <c r="A20">
        <v>61.07</v>
      </c>
      <c r="B20">
        <v>17.739999999999998</v>
      </c>
      <c r="C20">
        <v>21.64</v>
      </c>
      <c r="D20">
        <v>24.4</v>
      </c>
    </row>
    <row r="21" spans="1:4" x14ac:dyDescent="0.25">
      <c r="A21">
        <v>8.2100000000000009</v>
      </c>
      <c r="B21">
        <v>27.5</v>
      </c>
      <c r="C21">
        <v>19.52</v>
      </c>
      <c r="D21">
        <v>40.68</v>
      </c>
    </row>
    <row r="22" spans="1:4" x14ac:dyDescent="0.25">
      <c r="A22">
        <v>32.1</v>
      </c>
      <c r="B22">
        <v>50.66</v>
      </c>
      <c r="C22">
        <v>29.22</v>
      </c>
      <c r="D22">
        <v>21.21</v>
      </c>
    </row>
    <row r="23" spans="1:4" x14ac:dyDescent="0.25">
      <c r="A23">
        <v>21.6</v>
      </c>
      <c r="B23">
        <v>4.7699999999999996</v>
      </c>
      <c r="C23">
        <v>36</v>
      </c>
      <c r="D23">
        <v>20.86</v>
      </c>
    </row>
    <row r="24" spans="1:4" x14ac:dyDescent="0.25">
      <c r="A24">
        <v>14.79</v>
      </c>
      <c r="B24">
        <v>22.07</v>
      </c>
      <c r="C24">
        <v>33.15</v>
      </c>
      <c r="D24">
        <v>24.22</v>
      </c>
    </row>
    <row r="25" spans="1:4" x14ac:dyDescent="0.25">
      <c r="A25">
        <v>54.41</v>
      </c>
      <c r="B25">
        <v>12.12</v>
      </c>
      <c r="C25">
        <v>15.73</v>
      </c>
      <c r="D25">
        <v>18.579999999999998</v>
      </c>
    </row>
    <row r="26" spans="1:4" x14ac:dyDescent="0.25">
      <c r="A26">
        <v>17.34</v>
      </c>
      <c r="B26">
        <v>15.27</v>
      </c>
      <c r="C26">
        <v>22.82</v>
      </c>
      <c r="D26">
        <v>54.21</v>
      </c>
    </row>
    <row r="27" spans="1:4" x14ac:dyDescent="0.25">
      <c r="A27">
        <v>18.68</v>
      </c>
      <c r="B27">
        <v>29.77</v>
      </c>
      <c r="C27">
        <v>5.81</v>
      </c>
      <c r="D27">
        <v>20.81</v>
      </c>
    </row>
    <row r="28" spans="1:4" x14ac:dyDescent="0.25">
      <c r="A28">
        <v>8.1199999999999992</v>
      </c>
      <c r="B28">
        <v>16.579999999999998</v>
      </c>
      <c r="C28">
        <v>10.210000000000001</v>
      </c>
      <c r="D28">
        <v>2.58</v>
      </c>
    </row>
    <row r="29" spans="1:4" x14ac:dyDescent="0.25">
      <c r="A29">
        <v>5.67</v>
      </c>
      <c r="B29">
        <v>18.21</v>
      </c>
      <c r="C29">
        <v>21.4</v>
      </c>
      <c r="D29">
        <v>5.58</v>
      </c>
    </row>
    <row r="30" spans="1:4" x14ac:dyDescent="0.25">
      <c r="A30">
        <v>21.81</v>
      </c>
      <c r="B30">
        <v>16.37</v>
      </c>
      <c r="C30">
        <v>2.2599999999999998</v>
      </c>
      <c r="D30">
        <v>18.510000000000002</v>
      </c>
    </row>
    <row r="31" spans="1:4" x14ac:dyDescent="0.25">
      <c r="A31">
        <v>27.66</v>
      </c>
      <c r="B31">
        <v>20.64</v>
      </c>
      <c r="C31">
        <v>21.5</v>
      </c>
      <c r="D31">
        <v>5.4</v>
      </c>
    </row>
    <row r="32" spans="1:4" x14ac:dyDescent="0.25">
      <c r="A32">
        <v>13.64</v>
      </c>
      <c r="B32">
        <v>33</v>
      </c>
      <c r="C32">
        <v>12.57</v>
      </c>
      <c r="D32">
        <v>22.2</v>
      </c>
    </row>
    <row r="33" spans="1:4" x14ac:dyDescent="0.25">
      <c r="A33">
        <v>12.74</v>
      </c>
      <c r="B33">
        <v>11.43</v>
      </c>
      <c r="C33">
        <v>37.659999999999997</v>
      </c>
      <c r="D33">
        <v>10.25</v>
      </c>
    </row>
    <row r="34" spans="1:4" x14ac:dyDescent="0.25">
      <c r="A34">
        <v>2.54</v>
      </c>
      <c r="B34">
        <v>15.28</v>
      </c>
      <c r="C34">
        <v>26.4</v>
      </c>
      <c r="D34">
        <v>29.03</v>
      </c>
    </row>
    <row r="35" spans="1:4" x14ac:dyDescent="0.25">
      <c r="A35">
        <v>10.1</v>
      </c>
      <c r="B35">
        <v>3.66</v>
      </c>
      <c r="C35">
        <v>11.6</v>
      </c>
      <c r="D35">
        <v>15.63</v>
      </c>
    </row>
    <row r="36" spans="1:4" x14ac:dyDescent="0.25">
      <c r="A36">
        <v>35.51</v>
      </c>
      <c r="B36">
        <v>33.229999999999997</v>
      </c>
      <c r="C36">
        <v>23.4</v>
      </c>
      <c r="D36">
        <v>37.51</v>
      </c>
    </row>
    <row r="37" spans="1:4" x14ac:dyDescent="0.25">
      <c r="A37">
        <v>6.34</v>
      </c>
      <c r="B37">
        <v>29.53</v>
      </c>
      <c r="C37">
        <v>11.62</v>
      </c>
      <c r="D37">
        <v>45.01</v>
      </c>
    </row>
    <row r="38" spans="1:4" x14ac:dyDescent="0.25">
      <c r="A38">
        <v>32.5</v>
      </c>
      <c r="B38">
        <v>15.94</v>
      </c>
      <c r="C38">
        <v>17.43</v>
      </c>
      <c r="D38">
        <v>15.12</v>
      </c>
    </row>
    <row r="39" spans="1:4" x14ac:dyDescent="0.25">
      <c r="A39">
        <v>35.49</v>
      </c>
      <c r="B39">
        <v>19.39</v>
      </c>
      <c r="C39">
        <v>13.77</v>
      </c>
      <c r="D39">
        <v>11.57</v>
      </c>
    </row>
    <row r="40" spans="1:4" x14ac:dyDescent="0.25">
      <c r="A40">
        <v>36.21</v>
      </c>
      <c r="B40">
        <v>36.67</v>
      </c>
      <c r="C40">
        <v>8.8000000000000007</v>
      </c>
      <c r="D40">
        <v>15.85</v>
      </c>
    </row>
    <row r="41" spans="1:4" x14ac:dyDescent="0.25">
      <c r="A41">
        <v>66.16</v>
      </c>
      <c r="B41">
        <v>17.07</v>
      </c>
      <c r="C41">
        <v>35.31</v>
      </c>
      <c r="D41">
        <v>20.11</v>
      </c>
    </row>
    <row r="42" spans="1:4" x14ac:dyDescent="0.25">
      <c r="A42">
        <v>21.55</v>
      </c>
      <c r="B42">
        <v>28.95</v>
      </c>
      <c r="C42">
        <v>44.02</v>
      </c>
      <c r="D42">
        <v>14.42</v>
      </c>
    </row>
    <row r="43" spans="1:4" x14ac:dyDescent="0.25">
      <c r="A43">
        <v>17.8</v>
      </c>
      <c r="B43">
        <v>8.1999999999999993</v>
      </c>
      <c r="C43">
        <v>21.37</v>
      </c>
      <c r="D43">
        <v>23.37</v>
      </c>
    </row>
    <row r="44" spans="1:4" x14ac:dyDescent="0.25">
      <c r="A44">
        <v>90.44</v>
      </c>
      <c r="B44">
        <v>9.66</v>
      </c>
      <c r="C44">
        <v>32.01</v>
      </c>
      <c r="D44">
        <v>9.73</v>
      </c>
    </row>
    <row r="45" spans="1:4" x14ac:dyDescent="0.25">
      <c r="A45">
        <v>16.11</v>
      </c>
      <c r="B45">
        <v>3.72</v>
      </c>
      <c r="C45">
        <v>44.15</v>
      </c>
      <c r="D45">
        <v>11.21</v>
      </c>
    </row>
    <row r="46" spans="1:4" x14ac:dyDescent="0.25">
      <c r="A46">
        <v>4.3099999999999996</v>
      </c>
      <c r="B46">
        <v>25.19</v>
      </c>
      <c r="C46">
        <v>25.19</v>
      </c>
      <c r="D46">
        <v>22.88</v>
      </c>
    </row>
    <row r="47" spans="1:4" x14ac:dyDescent="0.25">
      <c r="A47">
        <v>23.87</v>
      </c>
      <c r="B47">
        <v>15.47</v>
      </c>
      <c r="C47">
        <v>13.67</v>
      </c>
      <c r="D47">
        <v>9.25</v>
      </c>
    </row>
    <row r="48" spans="1:4" x14ac:dyDescent="0.25">
      <c r="A48">
        <v>9.3000000000000007</v>
      </c>
      <c r="B48">
        <v>4.49</v>
      </c>
      <c r="C48">
        <v>42.27</v>
      </c>
      <c r="D48">
        <v>37.409999999999997</v>
      </c>
    </row>
    <row r="49" spans="1:4" x14ac:dyDescent="0.25">
      <c r="A49">
        <v>28.45</v>
      </c>
      <c r="B49">
        <v>26.25</v>
      </c>
      <c r="C49">
        <v>22.32</v>
      </c>
      <c r="D49">
        <v>21.76</v>
      </c>
    </row>
    <row r="50" spans="1:4" x14ac:dyDescent="0.25">
      <c r="A50">
        <v>13.33</v>
      </c>
      <c r="B50">
        <v>9.08</v>
      </c>
      <c r="C50">
        <v>17.920000000000002</v>
      </c>
      <c r="D50">
        <v>24</v>
      </c>
    </row>
    <row r="51" spans="1:4" x14ac:dyDescent="0.25">
      <c r="A51">
        <v>19.52</v>
      </c>
      <c r="B51">
        <v>13.2</v>
      </c>
      <c r="C51">
        <v>40.57</v>
      </c>
      <c r="D51">
        <v>44.72</v>
      </c>
    </row>
    <row r="52" spans="1:4" x14ac:dyDescent="0.25">
      <c r="A52">
        <v>11.31</v>
      </c>
      <c r="B52">
        <v>20.7</v>
      </c>
      <c r="C52">
        <v>17.55</v>
      </c>
      <c r="D52">
        <v>51.28</v>
      </c>
    </row>
    <row r="53" spans="1:4" x14ac:dyDescent="0.25">
      <c r="A53">
        <v>9.41</v>
      </c>
      <c r="B53">
        <v>23.64</v>
      </c>
      <c r="C53">
        <v>12.2</v>
      </c>
      <c r="D53">
        <v>27.77</v>
      </c>
    </row>
    <row r="54" spans="1:4" x14ac:dyDescent="0.25">
      <c r="A54">
        <v>9.84</v>
      </c>
      <c r="B54">
        <v>7.29</v>
      </c>
      <c r="C54">
        <v>25.91</v>
      </c>
      <c r="D54">
        <v>2.62</v>
      </c>
    </row>
    <row r="55" spans="1:4" x14ac:dyDescent="0.25">
      <c r="A55">
        <v>23.5</v>
      </c>
      <c r="B55">
        <v>13.38</v>
      </c>
      <c r="C55">
        <v>8.1300000000000008</v>
      </c>
      <c r="D55">
        <v>13.83</v>
      </c>
    </row>
    <row r="56" spans="1:4" x14ac:dyDescent="0.25">
      <c r="A56">
        <v>16.34</v>
      </c>
      <c r="B56">
        <v>10.130000000000001</v>
      </c>
      <c r="C56">
        <v>43.79</v>
      </c>
      <c r="D56">
        <v>23.52</v>
      </c>
    </row>
    <row r="57" spans="1:4" x14ac:dyDescent="0.25">
      <c r="A57">
        <v>15.62</v>
      </c>
      <c r="B57">
        <v>17.25</v>
      </c>
      <c r="C57">
        <v>24.16</v>
      </c>
      <c r="D57">
        <v>11.92</v>
      </c>
    </row>
    <row r="58" spans="1:4" x14ac:dyDescent="0.25">
      <c r="A58">
        <v>13.76</v>
      </c>
      <c r="B58">
        <v>14.92</v>
      </c>
      <c r="C58">
        <v>19.86</v>
      </c>
      <c r="D58">
        <v>28.29</v>
      </c>
    </row>
    <row r="59" spans="1:4" x14ac:dyDescent="0.25">
      <c r="A59">
        <v>19.55</v>
      </c>
      <c r="B59">
        <v>5.58</v>
      </c>
      <c r="C59">
        <v>30.8</v>
      </c>
      <c r="D59">
        <v>14.45</v>
      </c>
    </row>
    <row r="60" spans="1:4" x14ac:dyDescent="0.25">
      <c r="A60">
        <v>37.659999999999997</v>
      </c>
      <c r="B60">
        <v>8.82</v>
      </c>
      <c r="C60">
        <v>12.89</v>
      </c>
      <c r="D60">
        <v>28.6</v>
      </c>
    </row>
    <row r="61" spans="1:4" x14ac:dyDescent="0.25">
      <c r="A61">
        <v>12.92</v>
      </c>
      <c r="B61">
        <v>26.84</v>
      </c>
      <c r="C61">
        <v>16.13</v>
      </c>
      <c r="D61">
        <v>14.85</v>
      </c>
    </row>
    <row r="62" spans="1:4" x14ac:dyDescent="0.25">
      <c r="A62">
        <v>19.95</v>
      </c>
      <c r="B62">
        <v>13.1</v>
      </c>
      <c r="C62">
        <v>22.39</v>
      </c>
      <c r="D62">
        <v>23.34</v>
      </c>
    </row>
    <row r="63" spans="1:4" x14ac:dyDescent="0.25">
      <c r="A63">
        <v>24.11</v>
      </c>
      <c r="B63">
        <v>39.46</v>
      </c>
      <c r="C63">
        <v>19.73</v>
      </c>
      <c r="D63">
        <v>4.8</v>
      </c>
    </row>
    <row r="64" spans="1:4" x14ac:dyDescent="0.25">
      <c r="A64">
        <v>28.74</v>
      </c>
      <c r="B64">
        <v>27.12</v>
      </c>
      <c r="C64">
        <v>14.82</v>
      </c>
      <c r="D64">
        <v>15.68</v>
      </c>
    </row>
    <row r="65" spans="1:4" x14ac:dyDescent="0.25">
      <c r="A65">
        <v>15.92</v>
      </c>
      <c r="B65">
        <v>13.81</v>
      </c>
      <c r="C65">
        <v>29.55</v>
      </c>
      <c r="D65">
        <v>13.15</v>
      </c>
    </row>
    <row r="66" spans="1:4" x14ac:dyDescent="0.25">
      <c r="A66">
        <v>13.04</v>
      </c>
      <c r="B66">
        <v>32.15</v>
      </c>
      <c r="C66">
        <v>34.630000000000003</v>
      </c>
      <c r="D66">
        <v>11.27</v>
      </c>
    </row>
    <row r="67" spans="1:4" x14ac:dyDescent="0.25">
      <c r="A67">
        <v>10.58</v>
      </c>
      <c r="B67">
        <v>16.32</v>
      </c>
      <c r="C67">
        <v>44.48</v>
      </c>
      <c r="D67">
        <v>4.99</v>
      </c>
    </row>
    <row r="68" spans="1:4" x14ac:dyDescent="0.25">
      <c r="A68">
        <v>35.119999999999997</v>
      </c>
      <c r="B68">
        <v>24.63</v>
      </c>
      <c r="C68">
        <v>14.63</v>
      </c>
      <c r="D68">
        <v>38.61</v>
      </c>
    </row>
    <row r="69" spans="1:4" x14ac:dyDescent="0.25">
      <c r="A69">
        <v>32.619999999999997</v>
      </c>
      <c r="B69">
        <v>31.28</v>
      </c>
      <c r="C69">
        <v>10.039999999999999</v>
      </c>
      <c r="D69">
        <v>9.6999999999999993</v>
      </c>
    </row>
    <row r="70" spans="1:4" x14ac:dyDescent="0.25">
      <c r="A70">
        <v>36.369999999999997</v>
      </c>
      <c r="B70">
        <v>24.47</v>
      </c>
      <c r="C70">
        <v>33.24</v>
      </c>
      <c r="D70">
        <v>11.12</v>
      </c>
    </row>
    <row r="71" spans="1:4" x14ac:dyDescent="0.25">
      <c r="A71">
        <v>11.06</v>
      </c>
      <c r="B71">
        <v>24.14</v>
      </c>
      <c r="C71">
        <v>16.68</v>
      </c>
      <c r="D71">
        <v>21.63</v>
      </c>
    </row>
    <row r="72" spans="1:4" x14ac:dyDescent="0.25">
      <c r="A72">
        <v>5.34</v>
      </c>
      <c r="B72">
        <v>11.36</v>
      </c>
      <c r="C72">
        <v>20.36</v>
      </c>
      <c r="D72">
        <v>25.69</v>
      </c>
    </row>
    <row r="73" spans="1:4" x14ac:dyDescent="0.25">
      <c r="A73">
        <v>15.61</v>
      </c>
      <c r="B73">
        <v>11.08</v>
      </c>
      <c r="C73">
        <v>17.48</v>
      </c>
      <c r="D73">
        <v>13.6</v>
      </c>
    </row>
    <row r="74" spans="1:4" x14ac:dyDescent="0.25">
      <c r="A74">
        <v>15.13</v>
      </c>
      <c r="B74">
        <v>28.05</v>
      </c>
      <c r="C74">
        <v>12.72</v>
      </c>
      <c r="D74">
        <v>20.63</v>
      </c>
    </row>
    <row r="75" spans="1:4" x14ac:dyDescent="0.25">
      <c r="A75">
        <v>19.260000000000002</v>
      </c>
      <c r="B75">
        <v>11.11</v>
      </c>
      <c r="C75">
        <v>17.22</v>
      </c>
      <c r="D75">
        <v>4.66</v>
      </c>
    </row>
    <row r="76" spans="1:4" x14ac:dyDescent="0.25">
      <c r="A76">
        <v>7.36</v>
      </c>
      <c r="B76">
        <v>21.97</v>
      </c>
      <c r="C76">
        <v>12.28</v>
      </c>
      <c r="D76">
        <v>24.97</v>
      </c>
    </row>
    <row r="77" spans="1:4" x14ac:dyDescent="0.25">
      <c r="A77">
        <v>5.1100000000000003</v>
      </c>
      <c r="B77">
        <v>53.54</v>
      </c>
      <c r="C77">
        <v>33.729999999999997</v>
      </c>
      <c r="D77">
        <v>7.4</v>
      </c>
    </row>
    <row r="78" spans="1:4" x14ac:dyDescent="0.25">
      <c r="A78">
        <v>31.1</v>
      </c>
      <c r="B78">
        <v>18.37</v>
      </c>
      <c r="C78">
        <v>10.95</v>
      </c>
      <c r="D78">
        <v>49.68</v>
      </c>
    </row>
    <row r="79" spans="1:4" x14ac:dyDescent="0.25">
      <c r="A79">
        <v>20.36</v>
      </c>
      <c r="B79">
        <v>38.840000000000003</v>
      </c>
      <c r="C79">
        <v>14.49</v>
      </c>
      <c r="D79">
        <v>21.44</v>
      </c>
    </row>
    <row r="80" spans="1:4" x14ac:dyDescent="0.25">
      <c r="A80">
        <v>4.82</v>
      </c>
      <c r="B80">
        <v>9.7200000000000006</v>
      </c>
      <c r="C80">
        <v>11.74</v>
      </c>
      <c r="D80">
        <v>4.67</v>
      </c>
    </row>
    <row r="81" spans="1:4" x14ac:dyDescent="0.25">
      <c r="A81">
        <v>15.49</v>
      </c>
      <c r="B81">
        <v>44.78</v>
      </c>
      <c r="C81">
        <v>17.87</v>
      </c>
      <c r="D81">
        <v>32.61</v>
      </c>
    </row>
    <row r="82" spans="1:4" x14ac:dyDescent="0.25">
      <c r="A82">
        <v>25.14</v>
      </c>
      <c r="B82">
        <v>21.94</v>
      </c>
      <c r="C82">
        <v>24.77</v>
      </c>
      <c r="D82">
        <v>16.28</v>
      </c>
    </row>
    <row r="83" spans="1:4" x14ac:dyDescent="0.25">
      <c r="A83">
        <v>10.02</v>
      </c>
      <c r="B83">
        <v>10.92</v>
      </c>
      <c r="C83">
        <v>12.26</v>
      </c>
      <c r="D83">
        <v>20.99</v>
      </c>
    </row>
    <row r="84" spans="1:4" x14ac:dyDescent="0.25">
      <c r="A84">
        <v>9.17</v>
      </c>
      <c r="B84">
        <v>11.37</v>
      </c>
      <c r="C84">
        <v>3.59</v>
      </c>
      <c r="D84">
        <v>12.74</v>
      </c>
    </row>
    <row r="85" spans="1:4" x14ac:dyDescent="0.25">
      <c r="A85">
        <v>49.65</v>
      </c>
      <c r="B85">
        <v>23.17</v>
      </c>
      <c r="C85">
        <v>49.97</v>
      </c>
      <c r="D85">
        <v>8.2100000000000009</v>
      </c>
    </row>
    <row r="86" spans="1:4" x14ac:dyDescent="0.25">
      <c r="A86">
        <v>26.5</v>
      </c>
      <c r="B86">
        <v>20.83</v>
      </c>
      <c r="C86">
        <v>22.76</v>
      </c>
      <c r="D86">
        <v>30.25</v>
      </c>
    </row>
    <row r="87" spans="1:4" x14ac:dyDescent="0.25">
      <c r="A87">
        <v>18.05</v>
      </c>
      <c r="B87">
        <v>8.08</v>
      </c>
      <c r="C87">
        <v>19.93</v>
      </c>
      <c r="D87">
        <v>51.89</v>
      </c>
    </row>
    <row r="88" spans="1:4" x14ac:dyDescent="0.25">
      <c r="A88">
        <v>13.54</v>
      </c>
      <c r="B88">
        <v>13.98</v>
      </c>
      <c r="C88">
        <v>27.9</v>
      </c>
      <c r="D88">
        <v>2.71</v>
      </c>
    </row>
    <row r="89" spans="1:4" x14ac:dyDescent="0.25">
      <c r="A89">
        <v>1.67</v>
      </c>
      <c r="B89">
        <v>37.81</v>
      </c>
      <c r="C89">
        <v>15.82</v>
      </c>
      <c r="D89">
        <v>31.88</v>
      </c>
    </row>
    <row r="90" spans="1:4" x14ac:dyDescent="0.25">
      <c r="A90">
        <v>34.090000000000003</v>
      </c>
      <c r="B90">
        <v>40.020000000000003</v>
      </c>
      <c r="C90">
        <v>11.87</v>
      </c>
      <c r="D90">
        <v>26.11</v>
      </c>
    </row>
    <row r="91" spans="1:4" x14ac:dyDescent="0.25">
      <c r="A91">
        <v>19.62</v>
      </c>
      <c r="B91">
        <v>9.68</v>
      </c>
      <c r="C91">
        <v>16.54</v>
      </c>
      <c r="D91">
        <v>54.21</v>
      </c>
    </row>
    <row r="92" spans="1:4" x14ac:dyDescent="0.25">
      <c r="A92">
        <v>20.350000000000001</v>
      </c>
      <c r="B92">
        <v>14.09</v>
      </c>
      <c r="C92">
        <v>21.98</v>
      </c>
      <c r="D92">
        <v>23.73</v>
      </c>
    </row>
    <row r="93" spans="1:4" x14ac:dyDescent="0.25">
      <c r="A93">
        <v>2.56</v>
      </c>
      <c r="B93">
        <v>13.3</v>
      </c>
      <c r="C93">
        <v>31.5</v>
      </c>
      <c r="D93">
        <v>33.270000000000003</v>
      </c>
    </row>
    <row r="94" spans="1:4" x14ac:dyDescent="0.25">
      <c r="A94">
        <v>17.670000000000002</v>
      </c>
      <c r="B94">
        <v>15.77</v>
      </c>
      <c r="C94">
        <v>19.61</v>
      </c>
      <c r="D94">
        <v>29.34</v>
      </c>
    </row>
    <row r="95" spans="1:4" x14ac:dyDescent="0.25">
      <c r="A95">
        <v>1.01</v>
      </c>
      <c r="B95">
        <v>21.21</v>
      </c>
      <c r="C95">
        <v>6.99</v>
      </c>
      <c r="D95">
        <v>29.83</v>
      </c>
    </row>
    <row r="96" spans="1:4" x14ac:dyDescent="0.25">
      <c r="A96">
        <v>19.78</v>
      </c>
      <c r="B96">
        <v>7.37</v>
      </c>
      <c r="C96">
        <v>10.79</v>
      </c>
      <c r="D96">
        <v>3.68</v>
      </c>
    </row>
    <row r="97" spans="1:4" x14ac:dyDescent="0.25">
      <c r="A97">
        <v>16.420000000000002</v>
      </c>
      <c r="B97">
        <v>44.67</v>
      </c>
      <c r="C97">
        <v>2.62</v>
      </c>
      <c r="D97">
        <v>24.68</v>
      </c>
    </row>
    <row r="98" spans="1:4" x14ac:dyDescent="0.25">
      <c r="A98">
        <v>16.32</v>
      </c>
      <c r="B98">
        <v>4.8899999999999997</v>
      </c>
      <c r="C98">
        <v>4.58</v>
      </c>
      <c r="D98">
        <v>9.82</v>
      </c>
    </row>
    <row r="99" spans="1:4" x14ac:dyDescent="0.25">
      <c r="A99">
        <v>3.39</v>
      </c>
      <c r="B99">
        <v>9.94</v>
      </c>
      <c r="C99">
        <v>26.64</v>
      </c>
      <c r="D99">
        <v>26.36</v>
      </c>
    </row>
    <row r="100" spans="1:4" x14ac:dyDescent="0.25">
      <c r="A100">
        <v>9.67</v>
      </c>
      <c r="B100">
        <v>10.23</v>
      </c>
      <c r="C100">
        <v>11.67</v>
      </c>
      <c r="D100">
        <v>21.42</v>
      </c>
    </row>
    <row r="101" spans="1:4" x14ac:dyDescent="0.25">
      <c r="A101">
        <v>7</v>
      </c>
      <c r="B101">
        <v>16.600000000000001</v>
      </c>
      <c r="C101">
        <v>19.25</v>
      </c>
      <c r="D101">
        <v>4.5199999999999996</v>
      </c>
    </row>
    <row r="102" spans="1:4" x14ac:dyDescent="0.25">
      <c r="A102">
        <v>0.79</v>
      </c>
      <c r="B102">
        <v>0.56000000000000005</v>
      </c>
      <c r="C102">
        <v>19.489999999999998</v>
      </c>
      <c r="D102">
        <v>22.77</v>
      </c>
    </row>
    <row r="103" spans="1:4" x14ac:dyDescent="0.25">
      <c r="A103">
        <v>28.01</v>
      </c>
      <c r="B103">
        <v>20.36</v>
      </c>
      <c r="C103">
        <v>8.2799999999999994</v>
      </c>
      <c r="D103">
        <v>22.42</v>
      </c>
    </row>
    <row r="104" spans="1:4" x14ac:dyDescent="0.25">
      <c r="A104">
        <v>40.880000000000003</v>
      </c>
      <c r="B104">
        <v>23.83</v>
      </c>
      <c r="C104">
        <v>15.9</v>
      </c>
      <c r="D104">
        <v>29.51</v>
      </c>
    </row>
    <row r="105" spans="1:4" x14ac:dyDescent="0.25">
      <c r="A105">
        <v>27.75</v>
      </c>
      <c r="B105">
        <v>0.77</v>
      </c>
      <c r="C105">
        <v>36.72</v>
      </c>
      <c r="D105">
        <v>6.73</v>
      </c>
    </row>
    <row r="106" spans="1:4" x14ac:dyDescent="0.25">
      <c r="A106">
        <v>10.9</v>
      </c>
      <c r="B106">
        <v>38.700000000000003</v>
      </c>
      <c r="C106">
        <v>31.03</v>
      </c>
      <c r="D106">
        <v>8.32</v>
      </c>
    </row>
    <row r="107" spans="1:4" x14ac:dyDescent="0.25">
      <c r="A107">
        <v>6.76</v>
      </c>
      <c r="B107">
        <v>6.82</v>
      </c>
      <c r="C107">
        <v>2.1</v>
      </c>
      <c r="D107">
        <v>14.93</v>
      </c>
    </row>
    <row r="108" spans="1:4" x14ac:dyDescent="0.25">
      <c r="A108">
        <v>32.94</v>
      </c>
      <c r="B108">
        <v>40.700000000000003</v>
      </c>
      <c r="C108">
        <v>26.89</v>
      </c>
      <c r="D108">
        <v>8.49</v>
      </c>
    </row>
    <row r="109" spans="1:4" x14ac:dyDescent="0.25">
      <c r="A109">
        <v>13.4</v>
      </c>
      <c r="B109">
        <v>16.43</v>
      </c>
      <c r="C109">
        <v>23.63</v>
      </c>
      <c r="D109">
        <v>21.77</v>
      </c>
    </row>
    <row r="110" spans="1:4" x14ac:dyDescent="0.25">
      <c r="A110">
        <v>45.57</v>
      </c>
      <c r="B110">
        <v>26.93</v>
      </c>
      <c r="C110">
        <v>36.96</v>
      </c>
      <c r="D110">
        <v>8.76</v>
      </c>
    </row>
    <row r="111" spans="1:4" x14ac:dyDescent="0.25">
      <c r="A111">
        <v>3.16</v>
      </c>
      <c r="B111">
        <v>19.34</v>
      </c>
      <c r="C111">
        <v>6.97</v>
      </c>
      <c r="D111">
        <v>12.2</v>
      </c>
    </row>
    <row r="112" spans="1:4" x14ac:dyDescent="0.25">
      <c r="A112">
        <v>18.29</v>
      </c>
      <c r="B112">
        <v>20.239999999999998</v>
      </c>
      <c r="C112">
        <v>11.38</v>
      </c>
      <c r="D112">
        <v>35.270000000000003</v>
      </c>
    </row>
    <row r="113" spans="1:4" x14ac:dyDescent="0.25">
      <c r="A113">
        <v>7.35</v>
      </c>
      <c r="B113">
        <v>14.12</v>
      </c>
      <c r="C113">
        <v>5.79</v>
      </c>
      <c r="D113">
        <v>14.75</v>
      </c>
    </row>
    <row r="114" spans="1:4" x14ac:dyDescent="0.25">
      <c r="A114">
        <v>36.32</v>
      </c>
      <c r="B114">
        <v>12.48</v>
      </c>
      <c r="C114">
        <v>11.28</v>
      </c>
      <c r="D114">
        <v>7.54</v>
      </c>
    </row>
    <row r="115" spans="1:4" x14ac:dyDescent="0.25">
      <c r="A115">
        <v>7.8</v>
      </c>
      <c r="B115">
        <v>14.99</v>
      </c>
      <c r="C115">
        <v>8.65</v>
      </c>
      <c r="D115">
        <v>14.85</v>
      </c>
    </row>
    <row r="116" spans="1:4" x14ac:dyDescent="0.25">
      <c r="A116">
        <v>25.33</v>
      </c>
      <c r="B116">
        <v>8.1300000000000008</v>
      </c>
      <c r="C116">
        <v>34.6</v>
      </c>
      <c r="D116">
        <v>6.84</v>
      </c>
    </row>
    <row r="117" spans="1:4" x14ac:dyDescent="0.25">
      <c r="A117">
        <v>30</v>
      </c>
      <c r="B117">
        <v>10.92</v>
      </c>
      <c r="C117">
        <v>23.93</v>
      </c>
      <c r="D117">
        <v>35.520000000000003</v>
      </c>
    </row>
    <row r="118" spans="1:4" x14ac:dyDescent="0.25">
      <c r="A118">
        <v>38.72</v>
      </c>
      <c r="B118">
        <v>12.95</v>
      </c>
      <c r="C118">
        <v>27.63</v>
      </c>
      <c r="D118">
        <v>12.46</v>
      </c>
    </row>
    <row r="119" spans="1:4" x14ac:dyDescent="0.25">
      <c r="A119">
        <v>3.24</v>
      </c>
      <c r="B119">
        <v>32.08</v>
      </c>
      <c r="C119">
        <v>10.86</v>
      </c>
      <c r="D119">
        <v>13.58</v>
      </c>
    </row>
    <row r="120" spans="1:4" x14ac:dyDescent="0.25">
      <c r="A120">
        <v>45.07</v>
      </c>
      <c r="B120">
        <v>19.22</v>
      </c>
      <c r="C120">
        <v>3.52</v>
      </c>
      <c r="D120">
        <v>17.14</v>
      </c>
    </row>
    <row r="121" spans="1:4" x14ac:dyDescent="0.25">
      <c r="A121">
        <v>37.04</v>
      </c>
      <c r="B121">
        <v>13.66</v>
      </c>
      <c r="C121">
        <v>8.26</v>
      </c>
      <c r="D121">
        <v>8.84</v>
      </c>
    </row>
    <row r="122" spans="1:4" x14ac:dyDescent="0.25">
      <c r="A122">
        <v>11.95</v>
      </c>
      <c r="B122">
        <v>36.04</v>
      </c>
      <c r="C122">
        <v>46.48</v>
      </c>
      <c r="D122">
        <v>14.81</v>
      </c>
    </row>
    <row r="123" spans="1:4" x14ac:dyDescent="0.25">
      <c r="A123">
        <v>18.37</v>
      </c>
      <c r="B123">
        <v>11.22</v>
      </c>
      <c r="C123">
        <v>17.5</v>
      </c>
      <c r="D123">
        <v>39.369999999999997</v>
      </c>
    </row>
    <row r="124" spans="1:4" x14ac:dyDescent="0.25">
      <c r="A124">
        <v>24.3</v>
      </c>
      <c r="B124">
        <v>26.66</v>
      </c>
      <c r="C124">
        <v>29.09</v>
      </c>
      <c r="D124">
        <v>5.56</v>
      </c>
    </row>
    <row r="125" spans="1:4" x14ac:dyDescent="0.25">
      <c r="A125">
        <v>12.3</v>
      </c>
      <c r="B125">
        <v>13.86</v>
      </c>
      <c r="C125">
        <v>15.21</v>
      </c>
      <c r="D125">
        <v>12.35</v>
      </c>
    </row>
    <row r="126" spans="1:4" x14ac:dyDescent="0.25">
      <c r="A126">
        <v>23.62</v>
      </c>
      <c r="B126">
        <v>20.8</v>
      </c>
      <c r="C126">
        <v>2.2799999999999998</v>
      </c>
      <c r="D126">
        <v>23.63</v>
      </c>
    </row>
    <row r="127" spans="1:4" x14ac:dyDescent="0.25">
      <c r="A127">
        <v>28.46</v>
      </c>
      <c r="B127">
        <v>11.85</v>
      </c>
      <c r="C127">
        <v>30.88</v>
      </c>
      <c r="D127">
        <v>33.89</v>
      </c>
    </row>
    <row r="128" spans="1:4" x14ac:dyDescent="0.25">
      <c r="A128">
        <v>31.74</v>
      </c>
      <c r="B128">
        <v>11.12</v>
      </c>
      <c r="C128">
        <v>11.73</v>
      </c>
      <c r="D128">
        <v>14.75</v>
      </c>
    </row>
    <row r="129" spans="1:4" x14ac:dyDescent="0.25">
      <c r="A129">
        <v>12.23</v>
      </c>
      <c r="B129">
        <v>12.99</v>
      </c>
      <c r="C129">
        <v>14.57</v>
      </c>
      <c r="D129">
        <v>16.38</v>
      </c>
    </row>
    <row r="130" spans="1:4" x14ac:dyDescent="0.25">
      <c r="A130">
        <v>8.26</v>
      </c>
      <c r="B130">
        <v>8.74</v>
      </c>
      <c r="C130">
        <v>41.07</v>
      </c>
      <c r="D130">
        <v>16.88</v>
      </c>
    </row>
    <row r="131" spans="1:4" x14ac:dyDescent="0.25">
      <c r="A131">
        <v>21.21</v>
      </c>
      <c r="B131">
        <v>33.42</v>
      </c>
      <c r="C131">
        <v>10.33</v>
      </c>
      <c r="D131">
        <v>27.31</v>
      </c>
    </row>
    <row r="132" spans="1:4" x14ac:dyDescent="0.25">
      <c r="A132">
        <v>20.82</v>
      </c>
      <c r="B132">
        <v>24.51</v>
      </c>
      <c r="C132">
        <v>9.5500000000000007</v>
      </c>
      <c r="D132">
        <v>19.93</v>
      </c>
    </row>
    <row r="133" spans="1:4" x14ac:dyDescent="0.25">
      <c r="A133">
        <v>12</v>
      </c>
      <c r="B133">
        <v>1.42</v>
      </c>
      <c r="C133">
        <v>8.07</v>
      </c>
      <c r="D133">
        <v>31.24</v>
      </c>
    </row>
    <row r="134" spans="1:4" x14ac:dyDescent="0.25">
      <c r="A134">
        <v>21.92</v>
      </c>
      <c r="B134">
        <v>21.8</v>
      </c>
      <c r="C134">
        <v>35.35</v>
      </c>
      <c r="D134">
        <v>24.19</v>
      </c>
    </row>
    <row r="135" spans="1:4" x14ac:dyDescent="0.25">
      <c r="A135">
        <v>12.88</v>
      </c>
      <c r="B135">
        <v>11.6</v>
      </c>
      <c r="C135">
        <v>17.64</v>
      </c>
      <c r="D135">
        <v>23.85</v>
      </c>
    </row>
    <row r="136" spans="1:4" x14ac:dyDescent="0.25">
      <c r="A136">
        <v>22.42</v>
      </c>
      <c r="B136">
        <v>3.07</v>
      </c>
      <c r="C136">
        <v>14</v>
      </c>
      <c r="D136">
        <v>43.92</v>
      </c>
    </row>
    <row r="137" spans="1:4" x14ac:dyDescent="0.25">
      <c r="A137">
        <v>12.13</v>
      </c>
      <c r="B137">
        <v>20.96</v>
      </c>
      <c r="C137">
        <v>20.99</v>
      </c>
      <c r="D137">
        <v>22.26</v>
      </c>
    </row>
    <row r="138" spans="1:4" x14ac:dyDescent="0.25">
      <c r="A138">
        <v>18.670000000000002</v>
      </c>
      <c r="B138">
        <v>35.44</v>
      </c>
      <c r="C138">
        <v>14.19</v>
      </c>
      <c r="D138">
        <v>74.23</v>
      </c>
    </row>
    <row r="139" spans="1:4" x14ac:dyDescent="0.25">
      <c r="A139">
        <v>28.53</v>
      </c>
      <c r="B139">
        <v>11.36</v>
      </c>
      <c r="C139">
        <v>14.7</v>
      </c>
      <c r="D139">
        <v>13.98</v>
      </c>
    </row>
    <row r="140" spans="1:4" x14ac:dyDescent="0.25">
      <c r="A140">
        <v>3.36</v>
      </c>
      <c r="B140">
        <v>37.270000000000003</v>
      </c>
      <c r="C140">
        <v>21.04</v>
      </c>
      <c r="D140">
        <v>20.64</v>
      </c>
    </row>
    <row r="141" spans="1:4" x14ac:dyDescent="0.25">
      <c r="A141">
        <v>17.27</v>
      </c>
      <c r="B141">
        <v>29.32</v>
      </c>
      <c r="C141">
        <v>27.3</v>
      </c>
      <c r="D141">
        <v>24.02</v>
      </c>
    </row>
    <row r="142" spans="1:4" x14ac:dyDescent="0.25">
      <c r="A142">
        <v>35.24</v>
      </c>
      <c r="B142">
        <v>24.12</v>
      </c>
      <c r="C142">
        <v>32.5</v>
      </c>
      <c r="D142">
        <v>14.42</v>
      </c>
    </row>
    <row r="143" spans="1:4" x14ac:dyDescent="0.25">
      <c r="A143">
        <v>4.6399999999999997</v>
      </c>
      <c r="B143">
        <v>6.73</v>
      </c>
      <c r="C143">
        <v>26.1</v>
      </c>
      <c r="D143">
        <v>26.32</v>
      </c>
    </row>
    <row r="144" spans="1:4" x14ac:dyDescent="0.25">
      <c r="A144">
        <v>11.27</v>
      </c>
      <c r="B144">
        <v>22.2</v>
      </c>
      <c r="C144">
        <v>17.559999999999999</v>
      </c>
      <c r="D144">
        <v>9.49</v>
      </c>
    </row>
    <row r="145" spans="1:4" x14ac:dyDescent="0.25">
      <c r="A145">
        <v>33.33</v>
      </c>
      <c r="B145">
        <v>20.65</v>
      </c>
      <c r="C145">
        <v>2.5299999999999998</v>
      </c>
      <c r="D145">
        <v>14.25</v>
      </c>
    </row>
    <row r="146" spans="1:4" x14ac:dyDescent="0.25">
      <c r="A146">
        <v>8.84</v>
      </c>
      <c r="B146">
        <v>26.29</v>
      </c>
      <c r="C146">
        <v>15.4</v>
      </c>
      <c r="D146">
        <v>6.78</v>
      </c>
    </row>
    <row r="147" spans="1:4" x14ac:dyDescent="0.25">
      <c r="A147">
        <v>2.85</v>
      </c>
      <c r="B147">
        <v>33.31</v>
      </c>
      <c r="C147">
        <v>23.71</v>
      </c>
      <c r="D147">
        <v>12.38</v>
      </c>
    </row>
    <row r="148" spans="1:4" x14ac:dyDescent="0.25">
      <c r="A148">
        <v>2.76</v>
      </c>
      <c r="B148">
        <v>11.62</v>
      </c>
      <c r="C148">
        <v>3.02</v>
      </c>
      <c r="D148">
        <v>26.72</v>
      </c>
    </row>
    <row r="149" spans="1:4" x14ac:dyDescent="0.25">
      <c r="A149">
        <v>16.170000000000002</v>
      </c>
      <c r="B149">
        <v>28.01</v>
      </c>
      <c r="C149">
        <v>21.21</v>
      </c>
      <c r="D149">
        <v>2.2599999999999998</v>
      </c>
    </row>
    <row r="150" spans="1:4" x14ac:dyDescent="0.25">
      <c r="A150">
        <v>34.880000000000003</v>
      </c>
      <c r="B150">
        <v>11.2</v>
      </c>
      <c r="C150">
        <v>14.58</v>
      </c>
      <c r="D150">
        <v>24.37</v>
      </c>
    </row>
    <row r="151" spans="1:4" x14ac:dyDescent="0.25">
      <c r="A151">
        <v>24.04</v>
      </c>
      <c r="B151">
        <v>22.63</v>
      </c>
      <c r="C151">
        <v>20.329999999999998</v>
      </c>
      <c r="D151">
        <v>29.74</v>
      </c>
    </row>
    <row r="152" spans="1:4" x14ac:dyDescent="0.25">
      <c r="A152">
        <v>5.07</v>
      </c>
      <c r="B152">
        <v>29.43</v>
      </c>
      <c r="C152">
        <v>30.64</v>
      </c>
      <c r="D152">
        <v>16.46</v>
      </c>
    </row>
    <row r="153" spans="1:4" x14ac:dyDescent="0.25">
      <c r="A153">
        <v>35.78</v>
      </c>
      <c r="B153">
        <v>40.67</v>
      </c>
      <c r="C153">
        <v>25.7</v>
      </c>
      <c r="D153">
        <v>38.79</v>
      </c>
    </row>
    <row r="154" spans="1:4" x14ac:dyDescent="0.25">
      <c r="A154">
        <v>4.8499999999999996</v>
      </c>
      <c r="B154">
        <v>9.92</v>
      </c>
      <c r="C154">
        <v>18.239999999999998</v>
      </c>
      <c r="D154">
        <v>39.07</v>
      </c>
    </row>
    <row r="155" spans="1:4" x14ac:dyDescent="0.25">
      <c r="A155">
        <v>9.58</v>
      </c>
      <c r="B155">
        <v>19.920000000000002</v>
      </c>
      <c r="C155">
        <v>23.61</v>
      </c>
      <c r="D155">
        <v>9.11</v>
      </c>
    </row>
    <row r="156" spans="1:4" x14ac:dyDescent="0.25">
      <c r="A156">
        <v>27.01</v>
      </c>
      <c r="B156">
        <v>8.1300000000000008</v>
      </c>
      <c r="C156">
        <v>11.11</v>
      </c>
      <c r="D156">
        <v>45.23</v>
      </c>
    </row>
    <row r="157" spans="1:4" x14ac:dyDescent="0.25">
      <c r="A157">
        <v>27.46</v>
      </c>
      <c r="B157">
        <v>7.47</v>
      </c>
      <c r="C157">
        <v>7.92</v>
      </c>
      <c r="D157">
        <v>36.229999999999997</v>
      </c>
    </row>
    <row r="158" spans="1:4" x14ac:dyDescent="0.25">
      <c r="A158">
        <v>17.86</v>
      </c>
      <c r="B158">
        <v>24.59</v>
      </c>
      <c r="C158">
        <v>31.41</v>
      </c>
      <c r="D158">
        <v>10.09</v>
      </c>
    </row>
    <row r="159" spans="1:4" x14ac:dyDescent="0.25">
      <c r="A159">
        <v>3.83</v>
      </c>
      <c r="B159">
        <v>37.42</v>
      </c>
      <c r="C159">
        <v>9.74</v>
      </c>
      <c r="D159">
        <v>40.69</v>
      </c>
    </row>
    <row r="160" spans="1:4" x14ac:dyDescent="0.25">
      <c r="A160">
        <v>7.49</v>
      </c>
      <c r="B160">
        <v>14.91</v>
      </c>
      <c r="C160">
        <v>26.49</v>
      </c>
      <c r="D160">
        <v>18.73</v>
      </c>
    </row>
    <row r="161" spans="1:4" x14ac:dyDescent="0.25">
      <c r="A161">
        <v>23.52</v>
      </c>
      <c r="B161">
        <v>18.14</v>
      </c>
      <c r="C161">
        <v>7.83</v>
      </c>
      <c r="D161">
        <v>24.9</v>
      </c>
    </row>
    <row r="162" spans="1:4" x14ac:dyDescent="0.25">
      <c r="A162">
        <v>32.42</v>
      </c>
      <c r="B162">
        <v>28.1</v>
      </c>
      <c r="C162">
        <v>6.99</v>
      </c>
      <c r="D162">
        <v>15.72</v>
      </c>
    </row>
    <row r="163" spans="1:4" x14ac:dyDescent="0.25">
      <c r="A163">
        <v>16.78</v>
      </c>
      <c r="B163">
        <v>10.6</v>
      </c>
      <c r="C163">
        <v>6.26</v>
      </c>
      <c r="D163">
        <v>43.79</v>
      </c>
    </row>
    <row r="164" spans="1:4" x14ac:dyDescent="0.25">
      <c r="A164">
        <v>17.899999999999999</v>
      </c>
      <c r="B164">
        <v>10.06</v>
      </c>
      <c r="C164">
        <v>21.18</v>
      </c>
      <c r="D164">
        <v>11.98</v>
      </c>
    </row>
    <row r="165" spans="1:4" x14ac:dyDescent="0.25">
      <c r="A165">
        <v>22.54</v>
      </c>
      <c r="B165">
        <v>4.76</v>
      </c>
      <c r="C165">
        <v>23.15</v>
      </c>
      <c r="D165">
        <v>16.66</v>
      </c>
    </row>
    <row r="166" spans="1:4" x14ac:dyDescent="0.25">
      <c r="A166">
        <v>27.2</v>
      </c>
      <c r="B166">
        <v>2.78</v>
      </c>
      <c r="C166">
        <v>12.08</v>
      </c>
      <c r="D166">
        <v>57.9</v>
      </c>
    </row>
    <row r="167" spans="1:4" x14ac:dyDescent="0.25">
      <c r="A167">
        <v>25.27</v>
      </c>
      <c r="B167">
        <v>16.93</v>
      </c>
      <c r="C167">
        <v>33.72</v>
      </c>
      <c r="D167">
        <v>23.9</v>
      </c>
    </row>
    <row r="168" spans="1:4" x14ac:dyDescent="0.25">
      <c r="A168">
        <v>35.57</v>
      </c>
      <c r="B168">
        <v>25.81</v>
      </c>
      <c r="C168">
        <v>20.32</v>
      </c>
      <c r="D168">
        <v>33.25</v>
      </c>
    </row>
    <row r="169" spans="1:4" x14ac:dyDescent="0.25">
      <c r="A169">
        <v>17.72</v>
      </c>
      <c r="B169">
        <v>27.01</v>
      </c>
      <c r="C169">
        <v>36.67</v>
      </c>
      <c r="D169">
        <v>7.2</v>
      </c>
    </row>
    <row r="170" spans="1:4" x14ac:dyDescent="0.25">
      <c r="A170">
        <v>3.85</v>
      </c>
      <c r="B170">
        <v>20.399999999999999</v>
      </c>
      <c r="C170">
        <v>14.09</v>
      </c>
      <c r="D170">
        <v>8.07</v>
      </c>
    </row>
    <row r="171" spans="1:4" x14ac:dyDescent="0.25">
      <c r="A171">
        <v>1.72</v>
      </c>
      <c r="B171">
        <v>7.64</v>
      </c>
      <c r="C171">
        <v>7.96</v>
      </c>
      <c r="D171">
        <v>18.149999999999999</v>
      </c>
    </row>
    <row r="172" spans="1:4" x14ac:dyDescent="0.25">
      <c r="A172">
        <v>19.11</v>
      </c>
      <c r="B172">
        <v>26.84</v>
      </c>
      <c r="C172">
        <v>44.61</v>
      </c>
      <c r="D172">
        <v>32.49</v>
      </c>
    </row>
    <row r="173" spans="1:4" x14ac:dyDescent="0.25">
      <c r="A173">
        <v>25.18</v>
      </c>
      <c r="B173">
        <v>20.36</v>
      </c>
      <c r="C173">
        <v>19.7</v>
      </c>
      <c r="D173">
        <v>23.94</v>
      </c>
    </row>
    <row r="174" spans="1:4" x14ac:dyDescent="0.25">
      <c r="A174">
        <v>21.44</v>
      </c>
      <c r="B174">
        <v>24.31</v>
      </c>
      <c r="C174">
        <v>85.9</v>
      </c>
      <c r="D174">
        <v>22.49</v>
      </c>
    </row>
    <row r="175" spans="1:4" x14ac:dyDescent="0.25">
      <c r="A175">
        <v>11.79</v>
      </c>
      <c r="B175">
        <v>25.06</v>
      </c>
      <c r="C175">
        <v>12.81</v>
      </c>
      <c r="D175">
        <v>19.82</v>
      </c>
    </row>
    <row r="176" spans="1:4" x14ac:dyDescent="0.25">
      <c r="A176">
        <v>30.97</v>
      </c>
      <c r="B176">
        <v>15.86</v>
      </c>
      <c r="C176">
        <v>12.52</v>
      </c>
      <c r="D176">
        <v>14.47</v>
      </c>
    </row>
    <row r="177" spans="1:4" x14ac:dyDescent="0.25">
      <c r="A177">
        <v>7.62</v>
      </c>
      <c r="B177">
        <v>12.19</v>
      </c>
      <c r="C177">
        <v>54.22</v>
      </c>
      <c r="D177">
        <v>18.510000000000002</v>
      </c>
    </row>
    <row r="178" spans="1:4" x14ac:dyDescent="0.25">
      <c r="A178">
        <v>20.61</v>
      </c>
      <c r="B178">
        <v>17.739999999999998</v>
      </c>
      <c r="C178">
        <v>6.48</v>
      </c>
      <c r="D178">
        <v>14.96</v>
      </c>
    </row>
    <row r="179" spans="1:4" x14ac:dyDescent="0.25">
      <c r="A179">
        <v>13.52</v>
      </c>
      <c r="B179">
        <v>8.99</v>
      </c>
      <c r="C179">
        <v>37.36</v>
      </c>
      <c r="D179">
        <v>9.11</v>
      </c>
    </row>
    <row r="180" spans="1:4" x14ac:dyDescent="0.25">
      <c r="A180">
        <v>2.14</v>
      </c>
      <c r="B180">
        <v>18.510000000000002</v>
      </c>
      <c r="C180">
        <v>29.03</v>
      </c>
      <c r="D180">
        <v>15.62</v>
      </c>
    </row>
    <row r="181" spans="1:4" x14ac:dyDescent="0.25">
      <c r="A181">
        <v>9.17</v>
      </c>
      <c r="B181">
        <v>11.77</v>
      </c>
      <c r="C181">
        <v>6.59</v>
      </c>
      <c r="D181">
        <v>19.97</v>
      </c>
    </row>
    <row r="182" spans="1:4" x14ac:dyDescent="0.25">
      <c r="A182">
        <v>13.62</v>
      </c>
      <c r="B182">
        <v>26.51</v>
      </c>
      <c r="C182">
        <v>5.85</v>
      </c>
      <c r="D182">
        <v>10.88</v>
      </c>
    </row>
    <row r="183" spans="1:4" x14ac:dyDescent="0.25">
      <c r="A183">
        <v>23.92</v>
      </c>
      <c r="B183">
        <v>35.700000000000003</v>
      </c>
      <c r="C183">
        <v>6.83</v>
      </c>
      <c r="D183">
        <v>18.63</v>
      </c>
    </row>
    <row r="184" spans="1:4" x14ac:dyDescent="0.25">
      <c r="A184">
        <v>26.64</v>
      </c>
      <c r="B184">
        <v>20.83</v>
      </c>
      <c r="C184">
        <v>14.87</v>
      </c>
      <c r="D184">
        <v>23.98</v>
      </c>
    </row>
    <row r="185" spans="1:4" x14ac:dyDescent="0.25">
      <c r="A185">
        <v>41.61</v>
      </c>
      <c r="B185">
        <v>21</v>
      </c>
      <c r="C185">
        <v>4.71</v>
      </c>
      <c r="D185">
        <v>20.99</v>
      </c>
    </row>
    <row r="186" spans="1:4" x14ac:dyDescent="0.25">
      <c r="A186">
        <v>34.700000000000003</v>
      </c>
      <c r="B186">
        <v>16.02</v>
      </c>
      <c r="C186">
        <v>18.98</v>
      </c>
      <c r="D186">
        <v>7.52</v>
      </c>
    </row>
    <row r="187" spans="1:4" x14ac:dyDescent="0.25">
      <c r="A187">
        <v>21.07</v>
      </c>
      <c r="B187">
        <v>25.82</v>
      </c>
      <c r="C187">
        <v>46.14</v>
      </c>
      <c r="D187">
        <v>25.41</v>
      </c>
    </row>
    <row r="188" spans="1:4" x14ac:dyDescent="0.25">
      <c r="A188">
        <v>4.7300000000000004</v>
      </c>
      <c r="B188">
        <v>9.16</v>
      </c>
      <c r="C188">
        <v>30.05</v>
      </c>
      <c r="D188">
        <v>16.16</v>
      </c>
    </row>
    <row r="189" spans="1:4" x14ac:dyDescent="0.25">
      <c r="A189">
        <v>49.5</v>
      </c>
      <c r="B189">
        <v>17.170000000000002</v>
      </c>
      <c r="C189">
        <v>7.2</v>
      </c>
      <c r="D189">
        <v>31.48</v>
      </c>
    </row>
    <row r="190" spans="1:4" x14ac:dyDescent="0.25">
      <c r="A190">
        <v>29.39</v>
      </c>
      <c r="B190">
        <v>7.67</v>
      </c>
      <c r="C190">
        <v>16.87</v>
      </c>
      <c r="D190">
        <v>17.18</v>
      </c>
    </row>
    <row r="191" spans="1:4" x14ac:dyDescent="0.25">
      <c r="A191">
        <v>22.73</v>
      </c>
      <c r="B191">
        <v>9.85</v>
      </c>
      <c r="C191">
        <v>5.5</v>
      </c>
      <c r="D191">
        <v>10.83</v>
      </c>
    </row>
    <row r="192" spans="1:4" x14ac:dyDescent="0.25">
      <c r="A192">
        <v>12.45</v>
      </c>
      <c r="B192">
        <v>15.72</v>
      </c>
      <c r="C192">
        <v>45.45</v>
      </c>
      <c r="D192">
        <v>14.48</v>
      </c>
    </row>
    <row r="193" spans="1:4" x14ac:dyDescent="0.25">
      <c r="A193">
        <v>27.86</v>
      </c>
      <c r="B193">
        <v>11.52</v>
      </c>
      <c r="C193">
        <v>22.38</v>
      </c>
      <c r="D193">
        <v>6.7</v>
      </c>
    </row>
    <row r="194" spans="1:4" x14ac:dyDescent="0.25">
      <c r="A194">
        <v>20.92</v>
      </c>
      <c r="B194">
        <v>31.08</v>
      </c>
      <c r="C194">
        <v>23.24</v>
      </c>
      <c r="D194">
        <v>13.56</v>
      </c>
    </row>
    <row r="195" spans="1:4" x14ac:dyDescent="0.25">
      <c r="A195">
        <v>16.940000000000001</v>
      </c>
      <c r="B195">
        <v>12.31</v>
      </c>
      <c r="C195">
        <v>27.41</v>
      </c>
      <c r="D195">
        <v>18.71</v>
      </c>
    </row>
    <row r="196" spans="1:4" x14ac:dyDescent="0.25">
      <c r="A196">
        <v>8.33</v>
      </c>
      <c r="B196">
        <v>31.87</v>
      </c>
      <c r="C196">
        <v>10.67</v>
      </c>
      <c r="D196">
        <v>15.19</v>
      </c>
    </row>
    <row r="197" spans="1:4" x14ac:dyDescent="0.25">
      <c r="A197">
        <v>45.54</v>
      </c>
      <c r="B197">
        <v>9.34</v>
      </c>
      <c r="C197">
        <v>15.91</v>
      </c>
      <c r="D197">
        <v>5</v>
      </c>
    </row>
    <row r="198" spans="1:4" x14ac:dyDescent="0.25">
      <c r="A198">
        <v>26.8</v>
      </c>
      <c r="B198">
        <v>17.22</v>
      </c>
      <c r="C198">
        <v>7.15</v>
      </c>
      <c r="D198">
        <v>27.58</v>
      </c>
    </row>
    <row r="199" spans="1:4" x14ac:dyDescent="0.25">
      <c r="A199">
        <v>16.53</v>
      </c>
      <c r="B199">
        <v>13.3</v>
      </c>
      <c r="C199">
        <v>8.06</v>
      </c>
      <c r="D199">
        <v>25.54</v>
      </c>
    </row>
    <row r="200" spans="1:4" x14ac:dyDescent="0.25">
      <c r="A200">
        <v>15.32</v>
      </c>
      <c r="B200">
        <v>38.090000000000003</v>
      </c>
      <c r="C200">
        <v>13.34</v>
      </c>
      <c r="D200">
        <v>29.26</v>
      </c>
    </row>
    <row r="201" spans="1:4" x14ac:dyDescent="0.25">
      <c r="A201">
        <v>16.72</v>
      </c>
      <c r="B201">
        <v>37.450000000000003</v>
      </c>
      <c r="C201">
        <v>16.850000000000001</v>
      </c>
      <c r="D201">
        <v>17.61</v>
      </c>
    </row>
    <row r="202" spans="1:4" x14ac:dyDescent="0.25">
      <c r="A202">
        <v>8.91</v>
      </c>
      <c r="B202">
        <v>15.7</v>
      </c>
      <c r="C202">
        <v>7.48</v>
      </c>
      <c r="D202">
        <v>5.91</v>
      </c>
    </row>
    <row r="203" spans="1:4" x14ac:dyDescent="0.25">
      <c r="A203">
        <v>14.88</v>
      </c>
      <c r="B203">
        <v>17.37</v>
      </c>
      <c r="C203">
        <v>9.19</v>
      </c>
      <c r="D203">
        <v>19.149999999999999</v>
      </c>
    </row>
    <row r="204" spans="1:4" x14ac:dyDescent="0.25">
      <c r="A204">
        <v>22.07</v>
      </c>
      <c r="B204">
        <v>5.52</v>
      </c>
      <c r="C204">
        <v>28.88</v>
      </c>
      <c r="D204">
        <v>24.42</v>
      </c>
    </row>
    <row r="205" spans="1:4" x14ac:dyDescent="0.25">
      <c r="A205">
        <v>25.16</v>
      </c>
      <c r="B205">
        <v>5.89</v>
      </c>
      <c r="C205">
        <v>8.27</v>
      </c>
      <c r="D205">
        <v>4.83</v>
      </c>
    </row>
    <row r="206" spans="1:4" x14ac:dyDescent="0.25">
      <c r="A206">
        <v>29.78</v>
      </c>
      <c r="B206">
        <v>21.47</v>
      </c>
      <c r="C206">
        <v>9.3800000000000008</v>
      </c>
      <c r="D206">
        <v>11.07</v>
      </c>
    </row>
    <row r="207" spans="1:4" x14ac:dyDescent="0.25">
      <c r="A207">
        <v>7.98</v>
      </c>
      <c r="B207">
        <v>16.73</v>
      </c>
      <c r="C207">
        <v>4.37</v>
      </c>
      <c r="D207">
        <v>5.48</v>
      </c>
    </row>
    <row r="208" spans="1:4" x14ac:dyDescent="0.25">
      <c r="A208">
        <v>21.93</v>
      </c>
      <c r="B208">
        <v>21.23</v>
      </c>
      <c r="C208">
        <v>11.65</v>
      </c>
      <c r="D208">
        <v>17.079999999999998</v>
      </c>
    </row>
    <row r="209" spans="1:4" x14ac:dyDescent="0.25">
      <c r="A209">
        <v>11.44</v>
      </c>
      <c r="B209">
        <v>24.87</v>
      </c>
      <c r="C209">
        <v>5.88</v>
      </c>
      <c r="D209">
        <v>18.84</v>
      </c>
    </row>
    <row r="210" spans="1:4" x14ac:dyDescent="0.25">
      <c r="A210">
        <v>6.51</v>
      </c>
      <c r="B210">
        <v>10.050000000000001</v>
      </c>
      <c r="C210">
        <v>5.01</v>
      </c>
      <c r="D210">
        <v>44.63</v>
      </c>
    </row>
    <row r="211" spans="1:4" x14ac:dyDescent="0.25">
      <c r="A211">
        <v>11.22</v>
      </c>
      <c r="B211">
        <v>60.35</v>
      </c>
      <c r="C211">
        <v>33.450000000000003</v>
      </c>
      <c r="D211">
        <v>43.81</v>
      </c>
    </row>
    <row r="212" spans="1:4" x14ac:dyDescent="0.25">
      <c r="A212">
        <v>14.04</v>
      </c>
      <c r="B212">
        <v>17.5</v>
      </c>
      <c r="C212">
        <v>10.69</v>
      </c>
      <c r="D212">
        <v>15.72</v>
      </c>
    </row>
    <row r="213" spans="1:4" x14ac:dyDescent="0.25">
      <c r="A213">
        <v>11.48</v>
      </c>
      <c r="B213">
        <v>24.48</v>
      </c>
      <c r="C213">
        <v>14.45</v>
      </c>
      <c r="D213">
        <v>10.65</v>
      </c>
    </row>
    <row r="214" spans="1:4" x14ac:dyDescent="0.25">
      <c r="A214">
        <v>14.27</v>
      </c>
      <c r="B214">
        <v>63.58</v>
      </c>
      <c r="C214">
        <v>33.49</v>
      </c>
      <c r="D214">
        <v>45.8</v>
      </c>
    </row>
    <row r="215" spans="1:4" x14ac:dyDescent="0.25">
      <c r="A215">
        <v>7.39</v>
      </c>
      <c r="B215">
        <v>10.44</v>
      </c>
      <c r="C215">
        <v>20.03</v>
      </c>
      <c r="D215">
        <v>28.16</v>
      </c>
    </row>
    <row r="216" spans="1:4" x14ac:dyDescent="0.25">
      <c r="A216">
        <v>14.51</v>
      </c>
      <c r="B216">
        <v>27.41</v>
      </c>
      <c r="C216">
        <v>35.520000000000003</v>
      </c>
      <c r="D216">
        <v>8.0399999999999991</v>
      </c>
    </row>
    <row r="217" spans="1:4" x14ac:dyDescent="0.25">
      <c r="A217">
        <v>23.76</v>
      </c>
      <c r="B217">
        <v>15.75</v>
      </c>
      <c r="C217">
        <v>45.48</v>
      </c>
      <c r="D217">
        <v>13.59</v>
      </c>
    </row>
    <row r="218" spans="1:4" x14ac:dyDescent="0.25">
      <c r="A218">
        <v>40.46</v>
      </c>
      <c r="B218">
        <v>13.68</v>
      </c>
      <c r="C218">
        <v>22.14</v>
      </c>
      <c r="D218">
        <v>10.6</v>
      </c>
    </row>
    <row r="219" spans="1:4" x14ac:dyDescent="0.25">
      <c r="A219">
        <v>11.97</v>
      </c>
      <c r="B219">
        <v>43.99</v>
      </c>
      <c r="C219">
        <v>19.38</v>
      </c>
      <c r="D219">
        <v>19.71</v>
      </c>
    </row>
    <row r="220" spans="1:4" x14ac:dyDescent="0.25">
      <c r="A220">
        <v>18</v>
      </c>
      <c r="B220">
        <v>5.57</v>
      </c>
      <c r="C220">
        <v>8.7100000000000009</v>
      </c>
      <c r="D220">
        <v>50.72</v>
      </c>
    </row>
    <row r="221" spans="1:4" x14ac:dyDescent="0.25">
      <c r="A221">
        <v>13.94</v>
      </c>
      <c r="B221">
        <v>7.51</v>
      </c>
      <c r="C221">
        <v>7.36</v>
      </c>
      <c r="D221">
        <v>32.39</v>
      </c>
    </row>
    <row r="222" spans="1:4" x14ac:dyDescent="0.25">
      <c r="A222">
        <v>16.12</v>
      </c>
      <c r="B222">
        <v>11.28</v>
      </c>
      <c r="C222">
        <v>28.62</v>
      </c>
      <c r="D222">
        <v>9.89</v>
      </c>
    </row>
    <row r="223" spans="1:4" x14ac:dyDescent="0.25">
      <c r="A223">
        <v>10.5</v>
      </c>
      <c r="B223">
        <v>12.69</v>
      </c>
      <c r="C223">
        <v>16.28</v>
      </c>
      <c r="D223">
        <v>14.28</v>
      </c>
    </row>
    <row r="224" spans="1:4" x14ac:dyDescent="0.25">
      <c r="A224">
        <v>57.11</v>
      </c>
      <c r="B224">
        <v>16.53</v>
      </c>
      <c r="C224">
        <v>31.34</v>
      </c>
      <c r="D224">
        <v>18.7</v>
      </c>
    </row>
    <row r="225" spans="1:4" x14ac:dyDescent="0.25">
      <c r="A225">
        <v>9.5</v>
      </c>
      <c r="B225">
        <v>14.31</v>
      </c>
      <c r="C225">
        <v>17.100000000000001</v>
      </c>
      <c r="D225">
        <v>23.32</v>
      </c>
    </row>
    <row r="226" spans="1:4" x14ac:dyDescent="0.25">
      <c r="A226">
        <v>11.49</v>
      </c>
      <c r="B226">
        <v>19.16</v>
      </c>
      <c r="C226">
        <v>18.62</v>
      </c>
      <c r="D226">
        <v>9.99</v>
      </c>
    </row>
    <row r="227" spans="1:4" x14ac:dyDescent="0.25">
      <c r="A227">
        <v>10.82</v>
      </c>
      <c r="B227">
        <v>23.62</v>
      </c>
      <c r="C227">
        <v>21.68</v>
      </c>
      <c r="D227">
        <v>13.63</v>
      </c>
    </row>
    <row r="228" spans="1:4" x14ac:dyDescent="0.25">
      <c r="A228">
        <v>45.27</v>
      </c>
      <c r="B228">
        <v>32.58</v>
      </c>
      <c r="C228">
        <v>11.71</v>
      </c>
      <c r="D228">
        <v>11.54</v>
      </c>
    </row>
    <row r="229" spans="1:4" x14ac:dyDescent="0.25">
      <c r="A229">
        <v>26.21</v>
      </c>
      <c r="B229">
        <v>12.96</v>
      </c>
      <c r="C229">
        <v>47.6</v>
      </c>
      <c r="D229">
        <v>32.159999999999997</v>
      </c>
    </row>
    <row r="230" spans="1:4" x14ac:dyDescent="0.25">
      <c r="A230">
        <v>11.39</v>
      </c>
      <c r="B230">
        <v>17.21</v>
      </c>
      <c r="C230">
        <v>21.38</v>
      </c>
      <c r="D230">
        <v>16.82</v>
      </c>
    </row>
    <row r="231" spans="1:4" x14ac:dyDescent="0.25">
      <c r="A231">
        <v>8.3800000000000008</v>
      </c>
      <c r="B231">
        <v>16.27</v>
      </c>
      <c r="C231">
        <v>10.93</v>
      </c>
      <c r="D231">
        <v>5.0999999999999996</v>
      </c>
    </row>
    <row r="232" spans="1:4" x14ac:dyDescent="0.25">
      <c r="A232">
        <v>31.12</v>
      </c>
      <c r="B232">
        <v>12.05</v>
      </c>
      <c r="C232">
        <v>14.27</v>
      </c>
      <c r="D232">
        <v>26.86</v>
      </c>
    </row>
    <row r="233" spans="1:4" x14ac:dyDescent="0.25">
      <c r="A233">
        <v>24.06</v>
      </c>
      <c r="B233">
        <v>12.89</v>
      </c>
      <c r="C233">
        <v>16.91</v>
      </c>
      <c r="D233">
        <v>3.9</v>
      </c>
    </row>
    <row r="234" spans="1:4" x14ac:dyDescent="0.25">
      <c r="A234">
        <v>37.049999999999997</v>
      </c>
      <c r="B234">
        <v>19.149999999999999</v>
      </c>
      <c r="C234">
        <v>13.76</v>
      </c>
      <c r="D234">
        <v>11.5</v>
      </c>
    </row>
    <row r="235" spans="1:4" x14ac:dyDescent="0.25">
      <c r="A235">
        <v>5.28</v>
      </c>
      <c r="B235">
        <v>28.09</v>
      </c>
      <c r="C235">
        <v>13.3</v>
      </c>
      <c r="D235">
        <v>18.38</v>
      </c>
    </row>
    <row r="236" spans="1:4" x14ac:dyDescent="0.25">
      <c r="A236">
        <v>31.19</v>
      </c>
      <c r="B236">
        <v>34.89</v>
      </c>
      <c r="C236">
        <v>15.41</v>
      </c>
      <c r="D236">
        <v>12.71</v>
      </c>
    </row>
    <row r="237" spans="1:4" x14ac:dyDescent="0.25">
      <c r="A237">
        <v>11.11</v>
      </c>
      <c r="B237">
        <v>12.03</v>
      </c>
      <c r="C237">
        <v>33.76</v>
      </c>
      <c r="D237">
        <v>46.55</v>
      </c>
    </row>
    <row r="238" spans="1:4" x14ac:dyDescent="0.25">
      <c r="A238">
        <v>25.29</v>
      </c>
      <c r="B238">
        <v>47.99</v>
      </c>
      <c r="C238">
        <v>18.96</v>
      </c>
      <c r="D238">
        <v>12.58</v>
      </c>
    </row>
    <row r="239" spans="1:4" x14ac:dyDescent="0.25">
      <c r="A239">
        <v>18.309999999999999</v>
      </c>
      <c r="B239">
        <v>17.489999999999998</v>
      </c>
      <c r="C239">
        <v>29.26</v>
      </c>
      <c r="D239">
        <v>39.840000000000003</v>
      </c>
    </row>
    <row r="240" spans="1:4" x14ac:dyDescent="0.25">
      <c r="A240">
        <v>16.89</v>
      </c>
      <c r="B240">
        <v>7.63</v>
      </c>
      <c r="C240">
        <v>25.98</v>
      </c>
      <c r="D240">
        <v>7.73</v>
      </c>
    </row>
    <row r="241" spans="1:4" x14ac:dyDescent="0.25">
      <c r="A241">
        <v>63.41</v>
      </c>
      <c r="B241">
        <v>14.48</v>
      </c>
      <c r="C241">
        <v>20.56</v>
      </c>
      <c r="D241">
        <v>11.91</v>
      </c>
    </row>
    <row r="242" spans="1:4" x14ac:dyDescent="0.25">
      <c r="A242">
        <v>18.68</v>
      </c>
      <c r="B242">
        <v>5.53</v>
      </c>
      <c r="C242">
        <v>25.81</v>
      </c>
      <c r="D242">
        <v>24.16</v>
      </c>
    </row>
    <row r="243" spans="1:4" x14ac:dyDescent="0.25">
      <c r="A243">
        <v>6.76</v>
      </c>
      <c r="B243">
        <v>22.82</v>
      </c>
      <c r="C243">
        <v>9.08</v>
      </c>
      <c r="D243">
        <v>18.63</v>
      </c>
    </row>
    <row r="244" spans="1:4" x14ac:dyDescent="0.25">
      <c r="A244">
        <v>16.75</v>
      </c>
      <c r="B244">
        <v>27.34</v>
      </c>
      <c r="C244">
        <v>37.9</v>
      </c>
      <c r="D244">
        <v>26.91</v>
      </c>
    </row>
    <row r="245" spans="1:4" x14ac:dyDescent="0.25">
      <c r="A245">
        <v>9.59</v>
      </c>
      <c r="B245">
        <v>44.24</v>
      </c>
      <c r="C245">
        <v>13.49</v>
      </c>
      <c r="D245">
        <v>9.23</v>
      </c>
    </row>
    <row r="246" spans="1:4" x14ac:dyDescent="0.25">
      <c r="A246">
        <v>12.97</v>
      </c>
      <c r="B246">
        <v>30.42</v>
      </c>
      <c r="C246">
        <v>45.37</v>
      </c>
      <c r="D246">
        <v>13.47</v>
      </c>
    </row>
    <row r="247" spans="1:4" x14ac:dyDescent="0.25">
      <c r="A247">
        <v>10.62</v>
      </c>
      <c r="B247">
        <v>27.89</v>
      </c>
      <c r="C247">
        <v>13.38</v>
      </c>
      <c r="D247">
        <v>10.46</v>
      </c>
    </row>
    <row r="248" spans="1:4" x14ac:dyDescent="0.25">
      <c r="A248">
        <v>8.06</v>
      </c>
      <c r="B248">
        <v>9.84</v>
      </c>
      <c r="C248">
        <v>38.15</v>
      </c>
      <c r="D248">
        <v>55.64</v>
      </c>
    </row>
    <row r="249" spans="1:4" x14ac:dyDescent="0.25">
      <c r="A249">
        <v>20.440000000000001</v>
      </c>
      <c r="B249">
        <v>8.17</v>
      </c>
      <c r="C249">
        <v>26.8</v>
      </c>
      <c r="D249">
        <v>14.19</v>
      </c>
    </row>
    <row r="250" spans="1:4" x14ac:dyDescent="0.25">
      <c r="A250">
        <v>28.51</v>
      </c>
      <c r="B250">
        <v>14.32</v>
      </c>
      <c r="C250">
        <v>22.62</v>
      </c>
      <c r="D250">
        <v>16.11</v>
      </c>
    </row>
    <row r="251" spans="1:4" x14ac:dyDescent="0.25">
      <c r="A251">
        <v>17.05</v>
      </c>
      <c r="B251">
        <v>36.299999999999997</v>
      </c>
      <c r="C251">
        <v>32.67</v>
      </c>
      <c r="D251">
        <v>24.06</v>
      </c>
    </row>
    <row r="252" spans="1:4" x14ac:dyDescent="0.25">
      <c r="A252">
        <v>16.670000000000002</v>
      </c>
      <c r="B252">
        <v>14.86</v>
      </c>
      <c r="C252">
        <v>13.77</v>
      </c>
      <c r="D252">
        <v>10.76</v>
      </c>
    </row>
    <row r="253" spans="1:4" x14ac:dyDescent="0.25">
      <c r="A253">
        <v>4.51</v>
      </c>
      <c r="B253">
        <v>20.100000000000001</v>
      </c>
      <c r="C253">
        <v>46.41</v>
      </c>
      <c r="D253">
        <v>14.39</v>
      </c>
    </row>
    <row r="254" spans="1:4" x14ac:dyDescent="0.25">
      <c r="A254">
        <v>40.159999999999997</v>
      </c>
      <c r="B254">
        <v>19.93</v>
      </c>
      <c r="C254">
        <v>16.21</v>
      </c>
      <c r="D254">
        <v>35.590000000000003</v>
      </c>
    </row>
    <row r="255" spans="1:4" x14ac:dyDescent="0.25">
      <c r="A255">
        <v>12.85</v>
      </c>
      <c r="B255">
        <v>12.11</v>
      </c>
      <c r="C255">
        <v>9.43</v>
      </c>
      <c r="D255">
        <v>8.59</v>
      </c>
    </row>
    <row r="256" spans="1:4" x14ac:dyDescent="0.25">
      <c r="A256">
        <v>16.61</v>
      </c>
      <c r="B256">
        <v>7.65</v>
      </c>
      <c r="C256">
        <v>29.64</v>
      </c>
      <c r="D256">
        <v>8.17</v>
      </c>
    </row>
    <row r="257" spans="1:4" x14ac:dyDescent="0.25">
      <c r="A257">
        <v>29.71</v>
      </c>
      <c r="B257">
        <v>22.87</v>
      </c>
      <c r="C257">
        <v>27.06</v>
      </c>
      <c r="D257">
        <v>11.19</v>
      </c>
    </row>
    <row r="258" spans="1:4" x14ac:dyDescent="0.25">
      <c r="A258">
        <v>25.22</v>
      </c>
      <c r="B258">
        <v>2.19</v>
      </c>
      <c r="C258">
        <v>27.92</v>
      </c>
      <c r="D258">
        <v>45.42</v>
      </c>
    </row>
    <row r="259" spans="1:4" x14ac:dyDescent="0.25">
      <c r="A259">
        <v>9.4700000000000006</v>
      </c>
      <c r="B259">
        <v>25.61</v>
      </c>
      <c r="C259">
        <v>40.58</v>
      </c>
      <c r="D259">
        <v>15.6</v>
      </c>
    </row>
    <row r="260" spans="1:4" x14ac:dyDescent="0.25">
      <c r="A260">
        <v>11.82</v>
      </c>
      <c r="B260">
        <v>16.79</v>
      </c>
      <c r="C260">
        <v>27.22</v>
      </c>
      <c r="D260">
        <v>24</v>
      </c>
    </row>
    <row r="261" spans="1:4" x14ac:dyDescent="0.25">
      <c r="A261">
        <v>19.149999999999999</v>
      </c>
      <c r="B261">
        <v>12.19</v>
      </c>
      <c r="C261">
        <v>38.26</v>
      </c>
      <c r="D261">
        <v>16.329999999999998</v>
      </c>
    </row>
    <row r="262" spans="1:4" x14ac:dyDescent="0.25">
      <c r="A262">
        <v>9.31</v>
      </c>
      <c r="B262">
        <v>16.55</v>
      </c>
      <c r="C262">
        <v>38.49</v>
      </c>
      <c r="D262">
        <v>14.71</v>
      </c>
    </row>
    <row r="263" spans="1:4" x14ac:dyDescent="0.25">
      <c r="A263">
        <v>19.12</v>
      </c>
      <c r="B263">
        <v>11.57</v>
      </c>
      <c r="C263">
        <v>8.3699999999999992</v>
      </c>
      <c r="D263">
        <v>19.37</v>
      </c>
    </row>
    <row r="264" spans="1:4" x14ac:dyDescent="0.25">
      <c r="A264">
        <v>11.88</v>
      </c>
      <c r="B264">
        <v>45.7</v>
      </c>
      <c r="C264">
        <v>15.43</v>
      </c>
      <c r="D264">
        <v>22.53</v>
      </c>
    </row>
    <row r="265" spans="1:4" x14ac:dyDescent="0.25">
      <c r="A265">
        <v>84.67</v>
      </c>
      <c r="B265">
        <v>2.2599999999999998</v>
      </c>
      <c r="C265">
        <v>21.54</v>
      </c>
      <c r="D265">
        <v>17.350000000000001</v>
      </c>
    </row>
    <row r="266" spans="1:4" x14ac:dyDescent="0.25">
      <c r="A266">
        <v>10.48</v>
      </c>
      <c r="B266">
        <v>18.57</v>
      </c>
      <c r="C266">
        <v>7.7</v>
      </c>
      <c r="D266">
        <v>26.73</v>
      </c>
    </row>
    <row r="267" spans="1:4" x14ac:dyDescent="0.25">
      <c r="A267">
        <v>23.56</v>
      </c>
      <c r="B267">
        <v>21.27</v>
      </c>
      <c r="C267">
        <v>16.13</v>
      </c>
      <c r="D267">
        <v>45</v>
      </c>
    </row>
    <row r="268" spans="1:4" x14ac:dyDescent="0.25">
      <c r="A268">
        <v>44.03</v>
      </c>
      <c r="B268">
        <v>18.43</v>
      </c>
      <c r="C268">
        <v>11.15</v>
      </c>
      <c r="D268">
        <v>25.75</v>
      </c>
    </row>
    <row r="269" spans="1:4" x14ac:dyDescent="0.25">
      <c r="A269">
        <v>6.57</v>
      </c>
      <c r="B269">
        <v>34.71</v>
      </c>
      <c r="C269">
        <v>21.1</v>
      </c>
      <c r="D269">
        <v>21.2</v>
      </c>
    </row>
    <row r="270" spans="1:4" x14ac:dyDescent="0.25">
      <c r="A270">
        <v>7.58</v>
      </c>
      <c r="B270">
        <v>10.25</v>
      </c>
      <c r="C270">
        <v>22.46</v>
      </c>
      <c r="D270">
        <v>10.91</v>
      </c>
    </row>
    <row r="271" spans="1:4" x14ac:dyDescent="0.25">
      <c r="A271">
        <v>25.46</v>
      </c>
      <c r="B271">
        <v>26.09</v>
      </c>
      <c r="C271">
        <v>23.2</v>
      </c>
      <c r="D271">
        <v>9.23</v>
      </c>
    </row>
    <row r="272" spans="1:4" x14ac:dyDescent="0.25">
      <c r="A272">
        <v>12.12</v>
      </c>
      <c r="B272">
        <v>6.83</v>
      </c>
      <c r="C272">
        <v>14.43</v>
      </c>
      <c r="D272">
        <v>2.96</v>
      </c>
    </row>
    <row r="273" spans="1:4" x14ac:dyDescent="0.25">
      <c r="A273">
        <v>11.92</v>
      </c>
      <c r="B273">
        <v>30.68</v>
      </c>
      <c r="C273">
        <v>15.13</v>
      </c>
      <c r="D273">
        <v>4.05</v>
      </c>
    </row>
    <row r="274" spans="1:4" x14ac:dyDescent="0.25">
      <c r="A274">
        <v>19.940000000000001</v>
      </c>
      <c r="B274">
        <v>13.58</v>
      </c>
      <c r="C274">
        <v>29.45</v>
      </c>
      <c r="D274">
        <v>32.33</v>
      </c>
    </row>
    <row r="275" spans="1:4" x14ac:dyDescent="0.25">
      <c r="A275">
        <v>38.61</v>
      </c>
      <c r="B275">
        <v>16.64</v>
      </c>
      <c r="C275">
        <v>19.86</v>
      </c>
      <c r="D275">
        <v>70.77</v>
      </c>
    </row>
    <row r="276" spans="1:4" x14ac:dyDescent="0.25">
      <c r="A276">
        <v>6.14</v>
      </c>
      <c r="B276">
        <v>5.8</v>
      </c>
      <c r="C276">
        <v>6.49</v>
      </c>
      <c r="D276">
        <v>12.11</v>
      </c>
    </row>
    <row r="277" spans="1:4" x14ac:dyDescent="0.25">
      <c r="A277">
        <v>2.2200000000000002</v>
      </c>
      <c r="B277">
        <v>46.15</v>
      </c>
      <c r="C277">
        <v>7.24</v>
      </c>
      <c r="D277">
        <v>42.71</v>
      </c>
    </row>
    <row r="278" spans="1:4" x14ac:dyDescent="0.25">
      <c r="A278">
        <v>12.46</v>
      </c>
      <c r="B278">
        <v>12.09</v>
      </c>
      <c r="C278">
        <v>19.29</v>
      </c>
      <c r="D278">
        <v>11.29</v>
      </c>
    </row>
    <row r="279" spans="1:4" x14ac:dyDescent="0.25">
      <c r="A279">
        <v>24.55</v>
      </c>
      <c r="B279">
        <v>12.25</v>
      </c>
      <c r="C279">
        <v>6.72</v>
      </c>
      <c r="D279">
        <v>28.93</v>
      </c>
    </row>
    <row r="280" spans="1:4" x14ac:dyDescent="0.25">
      <c r="A280">
        <v>31.67</v>
      </c>
      <c r="B280">
        <v>17.77</v>
      </c>
      <c r="C280">
        <v>37.020000000000003</v>
      </c>
      <c r="D280">
        <v>42.32</v>
      </c>
    </row>
    <row r="281" spans="1:4" x14ac:dyDescent="0.25">
      <c r="A281">
        <v>18.329999999999998</v>
      </c>
      <c r="B281">
        <v>2.21</v>
      </c>
      <c r="C281">
        <v>4.63</v>
      </c>
      <c r="D281">
        <v>33.6</v>
      </c>
    </row>
    <row r="282" spans="1:4" x14ac:dyDescent="0.25">
      <c r="A282">
        <v>10</v>
      </c>
      <c r="B282">
        <v>19.350000000000001</v>
      </c>
      <c r="C282">
        <v>17.78</v>
      </c>
      <c r="D282">
        <v>12.23</v>
      </c>
    </row>
    <row r="283" spans="1:4" x14ac:dyDescent="0.25">
      <c r="A283">
        <v>5.58</v>
      </c>
      <c r="B283">
        <v>14.79</v>
      </c>
      <c r="C283">
        <v>33.630000000000003</v>
      </c>
      <c r="D283">
        <v>13.31</v>
      </c>
    </row>
    <row r="284" spans="1:4" x14ac:dyDescent="0.25">
      <c r="A284">
        <v>23.96</v>
      </c>
      <c r="B284">
        <v>15.51</v>
      </c>
      <c r="C284">
        <v>26.08</v>
      </c>
      <c r="D284">
        <v>50.53</v>
      </c>
    </row>
    <row r="285" spans="1:4" x14ac:dyDescent="0.25">
      <c r="A285">
        <v>15.92</v>
      </c>
      <c r="B285">
        <v>15.38</v>
      </c>
      <c r="C285">
        <v>4.59</v>
      </c>
      <c r="D285">
        <v>8.8699999999999992</v>
      </c>
    </row>
    <row r="286" spans="1:4" x14ac:dyDescent="0.25">
      <c r="A286">
        <v>10.7</v>
      </c>
      <c r="B286">
        <v>25.99</v>
      </c>
      <c r="C286">
        <v>17.63</v>
      </c>
      <c r="D286">
        <v>23.17</v>
      </c>
    </row>
    <row r="287" spans="1:4" x14ac:dyDescent="0.25">
      <c r="A287">
        <v>14.7</v>
      </c>
      <c r="B287">
        <v>27.7</v>
      </c>
      <c r="C287">
        <v>25.44</v>
      </c>
      <c r="D287">
        <v>43.38</v>
      </c>
    </row>
    <row r="288" spans="1:4" x14ac:dyDescent="0.25">
      <c r="A288">
        <v>2.5499999999999998</v>
      </c>
      <c r="B288">
        <v>10.130000000000001</v>
      </c>
      <c r="C288">
        <v>22.38</v>
      </c>
      <c r="D288">
        <v>6.63</v>
      </c>
    </row>
    <row r="289" spans="1:4" x14ac:dyDescent="0.25">
      <c r="A289">
        <v>39.159999999999997</v>
      </c>
      <c r="B289">
        <v>6.26</v>
      </c>
      <c r="C289">
        <v>8.0299999999999994</v>
      </c>
      <c r="D289">
        <v>31.35</v>
      </c>
    </row>
    <row r="290" spans="1:4" x14ac:dyDescent="0.25">
      <c r="A290">
        <v>6.71</v>
      </c>
      <c r="B290">
        <v>47.57</v>
      </c>
      <c r="C290">
        <v>34.76</v>
      </c>
      <c r="D290">
        <v>9.93</v>
      </c>
    </row>
    <row r="291" spans="1:4" x14ac:dyDescent="0.25">
      <c r="A291">
        <v>30.02</v>
      </c>
      <c r="B291">
        <v>18.45</v>
      </c>
      <c r="C291">
        <v>19.79</v>
      </c>
      <c r="D291">
        <v>15.63</v>
      </c>
    </row>
    <row r="292" spans="1:4" x14ac:dyDescent="0.25">
      <c r="A292">
        <v>63.52</v>
      </c>
      <c r="B292">
        <v>9.65</v>
      </c>
      <c r="C292">
        <v>33.67</v>
      </c>
      <c r="D292">
        <v>31.69</v>
      </c>
    </row>
    <row r="293" spans="1:4" x14ac:dyDescent="0.25">
      <c r="A293">
        <v>16.02</v>
      </c>
      <c r="B293">
        <v>20.21</v>
      </c>
      <c r="C293">
        <v>57.73</v>
      </c>
      <c r="D293">
        <v>18.86</v>
      </c>
    </row>
    <row r="294" spans="1:4" x14ac:dyDescent="0.25">
      <c r="A294">
        <v>27.13</v>
      </c>
      <c r="B294">
        <v>28.34</v>
      </c>
      <c r="C294">
        <v>58.34</v>
      </c>
      <c r="D294">
        <v>13.75</v>
      </c>
    </row>
    <row r="295" spans="1:4" x14ac:dyDescent="0.25">
      <c r="A295">
        <v>27.47</v>
      </c>
      <c r="B295">
        <v>3.84</v>
      </c>
      <c r="C295">
        <v>21.67</v>
      </c>
      <c r="D295">
        <v>29.05</v>
      </c>
    </row>
    <row r="296" spans="1:4" x14ac:dyDescent="0.25">
      <c r="A296">
        <v>6.24</v>
      </c>
      <c r="B296">
        <v>30.9</v>
      </c>
      <c r="C296">
        <v>29.68</v>
      </c>
      <c r="D296">
        <v>10.91</v>
      </c>
    </row>
    <row r="297" spans="1:4" x14ac:dyDescent="0.25">
      <c r="A297">
        <v>27.49</v>
      </c>
      <c r="B297">
        <v>34.299999999999997</v>
      </c>
      <c r="C297">
        <v>15.49</v>
      </c>
      <c r="D297">
        <v>30.73</v>
      </c>
    </row>
    <row r="298" spans="1:4" x14ac:dyDescent="0.25">
      <c r="A298">
        <v>18.25</v>
      </c>
      <c r="B298">
        <v>8.58</v>
      </c>
      <c r="C298">
        <v>7.05</v>
      </c>
      <c r="D298">
        <v>21.22</v>
      </c>
    </row>
    <row r="299" spans="1:4" x14ac:dyDescent="0.25">
      <c r="A299">
        <v>10.039999999999999</v>
      </c>
      <c r="B299">
        <v>10.83</v>
      </c>
      <c r="C299">
        <v>8.7799999999999994</v>
      </c>
      <c r="D299">
        <v>23.83</v>
      </c>
    </row>
    <row r="300" spans="1:4" x14ac:dyDescent="0.25">
      <c r="A300">
        <v>27.44</v>
      </c>
      <c r="B300">
        <v>19.54</v>
      </c>
      <c r="C300">
        <v>24.42</v>
      </c>
      <c r="D300">
        <v>13.41</v>
      </c>
    </row>
    <row r="301" spans="1:4" x14ac:dyDescent="0.25">
      <c r="A301">
        <v>27.2</v>
      </c>
      <c r="B301">
        <v>13.61</v>
      </c>
      <c r="C301">
        <v>23.63</v>
      </c>
      <c r="D301">
        <v>18.350000000000001</v>
      </c>
    </row>
    <row r="302" spans="1:4" x14ac:dyDescent="0.25">
      <c r="A302">
        <v>4.07</v>
      </c>
      <c r="B302">
        <v>6.28</v>
      </c>
      <c r="C302">
        <v>9.39</v>
      </c>
      <c r="D302">
        <v>18.010000000000002</v>
      </c>
    </row>
    <row r="303" spans="1:4" x14ac:dyDescent="0.25">
      <c r="A303">
        <v>2.58</v>
      </c>
      <c r="B303">
        <v>25.6</v>
      </c>
      <c r="C303">
        <v>11.44</v>
      </c>
      <c r="D303">
        <v>30.58</v>
      </c>
    </row>
    <row r="304" spans="1:4" x14ac:dyDescent="0.25">
      <c r="A304">
        <v>17.079999999999998</v>
      </c>
      <c r="B304">
        <v>31.51</v>
      </c>
      <c r="C304">
        <v>17.14</v>
      </c>
      <c r="D304">
        <v>40.98</v>
      </c>
    </row>
    <row r="305" spans="1:4" x14ac:dyDescent="0.25">
      <c r="A305">
        <v>21.81</v>
      </c>
      <c r="B305">
        <v>6.6</v>
      </c>
      <c r="C305">
        <v>26.69</v>
      </c>
      <c r="D305">
        <v>25.52</v>
      </c>
    </row>
    <row r="306" spans="1:4" x14ac:dyDescent="0.25">
      <c r="A306">
        <v>12.81</v>
      </c>
      <c r="B306">
        <v>18.98</v>
      </c>
      <c r="C306">
        <v>9.73</v>
      </c>
      <c r="D306">
        <v>61.65</v>
      </c>
    </row>
    <row r="307" spans="1:4" x14ac:dyDescent="0.25">
      <c r="A307">
        <v>17.71</v>
      </c>
      <c r="B307">
        <v>16.72</v>
      </c>
      <c r="C307">
        <v>8.61</v>
      </c>
      <c r="D307">
        <v>11.82</v>
      </c>
    </row>
    <row r="308" spans="1:4" x14ac:dyDescent="0.25">
      <c r="A308">
        <v>25.55</v>
      </c>
      <c r="B308">
        <v>15.19</v>
      </c>
      <c r="C308">
        <v>19.079999999999998</v>
      </c>
      <c r="D308">
        <v>17.239999999999998</v>
      </c>
    </row>
    <row r="309" spans="1:4" x14ac:dyDescent="0.25">
      <c r="A309">
        <v>17.82</v>
      </c>
      <c r="B309">
        <v>21.63</v>
      </c>
      <c r="C309">
        <v>29.75</v>
      </c>
      <c r="D309">
        <v>15.46</v>
      </c>
    </row>
    <row r="310" spans="1:4" x14ac:dyDescent="0.25">
      <c r="A310">
        <v>32.64</v>
      </c>
      <c r="B310">
        <v>8.08</v>
      </c>
      <c r="C310">
        <v>60.75</v>
      </c>
      <c r="D310">
        <v>12.72</v>
      </c>
    </row>
    <row r="311" spans="1:4" x14ac:dyDescent="0.25">
      <c r="A311">
        <v>31.21</v>
      </c>
      <c r="B311">
        <v>22.02</v>
      </c>
      <c r="C311">
        <v>49.93</v>
      </c>
      <c r="D311">
        <v>2.58</v>
      </c>
    </row>
    <row r="312" spans="1:4" x14ac:dyDescent="0.25">
      <c r="A312">
        <v>61.65</v>
      </c>
      <c r="B312">
        <v>16.809999999999999</v>
      </c>
      <c r="C312">
        <v>13.04</v>
      </c>
      <c r="D312">
        <v>14.59</v>
      </c>
    </row>
    <row r="313" spans="1:4" x14ac:dyDescent="0.25">
      <c r="A313">
        <v>18.350000000000001</v>
      </c>
      <c r="B313">
        <v>23.3</v>
      </c>
      <c r="C313">
        <v>12.31</v>
      </c>
      <c r="D313">
        <v>15.21</v>
      </c>
    </row>
    <row r="314" spans="1:4" x14ac:dyDescent="0.25">
      <c r="A314">
        <v>10.220000000000001</v>
      </c>
      <c r="B314">
        <v>14.68</v>
      </c>
      <c r="C314">
        <v>35.64</v>
      </c>
      <c r="D314">
        <v>15.39</v>
      </c>
    </row>
    <row r="315" spans="1:4" x14ac:dyDescent="0.25">
      <c r="A315">
        <v>3.52</v>
      </c>
      <c r="B315">
        <v>14.76</v>
      </c>
      <c r="C315">
        <v>13.39</v>
      </c>
      <c r="D315">
        <v>54.61</v>
      </c>
    </row>
    <row r="316" spans="1:4" x14ac:dyDescent="0.25">
      <c r="A316">
        <v>10.28</v>
      </c>
      <c r="B316">
        <v>11.21</v>
      </c>
      <c r="C316">
        <v>23.88</v>
      </c>
      <c r="D316">
        <v>15.89</v>
      </c>
    </row>
    <row r="317" spans="1:4" x14ac:dyDescent="0.25">
      <c r="A317">
        <v>9.7799999999999994</v>
      </c>
      <c r="B317">
        <v>21.9</v>
      </c>
      <c r="C317">
        <v>19.03</v>
      </c>
      <c r="D317">
        <v>21.52</v>
      </c>
    </row>
    <row r="318" spans="1:4" x14ac:dyDescent="0.25">
      <c r="A318">
        <v>18.309999999999999</v>
      </c>
      <c r="B318">
        <v>36.49</v>
      </c>
      <c r="C318">
        <v>31.4</v>
      </c>
      <c r="D318">
        <v>16.2</v>
      </c>
    </row>
    <row r="319" spans="1:4" x14ac:dyDescent="0.25">
      <c r="A319">
        <v>5.63</v>
      </c>
      <c r="B319">
        <v>11.48</v>
      </c>
      <c r="C319">
        <v>13</v>
      </c>
      <c r="D319">
        <v>19.010000000000002</v>
      </c>
    </row>
    <row r="320" spans="1:4" x14ac:dyDescent="0.25">
      <c r="A320">
        <v>17.170000000000002</v>
      </c>
      <c r="B320">
        <v>10.35</v>
      </c>
      <c r="C320">
        <v>11.31</v>
      </c>
      <c r="D320">
        <v>11.62</v>
      </c>
    </row>
    <row r="321" spans="1:4" x14ac:dyDescent="0.25">
      <c r="A321">
        <v>10.39</v>
      </c>
      <c r="B321">
        <v>10.87</v>
      </c>
      <c r="C321">
        <v>34.29</v>
      </c>
      <c r="D321">
        <v>12.45</v>
      </c>
    </row>
    <row r="322" spans="1:4" x14ac:dyDescent="0.25">
      <c r="A322">
        <v>60.32</v>
      </c>
      <c r="B322">
        <v>9.3800000000000008</v>
      </c>
      <c r="C322">
        <v>12.62</v>
      </c>
      <c r="D322">
        <v>6.81</v>
      </c>
    </row>
    <row r="323" spans="1:4" x14ac:dyDescent="0.25">
      <c r="A323">
        <v>8.98</v>
      </c>
      <c r="B323">
        <v>26.52</v>
      </c>
      <c r="C323">
        <v>12.61</v>
      </c>
      <c r="D323">
        <v>28.71</v>
      </c>
    </row>
    <row r="324" spans="1:4" x14ac:dyDescent="0.25">
      <c r="A324">
        <v>15.25</v>
      </c>
      <c r="B324">
        <v>5.53</v>
      </c>
      <c r="C324">
        <v>17.05</v>
      </c>
      <c r="D324">
        <v>12.25</v>
      </c>
    </row>
    <row r="325" spans="1:4" x14ac:dyDescent="0.25">
      <c r="A325">
        <v>7.14</v>
      </c>
      <c r="B325">
        <v>4.8899999999999997</v>
      </c>
      <c r="C325">
        <v>6.17</v>
      </c>
      <c r="D325">
        <v>17.78</v>
      </c>
    </row>
    <row r="326" spans="1:4" x14ac:dyDescent="0.25">
      <c r="A326">
        <v>17.52</v>
      </c>
      <c r="B326">
        <v>33.44</v>
      </c>
      <c r="C326">
        <v>13.37</v>
      </c>
      <c r="D326">
        <v>13.89</v>
      </c>
    </row>
    <row r="327" spans="1:4" x14ac:dyDescent="0.25">
      <c r="A327">
        <v>9.7899999999999991</v>
      </c>
      <c r="B327">
        <v>15.34</v>
      </c>
      <c r="C327">
        <v>23.04</v>
      </c>
      <c r="D327">
        <v>22.51</v>
      </c>
    </row>
    <row r="328" spans="1:4" x14ac:dyDescent="0.25">
      <c r="A328">
        <v>6.08</v>
      </c>
      <c r="B328">
        <v>8.8000000000000007</v>
      </c>
      <c r="C328">
        <v>21.99</v>
      </c>
      <c r="D328">
        <v>31.24</v>
      </c>
    </row>
    <row r="329" spans="1:4" x14ac:dyDescent="0.25">
      <c r="A329">
        <v>3.39</v>
      </c>
      <c r="B329">
        <v>7.35</v>
      </c>
      <c r="C329">
        <v>24.05</v>
      </c>
      <c r="D329">
        <v>31.93</v>
      </c>
    </row>
    <row r="330" spans="1:4" x14ac:dyDescent="0.25">
      <c r="A330">
        <v>20.04</v>
      </c>
      <c r="B330">
        <v>18.32</v>
      </c>
      <c r="C330">
        <v>13.77</v>
      </c>
      <c r="D330">
        <v>6.63</v>
      </c>
    </row>
    <row r="331" spans="1:4" x14ac:dyDescent="0.25">
      <c r="A331">
        <v>12.59</v>
      </c>
      <c r="B331">
        <v>26.52</v>
      </c>
      <c r="C331">
        <v>23.99</v>
      </c>
      <c r="D331">
        <v>14.47</v>
      </c>
    </row>
    <row r="332" spans="1:4" x14ac:dyDescent="0.25">
      <c r="A332">
        <v>32.700000000000003</v>
      </c>
      <c r="B332">
        <v>35.29</v>
      </c>
      <c r="C332">
        <v>6.65</v>
      </c>
      <c r="D332">
        <v>13.55</v>
      </c>
    </row>
    <row r="333" spans="1:4" x14ac:dyDescent="0.25">
      <c r="A333">
        <v>3.41</v>
      </c>
      <c r="B333">
        <v>18.57</v>
      </c>
      <c r="C333">
        <v>3.48</v>
      </c>
      <c r="D333">
        <v>16.47</v>
      </c>
    </row>
    <row r="334" spans="1:4" x14ac:dyDescent="0.25">
      <c r="A334">
        <v>12.76</v>
      </c>
      <c r="B334">
        <v>36.17</v>
      </c>
      <c r="C334">
        <v>25.65</v>
      </c>
      <c r="D334">
        <v>25.08</v>
      </c>
    </row>
    <row r="335" spans="1:4" x14ac:dyDescent="0.25">
      <c r="A335">
        <v>9.15</v>
      </c>
      <c r="B335">
        <v>11.17</v>
      </c>
      <c r="C335">
        <v>21.04</v>
      </c>
      <c r="D335">
        <v>23.33</v>
      </c>
    </row>
    <row r="336" spans="1:4" x14ac:dyDescent="0.25">
      <c r="A336">
        <v>30.68</v>
      </c>
      <c r="B336">
        <v>35.01</v>
      </c>
      <c r="C336">
        <v>2.74</v>
      </c>
      <c r="D336">
        <v>7.86</v>
      </c>
    </row>
    <row r="337" spans="1:4" x14ac:dyDescent="0.25">
      <c r="A337">
        <v>21.93</v>
      </c>
      <c r="B337">
        <v>18.989999999999998</v>
      </c>
      <c r="C337">
        <v>66.540000000000006</v>
      </c>
      <c r="D337">
        <v>34.840000000000003</v>
      </c>
    </row>
    <row r="338" spans="1:4" x14ac:dyDescent="0.25">
      <c r="A338">
        <v>12.02</v>
      </c>
      <c r="B338">
        <v>28.72</v>
      </c>
      <c r="C338">
        <v>28.68</v>
      </c>
      <c r="D338">
        <v>56.8</v>
      </c>
    </row>
    <row r="339" spans="1:4" x14ac:dyDescent="0.25">
      <c r="A339">
        <v>31.24</v>
      </c>
      <c r="B339">
        <v>15.92</v>
      </c>
      <c r="C339">
        <v>16.850000000000001</v>
      </c>
      <c r="D339">
        <v>8.9</v>
      </c>
    </row>
    <row r="340" spans="1:4" x14ac:dyDescent="0.25">
      <c r="A340">
        <v>35.700000000000003</v>
      </c>
      <c r="B340">
        <v>55.82</v>
      </c>
      <c r="C340">
        <v>28.9</v>
      </c>
      <c r="D340">
        <v>20.7</v>
      </c>
    </row>
    <row r="341" spans="1:4" x14ac:dyDescent="0.25">
      <c r="A341">
        <v>11.73</v>
      </c>
      <c r="B341">
        <v>8.0299999999999994</v>
      </c>
      <c r="C341">
        <v>15.33</v>
      </c>
      <c r="D341">
        <v>12.05</v>
      </c>
    </row>
    <row r="342" spans="1:4" x14ac:dyDescent="0.25">
      <c r="A342">
        <v>7.12</v>
      </c>
      <c r="B342">
        <v>52.95</v>
      </c>
      <c r="C342">
        <v>4.59</v>
      </c>
      <c r="D342">
        <v>11.12</v>
      </c>
    </row>
    <row r="343" spans="1:4" x14ac:dyDescent="0.25">
      <c r="A343">
        <v>53.73</v>
      </c>
      <c r="B343">
        <v>9.5399999999999991</v>
      </c>
      <c r="C343">
        <v>9.3800000000000008</v>
      </c>
      <c r="D343">
        <v>19.7</v>
      </c>
    </row>
    <row r="344" spans="1:4" x14ac:dyDescent="0.25">
      <c r="A344">
        <v>20.74</v>
      </c>
      <c r="B344">
        <v>24.47</v>
      </c>
      <c r="C344">
        <v>5.51</v>
      </c>
      <c r="D344">
        <v>4.6500000000000004</v>
      </c>
    </row>
    <row r="345" spans="1:4" x14ac:dyDescent="0.25">
      <c r="A345">
        <v>22.73</v>
      </c>
      <c r="B345">
        <v>20.440000000000001</v>
      </c>
      <c r="C345">
        <v>37.369999999999997</v>
      </c>
      <c r="D345">
        <v>13.1</v>
      </c>
    </row>
    <row r="346" spans="1:4" x14ac:dyDescent="0.25">
      <c r="A346">
        <v>33.64</v>
      </c>
      <c r="B346">
        <v>22.47</v>
      </c>
      <c r="C346">
        <v>3.63</v>
      </c>
      <c r="D346">
        <v>13.06</v>
      </c>
    </row>
    <row r="347" spans="1:4" x14ac:dyDescent="0.25">
      <c r="A347">
        <v>6.7</v>
      </c>
      <c r="B347">
        <v>18.739999999999998</v>
      </c>
      <c r="C347">
        <v>14.16</v>
      </c>
      <c r="D347">
        <v>10.58</v>
      </c>
    </row>
    <row r="348" spans="1:4" x14ac:dyDescent="0.25">
      <c r="A348">
        <v>26.93</v>
      </c>
      <c r="B348">
        <v>28.9</v>
      </c>
      <c r="C348">
        <v>28.03</v>
      </c>
      <c r="D348">
        <v>24.69</v>
      </c>
    </row>
    <row r="349" spans="1:4" x14ac:dyDescent="0.25">
      <c r="A349">
        <v>5.14</v>
      </c>
      <c r="B349">
        <v>28.85</v>
      </c>
      <c r="C349">
        <v>22.11</v>
      </c>
      <c r="D349">
        <v>11.67</v>
      </c>
    </row>
    <row r="350" spans="1:4" x14ac:dyDescent="0.25">
      <c r="A350">
        <v>6.31</v>
      </c>
      <c r="B350">
        <v>17.36</v>
      </c>
      <c r="C350">
        <v>42.45</v>
      </c>
      <c r="D350">
        <v>22.05</v>
      </c>
    </row>
    <row r="351" spans="1:4" x14ac:dyDescent="0.25">
      <c r="A351">
        <v>26.31</v>
      </c>
      <c r="B351">
        <v>42.37</v>
      </c>
      <c r="C351">
        <v>18.84</v>
      </c>
      <c r="D351">
        <v>23.43</v>
      </c>
    </row>
    <row r="352" spans="1:4" x14ac:dyDescent="0.25">
      <c r="A352">
        <v>22.71</v>
      </c>
      <c r="B352">
        <v>39.130000000000003</v>
      </c>
      <c r="C352">
        <v>16.739999999999998</v>
      </c>
      <c r="D352">
        <v>31.92</v>
      </c>
    </row>
    <row r="353" spans="1:4" x14ac:dyDescent="0.25">
      <c r="A353">
        <v>11.14</v>
      </c>
      <c r="B353">
        <v>41.68</v>
      </c>
      <c r="C353">
        <v>10.37</v>
      </c>
      <c r="D353">
        <v>40.880000000000003</v>
      </c>
    </row>
    <row r="354" spans="1:4" x14ac:dyDescent="0.25">
      <c r="A354">
        <v>8.61</v>
      </c>
      <c r="B354">
        <v>14.31</v>
      </c>
      <c r="C354">
        <v>10.3</v>
      </c>
      <c r="D354">
        <v>40.299999999999997</v>
      </c>
    </row>
    <row r="355" spans="1:4" x14ac:dyDescent="0.25">
      <c r="A355">
        <v>18.29</v>
      </c>
      <c r="B355">
        <v>25.05</v>
      </c>
      <c r="C355">
        <v>6.93</v>
      </c>
      <c r="D355">
        <v>7.71</v>
      </c>
    </row>
    <row r="356" spans="1:4" x14ac:dyDescent="0.25">
      <c r="A356">
        <v>14.99</v>
      </c>
      <c r="B356">
        <v>4.95</v>
      </c>
      <c r="C356">
        <v>14.13</v>
      </c>
      <c r="D356">
        <v>19.13</v>
      </c>
    </row>
    <row r="357" spans="1:4" x14ac:dyDescent="0.25">
      <c r="A357">
        <v>13.91</v>
      </c>
      <c r="B357">
        <v>5.88</v>
      </c>
      <c r="C357">
        <v>16.399999999999999</v>
      </c>
      <c r="D357">
        <v>10.49</v>
      </c>
    </row>
    <row r="358" spans="1:4" x14ac:dyDescent="0.25">
      <c r="A358">
        <v>4.9400000000000004</v>
      </c>
      <c r="B358">
        <v>38.32</v>
      </c>
      <c r="C358">
        <v>33.53</v>
      </c>
      <c r="D358">
        <v>13.1</v>
      </c>
    </row>
    <row r="359" spans="1:4" x14ac:dyDescent="0.25">
      <c r="A359">
        <v>11.92</v>
      </c>
      <c r="B359">
        <v>13.7</v>
      </c>
      <c r="C359">
        <v>28.76</v>
      </c>
      <c r="D359">
        <v>1.69</v>
      </c>
    </row>
    <row r="360" spans="1:4" x14ac:dyDescent="0.25">
      <c r="A360">
        <v>23.56</v>
      </c>
      <c r="B360">
        <v>10.18</v>
      </c>
      <c r="C360">
        <v>21.54</v>
      </c>
      <c r="D360">
        <v>19.260000000000002</v>
      </c>
    </row>
    <row r="361" spans="1:4" x14ac:dyDescent="0.25">
      <c r="A361">
        <v>3.83</v>
      </c>
      <c r="B361">
        <v>20.190000000000001</v>
      </c>
      <c r="C361">
        <v>8.35</v>
      </c>
      <c r="D361">
        <v>15.13</v>
      </c>
    </row>
    <row r="362" spans="1:4" x14ac:dyDescent="0.25">
      <c r="A362">
        <v>20.53</v>
      </c>
      <c r="B362">
        <v>8.9499999999999993</v>
      </c>
      <c r="C362">
        <v>28.89</v>
      </c>
      <c r="D362">
        <v>10.93</v>
      </c>
    </row>
    <row r="363" spans="1:4" x14ac:dyDescent="0.25">
      <c r="A363">
        <v>9.74</v>
      </c>
      <c r="B363">
        <v>9.23</v>
      </c>
      <c r="C363">
        <v>22.67</v>
      </c>
      <c r="D363">
        <v>6.9</v>
      </c>
    </row>
    <row r="364" spans="1:4" x14ac:dyDescent="0.25">
      <c r="A364">
        <v>28.09</v>
      </c>
      <c r="B364">
        <v>9.69</v>
      </c>
      <c r="C364">
        <v>17.440000000000001</v>
      </c>
      <c r="D364">
        <v>29.77</v>
      </c>
    </row>
    <row r="365" spans="1:4" x14ac:dyDescent="0.25">
      <c r="A365">
        <v>13.74</v>
      </c>
      <c r="B365">
        <v>13.22</v>
      </c>
      <c r="C365">
        <v>11.12</v>
      </c>
      <c r="D365">
        <v>12.83</v>
      </c>
    </row>
    <row r="366" spans="1:4" x14ac:dyDescent="0.25">
      <c r="A366">
        <v>14.29</v>
      </c>
      <c r="B366">
        <v>16.62</v>
      </c>
      <c r="C366">
        <v>8.39</v>
      </c>
      <c r="D366">
        <v>30.07</v>
      </c>
    </row>
    <row r="367" spans="1:4" x14ac:dyDescent="0.25">
      <c r="A367">
        <v>34.94</v>
      </c>
      <c r="B367">
        <v>7.5</v>
      </c>
      <c r="C367">
        <v>9.02</v>
      </c>
      <c r="D367">
        <v>42.51</v>
      </c>
    </row>
    <row r="368" spans="1:4" x14ac:dyDescent="0.25">
      <c r="A368">
        <v>4.34</v>
      </c>
      <c r="B368">
        <v>14.05</v>
      </c>
      <c r="C368">
        <v>15.89</v>
      </c>
      <c r="D368">
        <v>9.91</v>
      </c>
    </row>
    <row r="369" spans="1:4" x14ac:dyDescent="0.25">
      <c r="A369">
        <v>43.58</v>
      </c>
      <c r="B369">
        <v>13.45</v>
      </c>
      <c r="C369">
        <v>2.48</v>
      </c>
      <c r="D369">
        <v>50.02</v>
      </c>
    </row>
    <row r="370" spans="1:4" x14ac:dyDescent="0.25">
      <c r="A370">
        <v>22.93</v>
      </c>
      <c r="B370">
        <v>7.36</v>
      </c>
      <c r="C370">
        <v>5.09</v>
      </c>
      <c r="D370">
        <v>9.4700000000000006</v>
      </c>
    </row>
    <row r="371" spans="1:4" x14ac:dyDescent="0.25">
      <c r="A371">
        <v>8.68</v>
      </c>
      <c r="B371">
        <v>18.899999999999999</v>
      </c>
      <c r="C371">
        <v>49.14</v>
      </c>
      <c r="D371">
        <v>26.43</v>
      </c>
    </row>
    <row r="372" spans="1:4" x14ac:dyDescent="0.25">
      <c r="A372">
        <v>38.61</v>
      </c>
      <c r="B372">
        <v>16.96</v>
      </c>
      <c r="C372">
        <v>27.74</v>
      </c>
      <c r="D372">
        <v>32.17</v>
      </c>
    </row>
    <row r="373" spans="1:4" x14ac:dyDescent="0.25">
      <c r="A373">
        <v>4.93</v>
      </c>
      <c r="B373">
        <v>24.22</v>
      </c>
      <c r="C373">
        <v>23.08</v>
      </c>
      <c r="D373">
        <v>17.989999999999998</v>
      </c>
    </row>
    <row r="374" spans="1:4" x14ac:dyDescent="0.25">
      <c r="A374">
        <v>5.46</v>
      </c>
      <c r="B374">
        <v>38.24</v>
      </c>
      <c r="C374">
        <v>6.84</v>
      </c>
      <c r="D374">
        <v>8.82</v>
      </c>
    </row>
    <row r="375" spans="1:4" x14ac:dyDescent="0.25">
      <c r="A375">
        <v>3.23</v>
      </c>
      <c r="B375">
        <v>4.0599999999999996</v>
      </c>
      <c r="C375">
        <v>45.9</v>
      </c>
      <c r="D375">
        <v>6.08</v>
      </c>
    </row>
    <row r="376" spans="1:4" x14ac:dyDescent="0.25">
      <c r="A376">
        <v>11.84</v>
      </c>
      <c r="B376">
        <v>70.650000000000006</v>
      </c>
      <c r="C376">
        <v>33.69</v>
      </c>
      <c r="D376">
        <v>37.590000000000003</v>
      </c>
    </row>
    <row r="377" spans="1:4" x14ac:dyDescent="0.25">
      <c r="A377">
        <v>11.87</v>
      </c>
      <c r="B377">
        <v>39.39</v>
      </c>
      <c r="C377">
        <v>5.1100000000000003</v>
      </c>
      <c r="D377">
        <v>19.73</v>
      </c>
    </row>
    <row r="378" spans="1:4" x14ac:dyDescent="0.25">
      <c r="A378">
        <v>11.45</v>
      </c>
      <c r="B378">
        <v>5.83</v>
      </c>
      <c r="C378">
        <v>23.19</v>
      </c>
      <c r="D378">
        <v>24.46</v>
      </c>
    </row>
    <row r="379" spans="1:4" x14ac:dyDescent="0.25">
      <c r="A379">
        <v>9.75</v>
      </c>
      <c r="B379">
        <v>15.54</v>
      </c>
      <c r="C379">
        <v>31.04</v>
      </c>
      <c r="D379">
        <v>5.51</v>
      </c>
    </row>
    <row r="380" spans="1:4" x14ac:dyDescent="0.25">
      <c r="A380">
        <v>3.71</v>
      </c>
      <c r="B380">
        <v>27.62</v>
      </c>
      <c r="C380">
        <v>13.36</v>
      </c>
      <c r="D380">
        <v>31.31</v>
      </c>
    </row>
    <row r="381" spans="1:4" x14ac:dyDescent="0.25">
      <c r="A381">
        <v>26.76</v>
      </c>
      <c r="B381">
        <v>30.41</v>
      </c>
      <c r="C381">
        <v>20.94</v>
      </c>
      <c r="D381">
        <v>10.92</v>
      </c>
    </row>
    <row r="382" spans="1:4" x14ac:dyDescent="0.25">
      <c r="A382">
        <v>9.1199999999999992</v>
      </c>
      <c r="B382">
        <v>7.74</v>
      </c>
      <c r="C382">
        <v>9.0500000000000007</v>
      </c>
      <c r="D382">
        <v>17.27</v>
      </c>
    </row>
    <row r="383" spans="1:4" x14ac:dyDescent="0.25">
      <c r="A383">
        <v>7.29</v>
      </c>
      <c r="B383">
        <v>26.93</v>
      </c>
      <c r="C383">
        <v>47.21</v>
      </c>
      <c r="D383">
        <v>17.72</v>
      </c>
    </row>
    <row r="384" spans="1:4" x14ac:dyDescent="0.25">
      <c r="A384">
        <v>26.32</v>
      </c>
      <c r="B384">
        <v>13.56</v>
      </c>
      <c r="C384">
        <v>16.96</v>
      </c>
      <c r="D384">
        <v>28.01</v>
      </c>
    </row>
    <row r="385" spans="1:4" x14ac:dyDescent="0.25">
      <c r="A385">
        <v>2.96</v>
      </c>
      <c r="B385">
        <v>3.03</v>
      </c>
      <c r="C385">
        <v>17.579999999999998</v>
      </c>
      <c r="D385">
        <v>4.88</v>
      </c>
    </row>
    <row r="386" spans="1:4" x14ac:dyDescent="0.25">
      <c r="A386">
        <v>18.329999999999998</v>
      </c>
      <c r="B386">
        <v>17.670000000000002</v>
      </c>
      <c r="C386">
        <v>9.66</v>
      </c>
      <c r="D386">
        <v>15.02</v>
      </c>
    </row>
    <row r="387" spans="1:4" x14ac:dyDescent="0.25">
      <c r="A387">
        <v>22.88</v>
      </c>
      <c r="B387">
        <v>12.17</v>
      </c>
      <c r="C387">
        <v>31.28</v>
      </c>
      <c r="D387">
        <v>9.68</v>
      </c>
    </row>
    <row r="388" spans="1:4" x14ac:dyDescent="0.25">
      <c r="A388">
        <v>12.93</v>
      </c>
      <c r="B388">
        <v>14.15</v>
      </c>
      <c r="C388">
        <v>13.35</v>
      </c>
      <c r="D388">
        <v>10.73</v>
      </c>
    </row>
    <row r="389" spans="1:4" x14ac:dyDescent="0.25">
      <c r="A389">
        <v>32.36</v>
      </c>
      <c r="B389">
        <v>16.03</v>
      </c>
      <c r="C389">
        <v>26.99</v>
      </c>
      <c r="D389">
        <v>18.57</v>
      </c>
    </row>
    <row r="390" spans="1:4" x14ac:dyDescent="0.25">
      <c r="A390">
        <v>22.92</v>
      </c>
      <c r="B390">
        <v>15.7</v>
      </c>
      <c r="C390">
        <v>18.47</v>
      </c>
      <c r="D390">
        <v>16.809999999999999</v>
      </c>
    </row>
    <row r="391" spans="1:4" x14ac:dyDescent="0.25">
      <c r="A391">
        <v>6.23</v>
      </c>
      <c r="B391">
        <v>37.049999999999997</v>
      </c>
      <c r="C391">
        <v>34.97</v>
      </c>
      <c r="D391">
        <v>15.25</v>
      </c>
    </row>
    <row r="392" spans="1:4" x14ac:dyDescent="0.25">
      <c r="A392">
        <v>5.62</v>
      </c>
      <c r="B392">
        <v>75</v>
      </c>
      <c r="C392">
        <v>14.72</v>
      </c>
      <c r="D392">
        <v>21.24</v>
      </c>
    </row>
    <row r="393" spans="1:4" x14ac:dyDescent="0.25">
      <c r="A393">
        <v>12.24</v>
      </c>
      <c r="B393">
        <v>7.76</v>
      </c>
      <c r="C393">
        <v>44</v>
      </c>
      <c r="D393">
        <v>26.33</v>
      </c>
    </row>
    <row r="394" spans="1:4" x14ac:dyDescent="0.25">
      <c r="A394">
        <v>23.98</v>
      </c>
      <c r="B394">
        <v>11.97</v>
      </c>
      <c r="C394">
        <v>17.72</v>
      </c>
      <c r="D394">
        <v>33.51</v>
      </c>
    </row>
    <row r="395" spans="1:4" x14ac:dyDescent="0.25">
      <c r="A395">
        <v>9.9499999999999993</v>
      </c>
      <c r="B395">
        <v>26.69</v>
      </c>
      <c r="C395">
        <v>37.4</v>
      </c>
      <c r="D395">
        <v>17.79</v>
      </c>
    </row>
    <row r="396" spans="1:4" x14ac:dyDescent="0.25">
      <c r="A396">
        <v>11.08</v>
      </c>
      <c r="B396">
        <v>14.46</v>
      </c>
      <c r="C396">
        <v>17.989999999999998</v>
      </c>
      <c r="D396">
        <v>25.46</v>
      </c>
    </row>
    <row r="397" spans="1:4" x14ac:dyDescent="0.25">
      <c r="A397">
        <v>15.31</v>
      </c>
      <c r="B397">
        <v>33.75</v>
      </c>
      <c r="C397">
        <v>11.57</v>
      </c>
      <c r="D397">
        <v>19.25</v>
      </c>
    </row>
    <row r="398" spans="1:4" x14ac:dyDescent="0.25">
      <c r="A398">
        <v>16.07</v>
      </c>
      <c r="B398">
        <v>30.35</v>
      </c>
      <c r="C398">
        <v>7.16</v>
      </c>
      <c r="D398">
        <v>6.14</v>
      </c>
    </row>
    <row r="399" spans="1:4" x14ac:dyDescent="0.25">
      <c r="A399">
        <v>19.93</v>
      </c>
      <c r="B399">
        <v>5.4</v>
      </c>
      <c r="C399">
        <v>5.72</v>
      </c>
      <c r="D399">
        <v>33.9</v>
      </c>
    </row>
    <row r="400" spans="1:4" x14ac:dyDescent="0.25">
      <c r="A400">
        <v>7.64</v>
      </c>
      <c r="B400">
        <v>4.54</v>
      </c>
      <c r="C400">
        <v>8.51</v>
      </c>
      <c r="D400">
        <v>14.48</v>
      </c>
    </row>
    <row r="401" spans="1:4" x14ac:dyDescent="0.25">
      <c r="A401">
        <v>4.16</v>
      </c>
      <c r="B401">
        <v>10.63</v>
      </c>
      <c r="C401">
        <v>13.19</v>
      </c>
      <c r="D401">
        <v>12.62</v>
      </c>
    </row>
    <row r="402" spans="1:4" x14ac:dyDescent="0.25">
      <c r="A402">
        <v>12.16</v>
      </c>
      <c r="B402">
        <v>9.41</v>
      </c>
      <c r="C402">
        <v>27.46</v>
      </c>
      <c r="D402">
        <v>17.510000000000002</v>
      </c>
    </row>
    <row r="403" spans="1:4" x14ac:dyDescent="0.25">
      <c r="A403">
        <v>16.600000000000001</v>
      </c>
      <c r="B403">
        <v>16.38</v>
      </c>
      <c r="C403">
        <v>15.56</v>
      </c>
      <c r="D403">
        <v>27.26</v>
      </c>
    </row>
    <row r="404" spans="1:4" x14ac:dyDescent="0.25">
      <c r="A404">
        <v>5.25</v>
      </c>
      <c r="B404">
        <v>23.79</v>
      </c>
      <c r="C404">
        <v>17.97</v>
      </c>
      <c r="D404">
        <v>11.32</v>
      </c>
    </row>
    <row r="405" spans="1:4" x14ac:dyDescent="0.25">
      <c r="A405">
        <v>16.989999999999998</v>
      </c>
      <c r="B405">
        <v>14.77</v>
      </c>
      <c r="C405">
        <v>5.2</v>
      </c>
      <c r="D405">
        <v>65.22</v>
      </c>
    </row>
    <row r="406" spans="1:4" x14ac:dyDescent="0.25">
      <c r="A406">
        <v>10.97</v>
      </c>
      <c r="B406">
        <v>37.64</v>
      </c>
      <c r="C406">
        <v>16.59</v>
      </c>
      <c r="D406">
        <v>19.579999999999998</v>
      </c>
    </row>
    <row r="407" spans="1:4" x14ac:dyDescent="0.25">
      <c r="A407">
        <v>17.71</v>
      </c>
      <c r="B407">
        <v>38.64</v>
      </c>
      <c r="C407">
        <v>19.329999999999998</v>
      </c>
      <c r="D407">
        <v>14.81</v>
      </c>
    </row>
    <row r="408" spans="1:4" x14ac:dyDescent="0.25">
      <c r="A408">
        <v>20.75</v>
      </c>
      <c r="B408">
        <v>1.17</v>
      </c>
      <c r="C408">
        <v>37.869999999999997</v>
      </c>
      <c r="D408">
        <v>7.64</v>
      </c>
    </row>
    <row r="409" spans="1:4" x14ac:dyDescent="0.25">
      <c r="A409">
        <v>13.29</v>
      </c>
      <c r="B409">
        <v>18.97</v>
      </c>
      <c r="C409">
        <v>47.26</v>
      </c>
      <c r="D409">
        <v>9.7200000000000006</v>
      </c>
    </row>
    <row r="410" spans="1:4" x14ac:dyDescent="0.25">
      <c r="A410">
        <v>35.04</v>
      </c>
      <c r="B410">
        <v>5.61</v>
      </c>
      <c r="C410">
        <v>9.1999999999999993</v>
      </c>
      <c r="D410">
        <v>52.34</v>
      </c>
    </row>
    <row r="411" spans="1:4" x14ac:dyDescent="0.25">
      <c r="A411">
        <v>35.39</v>
      </c>
      <c r="B411">
        <v>7.35</v>
      </c>
      <c r="C411">
        <v>4.12</v>
      </c>
      <c r="D411">
        <v>10.199999999999999</v>
      </c>
    </row>
    <row r="412" spans="1:4" x14ac:dyDescent="0.25">
      <c r="A412">
        <v>42.53</v>
      </c>
      <c r="B412">
        <v>31.91</v>
      </c>
      <c r="C412">
        <v>20.74</v>
      </c>
      <c r="D412">
        <v>40.35</v>
      </c>
    </row>
    <row r="413" spans="1:4" x14ac:dyDescent="0.25">
      <c r="A413">
        <v>22.24</v>
      </c>
      <c r="B413">
        <v>6.27</v>
      </c>
      <c r="C413">
        <v>9.98</v>
      </c>
      <c r="D413">
        <v>7.67</v>
      </c>
    </row>
    <row r="414" spans="1:4" x14ac:dyDescent="0.25">
      <c r="A414">
        <v>14.93</v>
      </c>
      <c r="B414">
        <v>14.62</v>
      </c>
      <c r="C414">
        <v>15.42</v>
      </c>
      <c r="D414">
        <v>36.49</v>
      </c>
    </row>
    <row r="415" spans="1:4" x14ac:dyDescent="0.25">
      <c r="A415">
        <v>31.45</v>
      </c>
      <c r="B415">
        <v>26.84</v>
      </c>
      <c r="C415">
        <v>21.31</v>
      </c>
      <c r="D415">
        <v>5.66</v>
      </c>
    </row>
    <row r="416" spans="1:4" x14ac:dyDescent="0.25">
      <c r="A416">
        <v>13.25</v>
      </c>
      <c r="B416">
        <v>27</v>
      </c>
      <c r="C416">
        <v>23.19</v>
      </c>
      <c r="D416">
        <v>3.17</v>
      </c>
    </row>
    <row r="417" spans="1:4" x14ac:dyDescent="0.25">
      <c r="A417">
        <v>26.32</v>
      </c>
      <c r="B417">
        <v>26.38</v>
      </c>
      <c r="C417">
        <v>20.81</v>
      </c>
      <c r="D417">
        <v>13.87</v>
      </c>
    </row>
    <row r="418" spans="1:4" x14ac:dyDescent="0.25">
      <c r="A418">
        <v>15.43</v>
      </c>
      <c r="B418">
        <v>35.31</v>
      </c>
      <c r="C418">
        <v>15.98</v>
      </c>
      <c r="D418">
        <v>37.25</v>
      </c>
    </row>
    <row r="419" spans="1:4" x14ac:dyDescent="0.25">
      <c r="A419">
        <v>13.83</v>
      </c>
      <c r="B419">
        <v>36.17</v>
      </c>
      <c r="C419">
        <v>21.6</v>
      </c>
      <c r="D419">
        <v>13.28</v>
      </c>
    </row>
    <row r="420" spans="1:4" x14ac:dyDescent="0.25">
      <c r="A420">
        <v>3.69</v>
      </c>
      <c r="B420">
        <v>36.97</v>
      </c>
      <c r="C420">
        <v>17.47</v>
      </c>
      <c r="D420">
        <v>26.94</v>
      </c>
    </row>
    <row r="421" spans="1:4" x14ac:dyDescent="0.25">
      <c r="A421">
        <v>22.02</v>
      </c>
      <c r="B421">
        <v>23.79</v>
      </c>
      <c r="C421">
        <v>9.25</v>
      </c>
      <c r="D421">
        <v>7.11</v>
      </c>
    </row>
    <row r="422" spans="1:4" x14ac:dyDescent="0.25">
      <c r="A422">
        <v>15.84</v>
      </c>
      <c r="B422">
        <v>40.1</v>
      </c>
      <c r="C422">
        <v>0.63</v>
      </c>
      <c r="D422">
        <v>13.77</v>
      </c>
    </row>
    <row r="423" spans="1:4" x14ac:dyDescent="0.25">
      <c r="A423">
        <v>16.7</v>
      </c>
      <c r="B423">
        <v>13.34</v>
      </c>
      <c r="C423">
        <v>3.03</v>
      </c>
      <c r="D423">
        <v>7.68</v>
      </c>
    </row>
    <row r="424" spans="1:4" x14ac:dyDescent="0.25">
      <c r="A424">
        <v>17.420000000000002</v>
      </c>
      <c r="B424">
        <v>10.45</v>
      </c>
      <c r="C424">
        <v>25.94</v>
      </c>
      <c r="D424">
        <v>19.739999999999998</v>
      </c>
    </row>
    <row r="425" spans="1:4" x14ac:dyDescent="0.25">
      <c r="A425">
        <v>76.400000000000006</v>
      </c>
      <c r="B425">
        <v>14.01</v>
      </c>
      <c r="C425">
        <v>15.98</v>
      </c>
    </row>
    <row r="426" spans="1:4" x14ac:dyDescent="0.25">
      <c r="A426">
        <v>5.0199999999999996</v>
      </c>
      <c r="B426">
        <v>38.51</v>
      </c>
      <c r="C426">
        <v>39.51</v>
      </c>
    </row>
    <row r="427" spans="1:4" x14ac:dyDescent="0.25">
      <c r="A427">
        <v>13.04</v>
      </c>
      <c r="B427">
        <v>20.03</v>
      </c>
      <c r="C427">
        <v>21.13</v>
      </c>
    </row>
    <row r="428" spans="1:4" x14ac:dyDescent="0.25">
      <c r="A428">
        <v>9.9600000000000009</v>
      </c>
      <c r="B428">
        <v>19.27</v>
      </c>
      <c r="C428">
        <v>22.65</v>
      </c>
    </row>
    <row r="429" spans="1:4" x14ac:dyDescent="0.25">
      <c r="A429">
        <v>18.03</v>
      </c>
      <c r="B429">
        <v>6.15</v>
      </c>
      <c r="C429">
        <v>12.54</v>
      </c>
    </row>
    <row r="430" spans="1:4" x14ac:dyDescent="0.25">
      <c r="A430">
        <v>7.77</v>
      </c>
      <c r="B430">
        <v>4.0199999999999996</v>
      </c>
      <c r="C430">
        <v>40</v>
      </c>
    </row>
    <row r="431" spans="1:4" x14ac:dyDescent="0.25">
      <c r="A431">
        <v>29.51</v>
      </c>
      <c r="B431">
        <v>9.44</v>
      </c>
      <c r="C431">
        <v>16.07</v>
      </c>
    </row>
    <row r="432" spans="1:4" x14ac:dyDescent="0.25">
      <c r="A432">
        <v>32.380000000000003</v>
      </c>
      <c r="B432">
        <v>26.66</v>
      </c>
      <c r="C432">
        <v>32.5</v>
      </c>
    </row>
    <row r="433" spans="1:3" x14ac:dyDescent="0.25">
      <c r="A433">
        <v>25.09</v>
      </c>
      <c r="B433">
        <v>14.81</v>
      </c>
      <c r="C433">
        <v>4.92</v>
      </c>
    </row>
    <row r="434" spans="1:3" x14ac:dyDescent="0.25">
      <c r="A434">
        <v>13.19</v>
      </c>
      <c r="B434">
        <v>1.7</v>
      </c>
      <c r="C434">
        <v>25.87</v>
      </c>
    </row>
    <row r="435" spans="1:3" x14ac:dyDescent="0.25">
      <c r="A435">
        <v>19.829999999999998</v>
      </c>
      <c r="B435">
        <v>10.71</v>
      </c>
      <c r="C435">
        <v>5.81</v>
      </c>
    </row>
    <row r="436" spans="1:3" x14ac:dyDescent="0.25">
      <c r="A436">
        <v>6.49</v>
      </c>
      <c r="B436">
        <v>23.29</v>
      </c>
      <c r="C436">
        <v>13.97</v>
      </c>
    </row>
    <row r="437" spans="1:3" x14ac:dyDescent="0.25">
      <c r="A437">
        <v>17.68</v>
      </c>
      <c r="B437">
        <v>13.1</v>
      </c>
      <c r="C437">
        <v>16.23</v>
      </c>
    </row>
    <row r="438" spans="1:3" x14ac:dyDescent="0.25">
      <c r="A438">
        <v>13.84</v>
      </c>
      <c r="B438">
        <v>9.83</v>
      </c>
    </row>
    <row r="439" spans="1:3" x14ac:dyDescent="0.25">
      <c r="A439">
        <v>4.38</v>
      </c>
      <c r="B439">
        <v>20.54</v>
      </c>
    </row>
    <row r="440" spans="1:3" x14ac:dyDescent="0.25">
      <c r="A440">
        <v>23.22</v>
      </c>
      <c r="B440">
        <v>10.92</v>
      </c>
    </row>
    <row r="441" spans="1:3" x14ac:dyDescent="0.25">
      <c r="A441">
        <v>16.100000000000001</v>
      </c>
      <c r="B441">
        <v>29.63</v>
      </c>
    </row>
    <row r="442" spans="1:3" x14ac:dyDescent="0.25">
      <c r="A442">
        <v>51.74</v>
      </c>
      <c r="B442">
        <v>10.16</v>
      </c>
    </row>
    <row r="443" spans="1:3" x14ac:dyDescent="0.25">
      <c r="A443">
        <v>4.37</v>
      </c>
      <c r="B443">
        <v>8.57</v>
      </c>
    </row>
    <row r="444" spans="1:3" x14ac:dyDescent="0.25">
      <c r="A444">
        <v>21.05</v>
      </c>
      <c r="B444">
        <v>26.99</v>
      </c>
    </row>
    <row r="445" spans="1:3" x14ac:dyDescent="0.25">
      <c r="A445">
        <v>35.22</v>
      </c>
      <c r="B445">
        <v>11.63</v>
      </c>
    </row>
    <row r="446" spans="1:3" x14ac:dyDescent="0.25">
      <c r="A446">
        <v>18.989999999999998</v>
      </c>
      <c r="B446">
        <v>27.19</v>
      </c>
    </row>
    <row r="447" spans="1:3" x14ac:dyDescent="0.25">
      <c r="A447">
        <v>72.62</v>
      </c>
      <c r="B447">
        <v>3.79</v>
      </c>
    </row>
    <row r="448" spans="1:3" x14ac:dyDescent="0.25">
      <c r="A448">
        <v>33.840000000000003</v>
      </c>
      <c r="B448">
        <v>15.66</v>
      </c>
    </row>
    <row r="449" spans="1:2" x14ac:dyDescent="0.25">
      <c r="A449">
        <v>40.46</v>
      </c>
      <c r="B449">
        <v>20.91</v>
      </c>
    </row>
    <row r="450" spans="1:2" x14ac:dyDescent="0.25">
      <c r="A450">
        <v>1.56</v>
      </c>
      <c r="B450">
        <v>24.92</v>
      </c>
    </row>
    <row r="451" spans="1:2" x14ac:dyDescent="0.25">
      <c r="A451">
        <v>26.7</v>
      </c>
      <c r="B451">
        <v>3.99</v>
      </c>
    </row>
    <row r="452" spans="1:2" x14ac:dyDescent="0.25">
      <c r="A452">
        <v>4.1500000000000004</v>
      </c>
      <c r="B452">
        <v>8.58</v>
      </c>
    </row>
    <row r="453" spans="1:2" x14ac:dyDescent="0.25">
      <c r="A453">
        <v>38.83</v>
      </c>
      <c r="B453">
        <v>24.18</v>
      </c>
    </row>
    <row r="454" spans="1:2" x14ac:dyDescent="0.25">
      <c r="A454">
        <v>7.32</v>
      </c>
      <c r="B454">
        <v>30.14</v>
      </c>
    </row>
    <row r="455" spans="1:2" x14ac:dyDescent="0.25">
      <c r="A455">
        <v>28.9</v>
      </c>
      <c r="B455">
        <v>3.05</v>
      </c>
    </row>
    <row r="456" spans="1:2" x14ac:dyDescent="0.25">
      <c r="A456">
        <v>3.19</v>
      </c>
      <c r="B456">
        <v>2.42</v>
      </c>
    </row>
    <row r="457" spans="1:2" x14ac:dyDescent="0.25">
      <c r="A457">
        <v>40.51</v>
      </c>
      <c r="B457">
        <v>8.6999999999999993</v>
      </c>
    </row>
    <row r="458" spans="1:2" x14ac:dyDescent="0.25">
      <c r="A458">
        <v>27.29</v>
      </c>
      <c r="B458">
        <v>13.28</v>
      </c>
    </row>
    <row r="459" spans="1:2" x14ac:dyDescent="0.25">
      <c r="A459">
        <v>11.67</v>
      </c>
      <c r="B459">
        <v>6.06</v>
      </c>
    </row>
    <row r="460" spans="1:2" x14ac:dyDescent="0.25">
      <c r="A460">
        <v>11.49</v>
      </c>
      <c r="B460">
        <v>14.47</v>
      </c>
    </row>
    <row r="461" spans="1:2" x14ac:dyDescent="0.25">
      <c r="A461">
        <v>25.59</v>
      </c>
      <c r="B461">
        <v>23.01</v>
      </c>
    </row>
    <row r="462" spans="1:2" x14ac:dyDescent="0.25">
      <c r="A462">
        <v>2.12</v>
      </c>
      <c r="B462">
        <v>11.03</v>
      </c>
    </row>
    <row r="463" spans="1:2" x14ac:dyDescent="0.25">
      <c r="A463">
        <v>11.92</v>
      </c>
      <c r="B463">
        <v>30.21</v>
      </c>
    </row>
    <row r="464" spans="1:2" x14ac:dyDescent="0.25">
      <c r="A464">
        <v>36.19</v>
      </c>
      <c r="B464">
        <v>5.82</v>
      </c>
    </row>
    <row r="465" spans="1:2" x14ac:dyDescent="0.25">
      <c r="A465">
        <v>10.69</v>
      </c>
      <c r="B465">
        <v>8.76</v>
      </c>
    </row>
    <row r="466" spans="1:2" x14ac:dyDescent="0.25">
      <c r="A466">
        <v>19.899999999999999</v>
      </c>
      <c r="B466">
        <v>14.03</v>
      </c>
    </row>
    <row r="467" spans="1:2" x14ac:dyDescent="0.25">
      <c r="A467">
        <v>8.16</v>
      </c>
      <c r="B467">
        <v>100.95</v>
      </c>
    </row>
    <row r="468" spans="1:2" x14ac:dyDescent="0.25">
      <c r="A468">
        <v>21.4</v>
      </c>
      <c r="B468">
        <v>7.17</v>
      </c>
    </row>
    <row r="469" spans="1:2" x14ac:dyDescent="0.25">
      <c r="A469">
        <v>5.0999999999999996</v>
      </c>
      <c r="B469">
        <v>22.94</v>
      </c>
    </row>
    <row r="470" spans="1:2" x14ac:dyDescent="0.25">
      <c r="A470">
        <v>13.52</v>
      </c>
      <c r="B470">
        <v>29.45</v>
      </c>
    </row>
    <row r="471" spans="1:2" x14ac:dyDescent="0.25">
      <c r="A471">
        <v>33.049999999999997</v>
      </c>
      <c r="B471">
        <v>30.21</v>
      </c>
    </row>
    <row r="472" spans="1:2" x14ac:dyDescent="0.25">
      <c r="A472">
        <v>26.11</v>
      </c>
      <c r="B472">
        <v>48.49</v>
      </c>
    </row>
    <row r="473" spans="1:2" x14ac:dyDescent="0.25">
      <c r="A473">
        <v>1.87</v>
      </c>
      <c r="B473">
        <v>20.21</v>
      </c>
    </row>
    <row r="474" spans="1:2" x14ac:dyDescent="0.25">
      <c r="A474">
        <v>5.97</v>
      </c>
      <c r="B474">
        <v>16.649999999999999</v>
      </c>
    </row>
    <row r="475" spans="1:2" x14ac:dyDescent="0.25">
      <c r="A475">
        <v>28.1</v>
      </c>
      <c r="B475">
        <v>29</v>
      </c>
    </row>
    <row r="476" spans="1:2" x14ac:dyDescent="0.25">
      <c r="A476">
        <v>4.7699999999999996</v>
      </c>
      <c r="B476">
        <v>16.73</v>
      </c>
    </row>
    <row r="477" spans="1:2" x14ac:dyDescent="0.25">
      <c r="A477">
        <v>10.19</v>
      </c>
      <c r="B477">
        <v>51</v>
      </c>
    </row>
    <row r="478" spans="1:2" x14ac:dyDescent="0.25">
      <c r="A478">
        <v>9.42</v>
      </c>
      <c r="B478">
        <v>21.39</v>
      </c>
    </row>
    <row r="479" spans="1:2" x14ac:dyDescent="0.25">
      <c r="A479">
        <v>38.950000000000003</v>
      </c>
      <c r="B479">
        <v>55.46</v>
      </c>
    </row>
    <row r="480" spans="1:2" x14ac:dyDescent="0.25">
      <c r="A480">
        <v>18.86</v>
      </c>
      <c r="B480">
        <v>25.22</v>
      </c>
    </row>
    <row r="481" spans="1:2" x14ac:dyDescent="0.25">
      <c r="A481">
        <v>21.63</v>
      </c>
      <c r="B481">
        <v>14.06</v>
      </c>
    </row>
    <row r="482" spans="1:2" x14ac:dyDescent="0.25">
      <c r="A482">
        <v>11.25</v>
      </c>
      <c r="B482">
        <v>27.19</v>
      </c>
    </row>
    <row r="483" spans="1:2" x14ac:dyDescent="0.25">
      <c r="A483">
        <v>2.33</v>
      </c>
      <c r="B483">
        <v>22.55</v>
      </c>
    </row>
    <row r="484" spans="1:2" x14ac:dyDescent="0.25">
      <c r="A484">
        <v>44.34</v>
      </c>
      <c r="B484">
        <v>21.25</v>
      </c>
    </row>
    <row r="485" spans="1:2" x14ac:dyDescent="0.25">
      <c r="A485">
        <v>17.82</v>
      </c>
      <c r="B485">
        <v>4.63</v>
      </c>
    </row>
    <row r="486" spans="1:2" x14ac:dyDescent="0.25">
      <c r="A486">
        <v>24.19</v>
      </c>
      <c r="B486">
        <v>16.260000000000002</v>
      </c>
    </row>
    <row r="487" spans="1:2" x14ac:dyDescent="0.25">
      <c r="A487">
        <v>6.59</v>
      </c>
      <c r="B487">
        <v>31.41</v>
      </c>
    </row>
    <row r="488" spans="1:2" x14ac:dyDescent="0.25">
      <c r="A488">
        <v>7.25</v>
      </c>
      <c r="B488">
        <v>22.47</v>
      </c>
    </row>
    <row r="489" spans="1:2" x14ac:dyDescent="0.25">
      <c r="A489">
        <v>14.93</v>
      </c>
      <c r="B489">
        <v>26.75</v>
      </c>
    </row>
    <row r="490" spans="1:2" x14ac:dyDescent="0.25">
      <c r="A490">
        <v>29.18</v>
      </c>
      <c r="B490">
        <v>10.23</v>
      </c>
    </row>
    <row r="491" spans="1:2" x14ac:dyDescent="0.25">
      <c r="A491">
        <v>34.520000000000003</v>
      </c>
      <c r="B491">
        <v>8.48</v>
      </c>
    </row>
    <row r="492" spans="1:2" x14ac:dyDescent="0.25">
      <c r="A492">
        <v>19.72</v>
      </c>
      <c r="B492">
        <v>19.010000000000002</v>
      </c>
    </row>
    <row r="493" spans="1:2" x14ac:dyDescent="0.25">
      <c r="A493">
        <v>13.85</v>
      </c>
      <c r="B493">
        <v>29.65</v>
      </c>
    </row>
    <row r="494" spans="1:2" x14ac:dyDescent="0.25">
      <c r="A494">
        <v>11.3</v>
      </c>
      <c r="B494">
        <v>35.49</v>
      </c>
    </row>
    <row r="495" spans="1:2" x14ac:dyDescent="0.25">
      <c r="A495">
        <v>23.95</v>
      </c>
      <c r="B495">
        <v>14.87</v>
      </c>
    </row>
    <row r="496" spans="1:2" x14ac:dyDescent="0.25">
      <c r="A496">
        <v>8.82</v>
      </c>
      <c r="B496">
        <v>15.88</v>
      </c>
    </row>
    <row r="497" spans="1:2" x14ac:dyDescent="0.25">
      <c r="A497">
        <v>29.6</v>
      </c>
      <c r="B497">
        <v>13.38</v>
      </c>
    </row>
    <row r="498" spans="1:2" x14ac:dyDescent="0.25">
      <c r="A498">
        <v>13.47</v>
      </c>
      <c r="B498">
        <v>26.75</v>
      </c>
    </row>
    <row r="499" spans="1:2" x14ac:dyDescent="0.25">
      <c r="A499">
        <v>25.37</v>
      </c>
      <c r="B499">
        <v>12.29</v>
      </c>
    </row>
    <row r="500" spans="1:2" x14ac:dyDescent="0.25">
      <c r="A500">
        <v>17.920000000000002</v>
      </c>
      <c r="B500">
        <v>16.47</v>
      </c>
    </row>
    <row r="501" spans="1:2" x14ac:dyDescent="0.25">
      <c r="A501">
        <v>27.31</v>
      </c>
      <c r="B501">
        <v>13.13</v>
      </c>
    </row>
    <row r="502" spans="1:2" x14ac:dyDescent="0.25">
      <c r="A502">
        <v>19.54</v>
      </c>
      <c r="B502">
        <v>38.65</v>
      </c>
    </row>
    <row r="503" spans="1:2" x14ac:dyDescent="0.25">
      <c r="A503">
        <v>46.21</v>
      </c>
      <c r="B503">
        <v>23.56</v>
      </c>
    </row>
    <row r="504" spans="1:2" x14ac:dyDescent="0.25">
      <c r="A504">
        <v>9.75</v>
      </c>
      <c r="B504">
        <v>38.92</v>
      </c>
    </row>
    <row r="505" spans="1:2" x14ac:dyDescent="0.25">
      <c r="A505">
        <v>21.38</v>
      </c>
      <c r="B505">
        <v>10.02</v>
      </c>
    </row>
    <row r="506" spans="1:2" x14ac:dyDescent="0.25">
      <c r="A506">
        <v>16.239999999999998</v>
      </c>
      <c r="B506">
        <v>35.04</v>
      </c>
    </row>
    <row r="507" spans="1:2" x14ac:dyDescent="0.25">
      <c r="A507">
        <v>20.64</v>
      </c>
      <c r="B507">
        <v>9.7100000000000009</v>
      </c>
    </row>
    <row r="508" spans="1:2" x14ac:dyDescent="0.25">
      <c r="A508">
        <v>16.86</v>
      </c>
      <c r="B508">
        <v>16.670000000000002</v>
      </c>
    </row>
    <row r="509" spans="1:2" x14ac:dyDescent="0.25">
      <c r="A509">
        <v>8.9700000000000006</v>
      </c>
      <c r="B509">
        <v>8.27</v>
      </c>
    </row>
    <row r="510" spans="1:2" x14ac:dyDescent="0.25">
      <c r="A510">
        <v>18.38</v>
      </c>
      <c r="B510">
        <v>13.44</v>
      </c>
    </row>
    <row r="511" spans="1:2" x14ac:dyDescent="0.25">
      <c r="A511">
        <v>20.22</v>
      </c>
      <c r="B511">
        <v>17.850000000000001</v>
      </c>
    </row>
    <row r="512" spans="1:2" x14ac:dyDescent="0.25">
      <c r="A512">
        <v>33.1</v>
      </c>
      <c r="B512">
        <v>16.39</v>
      </c>
    </row>
    <row r="513" spans="1:2" x14ac:dyDescent="0.25">
      <c r="A513">
        <v>10.11</v>
      </c>
      <c r="B513">
        <v>18.11</v>
      </c>
    </row>
    <row r="514" spans="1:2" x14ac:dyDescent="0.25">
      <c r="A514">
        <v>16.02</v>
      </c>
      <c r="B514">
        <v>3.84</v>
      </c>
    </row>
    <row r="515" spans="1:2" x14ac:dyDescent="0.25">
      <c r="A515">
        <v>19.13</v>
      </c>
      <c r="B515">
        <v>6.26</v>
      </c>
    </row>
    <row r="516" spans="1:2" x14ac:dyDescent="0.25">
      <c r="A516">
        <v>5.22</v>
      </c>
      <c r="B516">
        <v>12.97</v>
      </c>
    </row>
    <row r="517" spans="1:2" x14ac:dyDescent="0.25">
      <c r="A517">
        <v>49.96</v>
      </c>
      <c r="B517">
        <v>42.85</v>
      </c>
    </row>
    <row r="518" spans="1:2" x14ac:dyDescent="0.25">
      <c r="A518">
        <v>17.75</v>
      </c>
      <c r="B518">
        <v>1.98</v>
      </c>
    </row>
    <row r="519" spans="1:2" x14ac:dyDescent="0.25">
      <c r="A519">
        <v>16.8</v>
      </c>
      <c r="B519">
        <v>26.36</v>
      </c>
    </row>
    <row r="520" spans="1:2" x14ac:dyDescent="0.25">
      <c r="A520">
        <v>18.09</v>
      </c>
      <c r="B520">
        <v>20.38</v>
      </c>
    </row>
    <row r="521" spans="1:2" x14ac:dyDescent="0.25">
      <c r="A521">
        <v>8.9700000000000006</v>
      </c>
      <c r="B521">
        <v>26.77</v>
      </c>
    </row>
    <row r="522" spans="1:2" x14ac:dyDescent="0.25">
      <c r="A522">
        <v>27.34</v>
      </c>
      <c r="B522">
        <v>10.81</v>
      </c>
    </row>
    <row r="523" spans="1:2" x14ac:dyDescent="0.25">
      <c r="A523">
        <v>15.53</v>
      </c>
      <c r="B523">
        <v>10.69</v>
      </c>
    </row>
    <row r="524" spans="1:2" x14ac:dyDescent="0.25">
      <c r="A524">
        <v>11.08</v>
      </c>
      <c r="B524">
        <v>29.8</v>
      </c>
    </row>
    <row r="525" spans="1:2" x14ac:dyDescent="0.25">
      <c r="A525">
        <v>15.5</v>
      </c>
      <c r="B525">
        <v>18.27</v>
      </c>
    </row>
    <row r="526" spans="1:2" x14ac:dyDescent="0.25">
      <c r="A526">
        <v>23.03</v>
      </c>
      <c r="B526">
        <v>30.32</v>
      </c>
    </row>
    <row r="527" spans="1:2" x14ac:dyDescent="0.25">
      <c r="A527">
        <v>5.97</v>
      </c>
      <c r="B527">
        <v>32.82</v>
      </c>
    </row>
    <row r="528" spans="1:2" x14ac:dyDescent="0.25">
      <c r="A528">
        <v>15.55</v>
      </c>
      <c r="B528">
        <v>10.82</v>
      </c>
    </row>
    <row r="529" spans="1:2" x14ac:dyDescent="0.25">
      <c r="A529">
        <v>13.98</v>
      </c>
      <c r="B529">
        <v>12.85</v>
      </c>
    </row>
    <row r="530" spans="1:2" x14ac:dyDescent="0.25">
      <c r="A530">
        <v>17.059999999999999</v>
      </c>
      <c r="B530">
        <v>34.18</v>
      </c>
    </row>
    <row r="531" spans="1:2" x14ac:dyDescent="0.25">
      <c r="A531">
        <v>37.17</v>
      </c>
      <c r="B531">
        <v>21.64</v>
      </c>
    </row>
    <row r="532" spans="1:2" x14ac:dyDescent="0.25">
      <c r="A532">
        <v>33.47</v>
      </c>
      <c r="B532">
        <v>8.2200000000000006</v>
      </c>
    </row>
    <row r="533" spans="1:2" x14ac:dyDescent="0.25">
      <c r="A533">
        <v>0.99</v>
      </c>
      <c r="B533">
        <v>20.11</v>
      </c>
    </row>
    <row r="534" spans="1:2" x14ac:dyDescent="0.25">
      <c r="A534">
        <v>11.61</v>
      </c>
      <c r="B534">
        <v>8.5399999999999991</v>
      </c>
    </row>
    <row r="535" spans="1:2" x14ac:dyDescent="0.25">
      <c r="A535">
        <v>6.06</v>
      </c>
      <c r="B535">
        <v>23.54</v>
      </c>
    </row>
    <row r="536" spans="1:2" x14ac:dyDescent="0.25">
      <c r="A536">
        <v>17.48</v>
      </c>
      <c r="B536">
        <v>27.07</v>
      </c>
    </row>
    <row r="537" spans="1:2" x14ac:dyDescent="0.25">
      <c r="A537">
        <v>6.72</v>
      </c>
      <c r="B537">
        <v>12.33</v>
      </c>
    </row>
    <row r="538" spans="1:2" x14ac:dyDescent="0.25">
      <c r="A538">
        <v>20.99</v>
      </c>
      <c r="B538">
        <v>16.91</v>
      </c>
    </row>
    <row r="539" spans="1:2" x14ac:dyDescent="0.25">
      <c r="A539">
        <v>14.85</v>
      </c>
      <c r="B539">
        <v>7.9</v>
      </c>
    </row>
    <row r="540" spans="1:2" x14ac:dyDescent="0.25">
      <c r="A540">
        <v>31.44</v>
      </c>
      <c r="B540">
        <v>35.25</v>
      </c>
    </row>
    <row r="541" spans="1:2" x14ac:dyDescent="0.25">
      <c r="A541">
        <v>9.8699999999999992</v>
      </c>
      <c r="B541">
        <v>26.38</v>
      </c>
    </row>
    <row r="542" spans="1:2" x14ac:dyDescent="0.25">
      <c r="A542">
        <v>21.93</v>
      </c>
      <c r="B542">
        <v>27.98</v>
      </c>
    </row>
    <row r="543" spans="1:2" x14ac:dyDescent="0.25">
      <c r="A543">
        <v>11.14</v>
      </c>
      <c r="B543">
        <v>6.17</v>
      </c>
    </row>
    <row r="544" spans="1:2" x14ac:dyDescent="0.25">
      <c r="A544">
        <v>32.090000000000003</v>
      </c>
      <c r="B544">
        <v>12.04</v>
      </c>
    </row>
    <row r="545" spans="1:2" x14ac:dyDescent="0.25">
      <c r="A545">
        <v>21.14</v>
      </c>
      <c r="B545">
        <v>13.1</v>
      </c>
    </row>
    <row r="546" spans="1:2" x14ac:dyDescent="0.25">
      <c r="A546">
        <v>8</v>
      </c>
      <c r="B546">
        <v>25.54</v>
      </c>
    </row>
    <row r="547" spans="1:2" x14ac:dyDescent="0.25">
      <c r="A547">
        <v>13.72</v>
      </c>
      <c r="B547">
        <v>13.91</v>
      </c>
    </row>
    <row r="548" spans="1:2" x14ac:dyDescent="0.25">
      <c r="A548">
        <v>11.18</v>
      </c>
      <c r="B548">
        <v>9.5500000000000007</v>
      </c>
    </row>
    <row r="549" spans="1:2" x14ac:dyDescent="0.25">
      <c r="A549">
        <v>15.26</v>
      </c>
      <c r="B549">
        <v>21.3</v>
      </c>
    </row>
    <row r="550" spans="1:2" x14ac:dyDescent="0.25">
      <c r="A550">
        <v>6.64</v>
      </c>
      <c r="B550">
        <v>38.9</v>
      </c>
    </row>
    <row r="551" spans="1:2" x14ac:dyDescent="0.25">
      <c r="A551">
        <v>32.31</v>
      </c>
      <c r="B551">
        <v>8.66</v>
      </c>
    </row>
    <row r="552" spans="1:2" x14ac:dyDescent="0.25">
      <c r="A552">
        <v>14.64</v>
      </c>
      <c r="B552">
        <v>14.58</v>
      </c>
    </row>
    <row r="553" spans="1:2" x14ac:dyDescent="0.25">
      <c r="A553">
        <v>6.75</v>
      </c>
      <c r="B553">
        <v>17.809999999999999</v>
      </c>
    </row>
    <row r="554" spans="1:2" x14ac:dyDescent="0.25">
      <c r="A554">
        <v>26.62</v>
      </c>
      <c r="B554">
        <v>5.4</v>
      </c>
    </row>
    <row r="555" spans="1:2" x14ac:dyDescent="0.25">
      <c r="A555">
        <v>31.25</v>
      </c>
      <c r="B555">
        <v>18.43</v>
      </c>
    </row>
    <row r="556" spans="1:2" x14ac:dyDescent="0.25">
      <c r="A556">
        <v>31.6</v>
      </c>
      <c r="B556">
        <v>28.37</v>
      </c>
    </row>
    <row r="557" spans="1:2" x14ac:dyDescent="0.25">
      <c r="A557">
        <v>16.54</v>
      </c>
      <c r="B557">
        <v>28.17</v>
      </c>
    </row>
    <row r="558" spans="1:2" x14ac:dyDescent="0.25">
      <c r="A558">
        <v>6.45</v>
      </c>
      <c r="B558">
        <v>11.04</v>
      </c>
    </row>
    <row r="559" spans="1:2" x14ac:dyDescent="0.25">
      <c r="A559">
        <v>36.29</v>
      </c>
      <c r="B559">
        <v>7</v>
      </c>
    </row>
    <row r="560" spans="1:2" x14ac:dyDescent="0.25">
      <c r="A560">
        <v>5.45</v>
      </c>
      <c r="B560">
        <v>46.74</v>
      </c>
    </row>
    <row r="561" spans="1:2" x14ac:dyDescent="0.25">
      <c r="A561">
        <v>39.44</v>
      </c>
      <c r="B561">
        <v>2.06</v>
      </c>
    </row>
    <row r="562" spans="1:2" x14ac:dyDescent="0.25">
      <c r="A562">
        <v>18.68</v>
      </c>
    </row>
    <row r="563" spans="1:2" x14ac:dyDescent="0.25">
      <c r="A563">
        <v>26.81</v>
      </c>
    </row>
    <row r="564" spans="1:2" x14ac:dyDescent="0.25">
      <c r="A564">
        <v>8.56</v>
      </c>
    </row>
    <row r="565" spans="1:2" x14ac:dyDescent="0.25">
      <c r="A565">
        <v>14.71</v>
      </c>
    </row>
    <row r="566" spans="1:2" x14ac:dyDescent="0.25">
      <c r="A566">
        <v>2.9</v>
      </c>
    </row>
    <row r="567" spans="1:2" x14ac:dyDescent="0.25">
      <c r="A567">
        <v>4.99</v>
      </c>
    </row>
    <row r="568" spans="1:2" x14ac:dyDescent="0.25">
      <c r="A568">
        <v>1.9</v>
      </c>
    </row>
    <row r="569" spans="1:2" x14ac:dyDescent="0.25">
      <c r="A569">
        <v>18.2</v>
      </c>
    </row>
    <row r="570" spans="1:2" x14ac:dyDescent="0.25">
      <c r="A570">
        <v>11.95</v>
      </c>
    </row>
    <row r="571" spans="1:2" x14ac:dyDescent="0.25">
      <c r="A571">
        <v>17.29</v>
      </c>
    </row>
    <row r="572" spans="1:2" x14ac:dyDescent="0.25">
      <c r="A572">
        <v>18.75</v>
      </c>
    </row>
    <row r="573" spans="1:2" x14ac:dyDescent="0.25">
      <c r="A573">
        <v>23.98</v>
      </c>
    </row>
    <row r="574" spans="1:2" x14ac:dyDescent="0.25">
      <c r="A574">
        <v>21.2</v>
      </c>
    </row>
    <row r="575" spans="1:2" x14ac:dyDescent="0.25">
      <c r="A575">
        <v>10.49</v>
      </c>
    </row>
    <row r="576" spans="1:2" x14ac:dyDescent="0.25">
      <c r="A576">
        <v>12.4</v>
      </c>
    </row>
    <row r="577" spans="1:1" x14ac:dyDescent="0.25">
      <c r="A577">
        <v>10.93</v>
      </c>
    </row>
    <row r="578" spans="1:1" x14ac:dyDescent="0.25">
      <c r="A578">
        <v>24.32</v>
      </c>
    </row>
    <row r="579" spans="1:1" x14ac:dyDescent="0.25">
      <c r="A579">
        <v>30.27</v>
      </c>
    </row>
    <row r="580" spans="1:1" x14ac:dyDescent="0.25">
      <c r="A580">
        <v>9.7899999999999991</v>
      </c>
    </row>
    <row r="581" spans="1:1" x14ac:dyDescent="0.25">
      <c r="A581">
        <v>21.6</v>
      </c>
    </row>
    <row r="582" spans="1:1" x14ac:dyDescent="0.25">
      <c r="A582">
        <v>11.02</v>
      </c>
    </row>
    <row r="583" spans="1:1" x14ac:dyDescent="0.25">
      <c r="A583">
        <v>13.23</v>
      </c>
    </row>
    <row r="584" spans="1:1" x14ac:dyDescent="0.25">
      <c r="A584">
        <v>9.1300000000000008</v>
      </c>
    </row>
    <row r="585" spans="1:1" x14ac:dyDescent="0.25">
      <c r="A585">
        <v>38.01</v>
      </c>
    </row>
    <row r="586" spans="1:1" x14ac:dyDescent="0.25">
      <c r="A586">
        <v>33.15</v>
      </c>
    </row>
    <row r="587" spans="1:1" x14ac:dyDescent="0.25">
      <c r="A587">
        <v>6.55</v>
      </c>
    </row>
    <row r="588" spans="1:1" x14ac:dyDescent="0.25">
      <c r="A588">
        <v>9.82</v>
      </c>
    </row>
    <row r="589" spans="1:1" x14ac:dyDescent="0.25">
      <c r="A589">
        <v>13.97</v>
      </c>
    </row>
    <row r="590" spans="1:1" x14ac:dyDescent="0.25">
      <c r="A590">
        <v>45.87</v>
      </c>
    </row>
    <row r="591" spans="1:1" x14ac:dyDescent="0.25">
      <c r="A591">
        <v>19.09</v>
      </c>
    </row>
    <row r="592" spans="1:1" x14ac:dyDescent="0.25">
      <c r="A592">
        <v>13.64</v>
      </c>
    </row>
    <row r="593" spans="1:1" x14ac:dyDescent="0.25">
      <c r="A593">
        <v>11.93</v>
      </c>
    </row>
    <row r="594" spans="1:1" x14ac:dyDescent="0.25">
      <c r="A594">
        <v>3.81</v>
      </c>
    </row>
    <row r="595" spans="1:1" x14ac:dyDescent="0.25">
      <c r="A595">
        <v>17.14</v>
      </c>
    </row>
    <row r="596" spans="1:1" x14ac:dyDescent="0.25">
      <c r="A596">
        <v>14.24</v>
      </c>
    </row>
    <row r="597" spans="1:1" x14ac:dyDescent="0.25">
      <c r="A597">
        <v>16.09</v>
      </c>
    </row>
    <row r="598" spans="1:1" x14ac:dyDescent="0.25">
      <c r="A598">
        <v>34</v>
      </c>
    </row>
    <row r="599" spans="1:1" x14ac:dyDescent="0.25">
      <c r="A599">
        <v>17.079999999999998</v>
      </c>
    </row>
    <row r="600" spans="1:1" x14ac:dyDescent="0.25">
      <c r="A600">
        <v>27.07</v>
      </c>
    </row>
    <row r="601" spans="1:1" x14ac:dyDescent="0.25">
      <c r="A601">
        <v>12.37</v>
      </c>
    </row>
    <row r="602" spans="1:1" x14ac:dyDescent="0.25">
      <c r="A602">
        <v>34.82</v>
      </c>
    </row>
    <row r="603" spans="1:1" x14ac:dyDescent="0.25">
      <c r="A603">
        <v>20.5</v>
      </c>
    </row>
    <row r="604" spans="1:1" x14ac:dyDescent="0.25">
      <c r="A604">
        <v>20.38</v>
      </c>
    </row>
    <row r="605" spans="1:1" x14ac:dyDescent="0.25">
      <c r="A605">
        <v>43.7</v>
      </c>
    </row>
    <row r="606" spans="1:1" x14ac:dyDescent="0.25">
      <c r="A606">
        <v>18.579999999999998</v>
      </c>
    </row>
    <row r="607" spans="1:1" x14ac:dyDescent="0.25">
      <c r="A607">
        <v>41.04</v>
      </c>
    </row>
    <row r="608" spans="1:1" x14ac:dyDescent="0.25">
      <c r="A608">
        <v>10.99</v>
      </c>
    </row>
    <row r="609" spans="1:1" x14ac:dyDescent="0.25">
      <c r="A609">
        <v>18.03</v>
      </c>
    </row>
    <row r="610" spans="1:1" x14ac:dyDescent="0.25">
      <c r="A610">
        <v>16.64</v>
      </c>
    </row>
    <row r="611" spans="1:1" x14ac:dyDescent="0.25">
      <c r="A611">
        <v>19.64</v>
      </c>
    </row>
    <row r="612" spans="1:1" x14ac:dyDescent="0.25">
      <c r="A612">
        <v>31.32</v>
      </c>
    </row>
    <row r="613" spans="1:1" x14ac:dyDescent="0.25">
      <c r="A613">
        <v>17.309999999999999</v>
      </c>
    </row>
    <row r="614" spans="1:1" x14ac:dyDescent="0.25">
      <c r="A614">
        <v>5.31</v>
      </c>
    </row>
    <row r="615" spans="1:1" x14ac:dyDescent="0.25">
      <c r="A615">
        <v>2.67</v>
      </c>
    </row>
    <row r="616" spans="1:1" x14ac:dyDescent="0.25">
      <c r="A616">
        <v>40.74</v>
      </c>
    </row>
    <row r="617" spans="1:1" x14ac:dyDescent="0.25">
      <c r="A617">
        <v>9.82</v>
      </c>
    </row>
    <row r="618" spans="1:1" x14ac:dyDescent="0.25">
      <c r="A618">
        <v>16.850000000000001</v>
      </c>
    </row>
    <row r="619" spans="1:1" x14ac:dyDescent="0.25">
      <c r="A619">
        <v>9.1</v>
      </c>
    </row>
    <row r="620" spans="1:1" x14ac:dyDescent="0.25">
      <c r="A620">
        <v>8.48</v>
      </c>
    </row>
    <row r="621" spans="1:1" x14ac:dyDescent="0.25">
      <c r="A621">
        <v>13.59</v>
      </c>
    </row>
    <row r="622" spans="1:1" x14ac:dyDescent="0.25">
      <c r="A622">
        <v>48.74</v>
      </c>
    </row>
    <row r="623" spans="1:1" x14ac:dyDescent="0.25">
      <c r="A623">
        <v>6.27</v>
      </c>
    </row>
    <row r="624" spans="1:1" x14ac:dyDescent="0.25">
      <c r="A624">
        <v>29.11</v>
      </c>
    </row>
    <row r="625" spans="1:1" x14ac:dyDescent="0.25">
      <c r="A625">
        <v>1</v>
      </c>
    </row>
    <row r="626" spans="1:1" x14ac:dyDescent="0.25">
      <c r="A626">
        <v>22.28</v>
      </c>
    </row>
    <row r="627" spans="1:1" x14ac:dyDescent="0.25">
      <c r="A627">
        <v>30.86</v>
      </c>
    </row>
    <row r="628" spans="1:1" x14ac:dyDescent="0.25">
      <c r="A628">
        <v>28.19</v>
      </c>
    </row>
    <row r="629" spans="1:1" x14ac:dyDescent="0.25">
      <c r="A629">
        <v>10.73</v>
      </c>
    </row>
    <row r="630" spans="1:1" x14ac:dyDescent="0.25">
      <c r="A630">
        <v>17.52</v>
      </c>
    </row>
    <row r="631" spans="1:1" x14ac:dyDescent="0.25">
      <c r="A631">
        <v>19.079999999999998</v>
      </c>
    </row>
    <row r="632" spans="1:1" x14ac:dyDescent="0.25">
      <c r="A632">
        <v>23.52</v>
      </c>
    </row>
    <row r="633" spans="1:1" x14ac:dyDescent="0.25">
      <c r="A633">
        <v>14.68</v>
      </c>
    </row>
    <row r="634" spans="1:1" x14ac:dyDescent="0.25">
      <c r="A634">
        <v>34.29</v>
      </c>
    </row>
    <row r="635" spans="1:1" x14ac:dyDescent="0.25">
      <c r="A635">
        <v>35.479999999999997</v>
      </c>
    </row>
    <row r="636" spans="1:1" x14ac:dyDescent="0.25">
      <c r="A636">
        <v>14.56</v>
      </c>
    </row>
    <row r="637" spans="1:1" x14ac:dyDescent="0.25">
      <c r="A637">
        <v>32.840000000000003</v>
      </c>
    </row>
    <row r="638" spans="1:1" x14ac:dyDescent="0.25">
      <c r="A638">
        <v>12.09</v>
      </c>
    </row>
    <row r="639" spans="1:1" x14ac:dyDescent="0.25">
      <c r="A639">
        <v>35.6</v>
      </c>
    </row>
    <row r="640" spans="1:1" x14ac:dyDescent="0.25">
      <c r="A640">
        <v>47.97</v>
      </c>
    </row>
    <row r="641" spans="1:1" x14ac:dyDescent="0.25">
      <c r="A641">
        <v>8.01</v>
      </c>
    </row>
    <row r="642" spans="1:1" x14ac:dyDescent="0.25">
      <c r="A642">
        <v>9.7799999999999994</v>
      </c>
    </row>
    <row r="643" spans="1:1" x14ac:dyDescent="0.25">
      <c r="A643">
        <v>54.77</v>
      </c>
    </row>
    <row r="644" spans="1:1" x14ac:dyDescent="0.25">
      <c r="A644">
        <v>44.94</v>
      </c>
    </row>
    <row r="645" spans="1:1" x14ac:dyDescent="0.25">
      <c r="A645">
        <v>2.14</v>
      </c>
    </row>
    <row r="646" spans="1:1" x14ac:dyDescent="0.25">
      <c r="A646">
        <v>21.44</v>
      </c>
    </row>
    <row r="647" spans="1:1" x14ac:dyDescent="0.25">
      <c r="A647">
        <v>35.69</v>
      </c>
    </row>
    <row r="648" spans="1:1" x14ac:dyDescent="0.25">
      <c r="A648">
        <v>26.71</v>
      </c>
    </row>
    <row r="649" spans="1:1" x14ac:dyDescent="0.25">
      <c r="A649">
        <v>7.35</v>
      </c>
    </row>
    <row r="650" spans="1:1" x14ac:dyDescent="0.25">
      <c r="A650">
        <v>26.75</v>
      </c>
    </row>
    <row r="651" spans="1:1" x14ac:dyDescent="0.25">
      <c r="A651">
        <v>43.23</v>
      </c>
    </row>
    <row r="652" spans="1:1" x14ac:dyDescent="0.25">
      <c r="A652">
        <v>9.2200000000000006</v>
      </c>
    </row>
    <row r="653" spans="1:1" x14ac:dyDescent="0.25">
      <c r="A653">
        <v>2.97</v>
      </c>
    </row>
    <row r="654" spans="1:1" x14ac:dyDescent="0.25">
      <c r="A654">
        <v>52.96</v>
      </c>
    </row>
    <row r="655" spans="1:1" x14ac:dyDescent="0.25">
      <c r="A655">
        <v>11.21</v>
      </c>
    </row>
    <row r="656" spans="1:1" x14ac:dyDescent="0.25">
      <c r="A656">
        <v>5.01</v>
      </c>
    </row>
    <row r="657" spans="1:1" x14ac:dyDescent="0.25">
      <c r="A657">
        <v>17.190000000000001</v>
      </c>
    </row>
    <row r="658" spans="1:1" x14ac:dyDescent="0.25">
      <c r="A658">
        <v>22.29</v>
      </c>
    </row>
    <row r="659" spans="1:1" x14ac:dyDescent="0.25">
      <c r="A659">
        <v>11.38</v>
      </c>
    </row>
    <row r="660" spans="1:1" x14ac:dyDescent="0.25">
      <c r="A660">
        <v>9.1199999999999992</v>
      </c>
    </row>
    <row r="661" spans="1:1" x14ac:dyDescent="0.25">
      <c r="A661">
        <v>8.07</v>
      </c>
    </row>
    <row r="662" spans="1:1" x14ac:dyDescent="0.25">
      <c r="A662">
        <v>7.2</v>
      </c>
    </row>
    <row r="663" spans="1:1" x14ac:dyDescent="0.25">
      <c r="A663">
        <v>9.8800000000000008</v>
      </c>
    </row>
    <row r="664" spans="1:1" x14ac:dyDescent="0.25">
      <c r="A664">
        <v>17.600000000000001</v>
      </c>
    </row>
    <row r="665" spans="1:1" x14ac:dyDescent="0.25">
      <c r="A665">
        <v>51.52</v>
      </c>
    </row>
    <row r="666" spans="1:1" x14ac:dyDescent="0.25">
      <c r="A666">
        <v>20.54</v>
      </c>
    </row>
    <row r="667" spans="1:1" x14ac:dyDescent="0.25">
      <c r="A667">
        <v>22.61</v>
      </c>
    </row>
    <row r="668" spans="1:1" x14ac:dyDescent="0.25">
      <c r="A668">
        <v>10.09</v>
      </c>
    </row>
    <row r="669" spans="1:1" x14ac:dyDescent="0.25">
      <c r="A669">
        <v>15.2</v>
      </c>
    </row>
    <row r="670" spans="1:1" x14ac:dyDescent="0.25">
      <c r="A670">
        <v>48.47</v>
      </c>
    </row>
    <row r="671" spans="1:1" x14ac:dyDescent="0.25">
      <c r="A671">
        <v>6.42</v>
      </c>
    </row>
    <row r="672" spans="1:1" x14ac:dyDescent="0.25">
      <c r="A672">
        <v>10.16</v>
      </c>
    </row>
    <row r="673" spans="1:1" x14ac:dyDescent="0.25">
      <c r="A673">
        <v>10.44</v>
      </c>
    </row>
    <row r="674" spans="1:1" x14ac:dyDescent="0.25">
      <c r="A674">
        <v>34.96</v>
      </c>
    </row>
    <row r="675" spans="1:1" x14ac:dyDescent="0.25">
      <c r="A675">
        <v>33.21</v>
      </c>
    </row>
    <row r="676" spans="1:1" x14ac:dyDescent="0.25">
      <c r="A676">
        <v>6.17</v>
      </c>
    </row>
    <row r="677" spans="1:1" x14ac:dyDescent="0.25">
      <c r="A677">
        <v>10.19</v>
      </c>
    </row>
    <row r="678" spans="1:1" x14ac:dyDescent="0.25">
      <c r="A678">
        <v>7.13</v>
      </c>
    </row>
    <row r="679" spans="1:1" x14ac:dyDescent="0.25">
      <c r="A679">
        <v>29.88</v>
      </c>
    </row>
    <row r="680" spans="1:1" x14ac:dyDescent="0.25">
      <c r="A680">
        <v>23.63</v>
      </c>
    </row>
    <row r="681" spans="1:1" x14ac:dyDescent="0.25">
      <c r="A681">
        <v>12.75</v>
      </c>
    </row>
    <row r="682" spans="1:1" x14ac:dyDescent="0.25">
      <c r="A682">
        <v>3.45</v>
      </c>
    </row>
    <row r="683" spans="1:1" x14ac:dyDescent="0.25">
      <c r="A683">
        <v>5.17</v>
      </c>
    </row>
    <row r="684" spans="1:1" x14ac:dyDescent="0.25">
      <c r="A684">
        <v>10.59</v>
      </c>
    </row>
    <row r="685" spans="1:1" x14ac:dyDescent="0.25">
      <c r="A685">
        <v>18.5</v>
      </c>
    </row>
    <row r="686" spans="1:1" x14ac:dyDescent="0.25">
      <c r="A686">
        <v>34.090000000000003</v>
      </c>
    </row>
    <row r="687" spans="1:1" x14ac:dyDescent="0.25">
      <c r="A687">
        <v>7.57</v>
      </c>
    </row>
    <row r="688" spans="1:1" x14ac:dyDescent="0.25">
      <c r="A688">
        <v>32.020000000000003</v>
      </c>
    </row>
    <row r="689" spans="1:1" x14ac:dyDescent="0.25">
      <c r="A689">
        <v>42.96</v>
      </c>
    </row>
    <row r="690" spans="1:1" x14ac:dyDescent="0.25">
      <c r="A690">
        <v>3.01</v>
      </c>
    </row>
    <row r="691" spans="1:1" x14ac:dyDescent="0.25">
      <c r="A691">
        <v>14.27</v>
      </c>
    </row>
    <row r="692" spans="1:1" x14ac:dyDescent="0.25">
      <c r="A692">
        <v>10.57</v>
      </c>
    </row>
    <row r="693" spans="1:1" x14ac:dyDescent="0.25">
      <c r="A693">
        <v>22.47</v>
      </c>
    </row>
    <row r="694" spans="1:1" x14ac:dyDescent="0.25">
      <c r="A694">
        <v>28.32</v>
      </c>
    </row>
    <row r="695" spans="1:1" x14ac:dyDescent="0.25">
      <c r="A695">
        <v>38.659999999999997</v>
      </c>
    </row>
    <row r="696" spans="1:1" x14ac:dyDescent="0.25">
      <c r="A696">
        <v>21</v>
      </c>
    </row>
    <row r="697" spans="1:1" x14ac:dyDescent="0.25">
      <c r="A697">
        <v>13.94</v>
      </c>
    </row>
    <row r="698" spans="1:1" x14ac:dyDescent="0.25">
      <c r="A698">
        <v>11.79</v>
      </c>
    </row>
    <row r="699" spans="1:1" x14ac:dyDescent="0.25">
      <c r="A699">
        <v>43.94</v>
      </c>
    </row>
    <row r="700" spans="1:1" x14ac:dyDescent="0.25">
      <c r="A700">
        <v>36.11</v>
      </c>
    </row>
    <row r="701" spans="1:1" x14ac:dyDescent="0.25">
      <c r="A701">
        <v>12.9</v>
      </c>
    </row>
    <row r="702" spans="1:1" x14ac:dyDescent="0.25">
      <c r="A702">
        <v>23.35</v>
      </c>
    </row>
    <row r="703" spans="1:1" x14ac:dyDescent="0.25">
      <c r="A703">
        <v>17.48</v>
      </c>
    </row>
    <row r="704" spans="1:1" x14ac:dyDescent="0.25">
      <c r="A704">
        <v>19.07</v>
      </c>
    </row>
    <row r="705" spans="1:1" x14ac:dyDescent="0.25">
      <c r="A705">
        <v>3.92</v>
      </c>
    </row>
    <row r="706" spans="1:1" x14ac:dyDescent="0.25">
      <c r="A706">
        <v>52</v>
      </c>
    </row>
    <row r="707" spans="1:1" x14ac:dyDescent="0.25">
      <c r="A707">
        <v>18.75</v>
      </c>
    </row>
    <row r="708" spans="1:1" x14ac:dyDescent="0.25">
      <c r="A708">
        <v>35.76</v>
      </c>
    </row>
    <row r="709" spans="1:1" x14ac:dyDescent="0.25">
      <c r="A709">
        <v>36.700000000000003</v>
      </c>
    </row>
    <row r="710" spans="1:1" x14ac:dyDescent="0.25">
      <c r="A710">
        <v>24.78</v>
      </c>
    </row>
    <row r="711" spans="1:1" x14ac:dyDescent="0.25">
      <c r="A711">
        <v>72.86</v>
      </c>
    </row>
    <row r="712" spans="1:1" x14ac:dyDescent="0.25">
      <c r="A712">
        <v>14.06</v>
      </c>
    </row>
    <row r="713" spans="1:1" x14ac:dyDescent="0.25">
      <c r="A713">
        <v>3.07</v>
      </c>
    </row>
    <row r="714" spans="1:1" x14ac:dyDescent="0.25">
      <c r="A714">
        <v>15.63</v>
      </c>
    </row>
    <row r="715" spans="1:1" x14ac:dyDescent="0.25">
      <c r="A715">
        <v>8.39</v>
      </c>
    </row>
    <row r="716" spans="1:1" x14ac:dyDescent="0.25">
      <c r="A716">
        <v>17.61</v>
      </c>
    </row>
    <row r="717" spans="1:1" x14ac:dyDescent="0.25">
      <c r="A717">
        <v>25.78</v>
      </c>
    </row>
    <row r="718" spans="1:1" x14ac:dyDescent="0.25">
      <c r="A718">
        <v>24.15</v>
      </c>
    </row>
    <row r="719" spans="1:1" x14ac:dyDescent="0.25">
      <c r="A719">
        <v>11.83</v>
      </c>
    </row>
    <row r="720" spans="1:1" x14ac:dyDescent="0.25">
      <c r="A720">
        <v>17.739999999999998</v>
      </c>
    </row>
    <row r="721" spans="1:1" x14ac:dyDescent="0.25">
      <c r="A721">
        <v>8.92</v>
      </c>
    </row>
    <row r="722" spans="1:1" x14ac:dyDescent="0.25">
      <c r="A722">
        <v>16</v>
      </c>
    </row>
    <row r="723" spans="1:1" x14ac:dyDescent="0.25">
      <c r="A723">
        <v>35.409999999999997</v>
      </c>
    </row>
    <row r="724" spans="1:1" x14ac:dyDescent="0.25">
      <c r="A724">
        <v>26.74</v>
      </c>
    </row>
    <row r="725" spans="1:1" x14ac:dyDescent="0.25">
      <c r="A725">
        <v>14.21</v>
      </c>
    </row>
    <row r="726" spans="1:1" x14ac:dyDescent="0.25">
      <c r="A726">
        <v>31.82</v>
      </c>
    </row>
    <row r="727" spans="1:1" x14ac:dyDescent="0.25">
      <c r="A727">
        <v>16.13</v>
      </c>
    </row>
    <row r="728" spans="1:1" x14ac:dyDescent="0.25">
      <c r="A728">
        <v>19.03</v>
      </c>
    </row>
    <row r="729" spans="1:1" x14ac:dyDescent="0.25">
      <c r="A729">
        <v>34.799999999999997</v>
      </c>
    </row>
    <row r="730" spans="1:1" x14ac:dyDescent="0.25">
      <c r="A730">
        <v>11.26</v>
      </c>
    </row>
    <row r="731" spans="1:1" x14ac:dyDescent="0.25">
      <c r="A731">
        <v>17.190000000000001</v>
      </c>
    </row>
    <row r="732" spans="1:1" x14ac:dyDescent="0.25">
      <c r="A732">
        <v>7.2</v>
      </c>
    </row>
    <row r="733" spans="1:1" x14ac:dyDescent="0.25">
      <c r="A733">
        <v>19.29</v>
      </c>
    </row>
    <row r="734" spans="1:1" x14ac:dyDescent="0.25">
      <c r="A734">
        <v>27.38</v>
      </c>
    </row>
    <row r="735" spans="1:1" x14ac:dyDescent="0.25">
      <c r="A735">
        <v>9.1</v>
      </c>
    </row>
    <row r="736" spans="1:1" x14ac:dyDescent="0.25">
      <c r="A736">
        <v>10.02</v>
      </c>
    </row>
    <row r="737" spans="1:1" x14ac:dyDescent="0.25">
      <c r="A737">
        <v>48.81</v>
      </c>
    </row>
    <row r="738" spans="1:1" x14ac:dyDescent="0.25">
      <c r="A738">
        <v>52.76</v>
      </c>
    </row>
    <row r="739" spans="1:1" x14ac:dyDescent="0.25">
      <c r="A739">
        <v>15.66</v>
      </c>
    </row>
    <row r="740" spans="1:1" x14ac:dyDescent="0.25">
      <c r="A740">
        <v>16.55</v>
      </c>
    </row>
    <row r="741" spans="1:1" x14ac:dyDescent="0.25">
      <c r="A741">
        <v>38.950000000000003</v>
      </c>
    </row>
    <row r="742" spans="1:1" x14ac:dyDescent="0.25">
      <c r="A742">
        <v>16.88</v>
      </c>
    </row>
    <row r="743" spans="1:1" x14ac:dyDescent="0.25">
      <c r="A743">
        <v>33.33</v>
      </c>
    </row>
    <row r="744" spans="1:1" x14ac:dyDescent="0.25">
      <c r="A744">
        <v>18.809999999999999</v>
      </c>
    </row>
    <row r="745" spans="1:1" x14ac:dyDescent="0.25">
      <c r="A745">
        <v>12.49</v>
      </c>
    </row>
    <row r="746" spans="1:1" x14ac:dyDescent="0.25">
      <c r="A746">
        <v>32.36</v>
      </c>
    </row>
    <row r="747" spans="1:1" x14ac:dyDescent="0.25">
      <c r="A747">
        <v>20.34</v>
      </c>
    </row>
    <row r="748" spans="1:1" x14ac:dyDescent="0.25">
      <c r="A748">
        <v>3.87</v>
      </c>
    </row>
    <row r="749" spans="1:1" x14ac:dyDescent="0.25">
      <c r="A749">
        <v>11.19</v>
      </c>
    </row>
    <row r="750" spans="1:1" x14ac:dyDescent="0.25">
      <c r="A750">
        <v>8.75</v>
      </c>
    </row>
    <row r="751" spans="1:1" x14ac:dyDescent="0.25">
      <c r="A751">
        <v>12.06</v>
      </c>
    </row>
    <row r="752" spans="1:1" x14ac:dyDescent="0.25">
      <c r="A752">
        <v>21.19</v>
      </c>
    </row>
    <row r="753" spans="1:1" x14ac:dyDescent="0.25">
      <c r="A753">
        <v>14.75</v>
      </c>
    </row>
    <row r="754" spans="1:1" x14ac:dyDescent="0.25">
      <c r="A754">
        <v>9.84</v>
      </c>
    </row>
    <row r="755" spans="1:1" x14ac:dyDescent="0.25">
      <c r="A755">
        <v>32.659999999999997</v>
      </c>
    </row>
    <row r="756" spans="1:1" x14ac:dyDescent="0.25">
      <c r="A756">
        <v>23.4</v>
      </c>
    </row>
    <row r="757" spans="1:1" x14ac:dyDescent="0.25">
      <c r="A757">
        <v>24.99</v>
      </c>
    </row>
    <row r="758" spans="1:1" x14ac:dyDescent="0.25">
      <c r="A758">
        <v>22.44</v>
      </c>
    </row>
    <row r="759" spans="1:1" x14ac:dyDescent="0.25">
      <c r="A759">
        <v>18.27</v>
      </c>
    </row>
    <row r="760" spans="1:1" x14ac:dyDescent="0.25">
      <c r="A760">
        <v>17.86</v>
      </c>
    </row>
    <row r="761" spans="1:1" x14ac:dyDescent="0.25">
      <c r="A761">
        <v>3.46</v>
      </c>
    </row>
    <row r="762" spans="1:1" x14ac:dyDescent="0.25">
      <c r="A762">
        <v>22.22</v>
      </c>
    </row>
    <row r="763" spans="1:1" x14ac:dyDescent="0.25">
      <c r="A763">
        <v>15.25</v>
      </c>
    </row>
    <row r="764" spans="1:1" x14ac:dyDescent="0.25">
      <c r="A764">
        <v>3.3</v>
      </c>
    </row>
    <row r="765" spans="1:1" x14ac:dyDescent="0.25">
      <c r="A765">
        <v>35.270000000000003</v>
      </c>
    </row>
    <row r="766" spans="1:1" x14ac:dyDescent="0.25">
      <c r="A766">
        <v>14.8</v>
      </c>
    </row>
    <row r="767" spans="1:1" x14ac:dyDescent="0.25">
      <c r="A767">
        <v>22.48</v>
      </c>
    </row>
    <row r="768" spans="1:1" x14ac:dyDescent="0.25">
      <c r="A768">
        <v>28.27</v>
      </c>
    </row>
    <row r="769" spans="1:1" x14ac:dyDescent="0.25">
      <c r="A769">
        <v>17.100000000000001</v>
      </c>
    </row>
    <row r="770" spans="1:1" x14ac:dyDescent="0.25">
      <c r="A770">
        <v>6.88</v>
      </c>
    </row>
    <row r="771" spans="1:1" x14ac:dyDescent="0.25">
      <c r="A771">
        <v>12.55</v>
      </c>
    </row>
    <row r="772" spans="1:1" x14ac:dyDescent="0.25">
      <c r="A772">
        <v>21.03</v>
      </c>
    </row>
    <row r="773" spans="1:1" x14ac:dyDescent="0.25">
      <c r="A773">
        <v>12.24</v>
      </c>
    </row>
    <row r="774" spans="1:1" x14ac:dyDescent="0.25">
      <c r="A774">
        <v>12.48</v>
      </c>
    </row>
    <row r="775" spans="1:1" x14ac:dyDescent="0.25">
      <c r="A775">
        <v>23.55</v>
      </c>
    </row>
    <row r="776" spans="1:1" x14ac:dyDescent="0.25">
      <c r="A776">
        <v>7.63</v>
      </c>
    </row>
    <row r="777" spans="1:1" x14ac:dyDescent="0.25">
      <c r="A777">
        <v>6.81</v>
      </c>
    </row>
    <row r="778" spans="1:1" x14ac:dyDescent="0.25">
      <c r="A778">
        <v>13.8</v>
      </c>
    </row>
    <row r="779" spans="1:1" x14ac:dyDescent="0.25">
      <c r="A779">
        <v>13.36</v>
      </c>
    </row>
    <row r="780" spans="1:1" x14ac:dyDescent="0.25">
      <c r="A780">
        <v>31.07</v>
      </c>
    </row>
    <row r="781" spans="1:1" x14ac:dyDescent="0.25">
      <c r="A781">
        <v>14.81</v>
      </c>
    </row>
    <row r="782" spans="1:1" x14ac:dyDescent="0.25">
      <c r="A782">
        <v>21.05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Sheet15</vt:lpstr>
      <vt:lpstr>Biomarker_Distributions</vt:lpstr>
      <vt:lpstr>Descritive_Statistics</vt:lpstr>
      <vt:lpstr>EDA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</cp:lastModifiedBy>
  <dcterms:created xsi:type="dcterms:W3CDTF">2026-01-19T02:03:20Z</dcterms:created>
  <dcterms:modified xsi:type="dcterms:W3CDTF">2026-01-26T06:23:42Z</dcterms:modified>
</cp:coreProperties>
</file>